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_各事業 TA 預算規劃_人力時間配置" sheetId="1" r:id="rId4"/>
    <sheet state="visible" name="1.2_各事業 TA 預算規劃_$" sheetId="2" r:id="rId5"/>
    <sheet state="visible" name="2.1_事業維運費用_人力時間配置" sheetId="3" r:id="rId6"/>
    <sheet state="visible" name="2.2_事業維運費用_$" sheetId="4" r:id="rId7"/>
    <sheet state="visible" name="3.1_集團共用資源_人力時間配置" sheetId="5" r:id="rId8"/>
    <sheet state="visible" name="3.2_集團共用資源_$" sheetId="6" r:id="rId9"/>
    <sheet state="visible" name="事業人力資源配置匯總表(自動彙整)" sheetId="7" r:id="rId10"/>
    <sheet state="visible" name="維運攤分" sheetId="8" r:id="rId11"/>
    <sheet state="visible" name="集團攤分" sheetId="9" r:id="rId12"/>
    <sheet state="visible" name="｜工作區&gt;&gt;&gt;" sheetId="10" r:id="rId13"/>
    <sheet state="visible" name="集團分攤費用表" sheetId="11" r:id="rId14"/>
    <sheet state="visible" name="共通費用參考資料" sheetId="12" r:id="rId15"/>
    <sheet state="visible" name="中心專用帳號盤點" sheetId="13" r:id="rId16"/>
    <sheet state="visible" name="中心通用帳號盤點" sheetId="14" r:id="rId17"/>
    <sheet state="visible" name="中心設備明細" sheetId="15" r:id="rId18"/>
    <sheet state="visible" name="折舊費用攤提" sheetId="16" r:id="rId19"/>
    <sheet state="visible" name="預付費用分攤" sheetId="17" r:id="rId20"/>
    <sheet state="visible" name="重大資本支出分攤" sheetId="18" r:id="rId21"/>
    <sheet state="visible" name="預算欄位參數表" sheetId="19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2">
      <text>
        <t xml:space="preserve">推估 judy 育嬰流停回來之後，工作分費比例</t>
      </text>
    </comment>
    <comment authorId="0" ref="O16">
      <text>
        <t xml:space="preserve">推估 SG sunset 影響
</t>
      </text>
    </comment>
    <comment authorId="0" ref="Q16">
      <text>
        <t xml:space="preserve">SG 外包客服只服務到 7/31 ，8 月開始還有營運的用戶，每日訊息需要有人回覆，暫定由主管暫代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參考：2026 點餐、訂位目標家數
點餐：69 家／月
訂位：48 家／月
採用獎金報表粗估每月成交家數（含試用方案）
4 月：2
5 月：4
6 月：6
7 月：4（+12 老王系列）=16
8 月：12（+3 永心系列）=15
9 月：13（+2 UncleK 系列）=15
粗粗抓 2026 每人每月成交家數目標 = 8 家
團隊每月成交目標 = 8x3 =24
MS 產出占總目標約 20%（符合八二法則，前 20% 的客戶才投入人力）</t>
      </text>
    </comment>
    <comment authorId="0" ref="J8">
      <text>
        <t xml:space="preserve">推估每人每季成交 2 個品牌的愛雪芙全餐（總部+OMO+合約切齊）：3 人 x 2 個品牌 x 4 季 = 24
2025 共成交 4 個品牌，平均獎金 NT$33,303／品牌</t>
      </text>
    </comment>
    <comment authorId="0" ref="J9">
      <text>
        <t xml:space="preserve">推估每人每季成交 2 個品牌的愛雪福全餐（總部+OMO+合約切齊）；每個品牌平均每年新增 2 家分店需 POS 導入：3 人 x 2 個品牌 x 4 季 x 2 家新店 = 48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@finnie.liang@ichef.com.tw 這裡的 SG 費用一樣請幫我掛到 TW POS ENTSi2 ENTTA1
_Assigned to Liang Finnie_
	-魏妤庭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9">
      <text>
        <t xml:space="preserve">推估 Q1 價格變更影響</t>
      </text>
    </comment>
    <comment authorId="0" ref="M11">
      <text>
        <t xml:space="preserve">推估 Q1 價格變更影響
</t>
      </text>
    </comment>
    <comment authorId="0" ref="O12">
      <text>
        <t xml:space="preserve">推估 SG sunset 影響
</t>
      </text>
    </comment>
    <comment authorId="0" ref="Q12">
      <text>
        <t xml:space="preserve">SG 外包客服只服務到 7/31 ，8 月開始還有營運的用戶，每日訊息需要有人回覆，暫定由主管暫代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ipad 無法升級需汰換、估 6 台</t>
      </text>
    </comment>
    <comment authorId="0" ref="H17">
      <text>
        <t xml:space="preserve">兩台壞掉要換</t>
      </text>
    </comment>
    <comment authorId="0" ref="H18">
      <text>
        <t xml:space="preserve">估兩台備用</t>
      </text>
    </comment>
    <comment authorId="0" ref="I25">
      <text>
        <t xml:space="preserve">我們只用到 11 席，但實際支付到 18 席左右
	-Liang Finnie</t>
      </text>
    </comment>
  </commentList>
</comments>
</file>

<file path=xl/sharedStrings.xml><?xml version="1.0" encoding="utf-8"?>
<sst xmlns="http://schemas.openxmlformats.org/spreadsheetml/2006/main" count="1988" uniqueCount="229">
  <si>
    <t>子公司</t>
  </si>
  <si>
    <t>事業單位</t>
  </si>
  <si>
    <t>Si 編號</t>
  </si>
  <si>
    <t>TA 編號</t>
  </si>
  <si>
    <t>價值鏈專案預算代號</t>
  </si>
  <si>
    <t>費用單位</t>
  </si>
  <si>
    <t>費用類型</t>
  </si>
  <si>
    <t>姓名</t>
  </si>
  <si>
    <t>備註</t>
  </si>
  <si>
    <t>2026 year</t>
  </si>
  <si>
    <t>TW</t>
  </si>
  <si>
    <t>POS</t>
  </si>
  <si>
    <t>ENTSi1</t>
  </si>
  <si>
    <t>ENT26TA1</t>
  </si>
  <si>
    <t>NA</t>
  </si>
  <si>
    <t>執行長室 : 客戶價值中心 : 客戶成功管理部 : 客戶成功團隊</t>
  </si>
  <si>
    <t>人事費用</t>
  </si>
  <si>
    <t>陳馨如</t>
  </si>
  <si>
    <t>OMO</t>
  </si>
  <si>
    <t>OrderingSi1</t>
  </si>
  <si>
    <t>Ordering26TA2</t>
  </si>
  <si>
    <t>ReservationSi1</t>
  </si>
  <si>
    <t>Reservation26TA1</t>
  </si>
  <si>
    <t>楊麗涵</t>
  </si>
  <si>
    <t>新人 3</t>
  </si>
  <si>
    <t>MS 2025 已招募 、預計 2025 年 11 月到職</t>
  </si>
  <si>
    <t xml:space="preserve">執行長室 : 客戶價值中心 : 客戶關係管理部 : 客戶經理團隊	</t>
  </si>
  <si>
    <t>蔡佳玲</t>
  </si>
  <si>
    <t>總部 AM</t>
  </si>
  <si>
    <t>SMBSi1</t>
  </si>
  <si>
    <t>SMB26TA1</t>
  </si>
  <si>
    <t>莊媁晨</t>
  </si>
  <si>
    <t>OMO+POS AM</t>
  </si>
  <si>
    <t>Ordering26TA3</t>
  </si>
  <si>
    <t>Reservation26TA2</t>
  </si>
  <si>
    <t>ENTSi2</t>
  </si>
  <si>
    <t>VC05P1</t>
  </si>
  <si>
    <t>執行長室 : 客戶價值中心 : 客戶價值中心</t>
  </si>
  <si>
    <t>李菩綾</t>
  </si>
  <si>
    <t>三級主管</t>
  </si>
  <si>
    <t>費用項目</t>
  </si>
  <si>
    <t>VC05P4</t>
  </si>
  <si>
    <t>非人事費用</t>
  </si>
  <si>
    <t>MS 公務機津貼_點餐</t>
  </si>
  <si>
    <t>每人每月 $1,000</t>
  </si>
  <si>
    <t>MS 交通差旅費_點餐</t>
  </si>
  <si>
    <t>每人每月 $10,000</t>
  </si>
  <si>
    <t>MS 公務機津貼_訂位</t>
  </si>
  <si>
    <t>MS 交通差旅費_訂位</t>
  </si>
  <si>
    <t>OMO 業績達標獎金_點餐</t>
  </si>
  <si>
    <t>$2000／間（暫時延續 2025 年預算單價）</t>
  </si>
  <si>
    <t>OMO 業績達標獎金_訂位</t>
  </si>
  <si>
    <t>VC01P1</t>
  </si>
  <si>
    <t>ENT 業績達標獎金</t>
  </si>
  <si>
    <t>$30000／品牌</t>
  </si>
  <si>
    <t>ENT 派發導入業務工單</t>
  </si>
  <si>
    <t>$1500／單張</t>
  </si>
  <si>
    <t>VC05P2</t>
  </si>
  <si>
    <t>轉介回饋金</t>
  </si>
  <si>
    <t>$ 2000/組</t>
  </si>
  <si>
    <t>VC06P1</t>
  </si>
  <si>
    <t>mailchimp</t>
  </si>
  <si>
    <t>USD 45 /月</t>
  </si>
  <si>
    <t>總部 AM 公務機津貼</t>
  </si>
  <si>
    <t>總部 AM 交通差旅費</t>
  </si>
  <si>
    <t>加總</t>
  </si>
  <si>
    <t>Maintenance</t>
  </si>
  <si>
    <t>Baseline</t>
  </si>
  <si>
    <t>執行長室 : 客戶價值中心 : 客戶成功管理部 : 產品教育團隊</t>
  </si>
  <si>
    <t>周玟萱</t>
  </si>
  <si>
    <t>朱肇平</t>
  </si>
  <si>
    <t>執行長室 : 客戶價值中心 : 客戶關係管理部 : TSE 團隊</t>
  </si>
  <si>
    <t>丁伊柔</t>
  </si>
  <si>
    <t>林展甫</t>
  </si>
  <si>
    <t>執行長室 : 客戶價值中心 : 客戶關係管理部 : 客服團隊</t>
  </si>
  <si>
    <t>吳芯儀</t>
  </si>
  <si>
    <t>戴馨妤</t>
  </si>
  <si>
    <t>蔡仲惠</t>
  </si>
  <si>
    <t>謝尹蘋</t>
  </si>
  <si>
    <t>朱珮瑜</t>
  </si>
  <si>
    <t>黃裕真</t>
  </si>
  <si>
    <t>吳欣庭</t>
  </si>
  <si>
    <t>周思吟</t>
  </si>
  <si>
    <t>劉晏廷</t>
  </si>
  <si>
    <t>TW-CS 工讀生</t>
  </si>
  <si>
    <t>盧欣妤</t>
  </si>
  <si>
    <t>SG</t>
  </si>
  <si>
    <t>陳怡婷</t>
  </si>
  <si>
    <t>SG-CS 工讀生</t>
  </si>
  <si>
    <t>陳嘉汶</t>
  </si>
  <si>
    <t>總部 AM ( 育嬰留停）</t>
  </si>
  <si>
    <t>許裴宸</t>
  </si>
  <si>
    <t>TW-POS-AM</t>
  </si>
  <si>
    <t>黃如蘭</t>
  </si>
  <si>
    <t>TW-OMO-AM</t>
  </si>
  <si>
    <t>新人 1</t>
  </si>
  <si>
    <t>( A ) NEW-CS T1</t>
  </si>
  <si>
    <t>新人 2</t>
  </si>
  <si>
    <t>( B ) NEW-CS T1</t>
  </si>
  <si>
    <t>Corporation</t>
  </si>
  <si>
    <t>@ichefcs  客服 LINE OA 帳號</t>
  </si>
  <si>
    <t>基礎費用＋訊息加購費</t>
  </si>
  <si>
    <t>@ichefob  續約 LINE OA 帳號</t>
  </si>
  <si>
    <t>年繳，2026/03/1 請款 ＋ 用量方案</t>
  </si>
  <si>
    <t>@ichefms  客戶成功 LINE OA 帳號</t>
  </si>
  <si>
    <t>年繳，2026/10/1 請款</t>
  </si>
  <si>
    <t>@ichefhq 總部客服 LINE OA 帳號</t>
  </si>
  <si>
    <t>年繳，2026/05/1 請款</t>
  </si>
  <si>
    <t>客服手機 0965186039 (Line OA 號碼）</t>
  </si>
  <si>
    <t>固定月費</t>
  </si>
  <si>
    <t>客服 0800-889-055 電話費用</t>
  </si>
  <si>
    <t>已依據大小月及產品 roadmap 預估推播次數。</t>
  </si>
  <si>
    <t>網訊電信費（IVR轉接、電話費、簡訊費）</t>
  </si>
  <si>
    <t>網訊電信費（IVR轉接、電話費、簡訊費），已包含 5%稅率</t>
  </si>
  <si>
    <t>網訊 G5 帳號費</t>
  </si>
  <si>
    <t>線上接聽電話（網訊/台中/台北 共用）</t>
  </si>
  <si>
    <t>黑貓運費</t>
  </si>
  <si>
    <t>因 Lalamove 費用在同期成長達 16%，自 2025 年 7 月起內部調整配送機制：非急件一律改由黑貓配送，壓低整體運輸成本。整體評估後，2026 年預估黑貓運費將隨件數與用戶數有成長，故增加此條預算金額</t>
  </si>
  <si>
    <t>Lalamove運費</t>
  </si>
  <si>
    <t>2026 年建議維持兩個月請購一次，但單次請購金額由 NT$20,000 下調為 NT$14,000。</t>
  </si>
  <si>
    <t>客服購置備用機</t>
  </si>
  <si>
    <t xml:space="preserve">客服購置備用機 / 季 </t>
  </si>
  <si>
    <t>客服備用機維修</t>
  </si>
  <si>
    <t>備用機維修金額難以依月份預估，約每年 $120,000</t>
  </si>
  <si>
    <t>Zaiper</t>
  </si>
  <si>
    <t xml:space="preserve"> USD 2202（匯率約 33）。客服費用占比約 73%</t>
  </si>
  <si>
    <t>Zapier 費用</t>
  </si>
  <si>
    <t>續約組</t>
  </si>
  <si>
    <t>Typeform</t>
  </si>
  <si>
    <t>每年 2/15 續約，費用為 USD 350。＄11559/年</t>
  </si>
  <si>
    <t xml:space="preserve">SURVEYSPARROW </t>
  </si>
  <si>
    <t>NPS 調查軟體 $1188 USD</t>
  </si>
  <si>
    <t>點點簽帳號</t>
  </si>
  <si>
    <t>續約跟客戶成功共用，每一個帳號每月是$450元</t>
  </si>
  <si>
    <t>WordPress 專業版</t>
  </si>
  <si>
    <t>年繳｜2026/03/21 請款｜NTD$5148</t>
  </si>
  <si>
    <t>Elementor</t>
  </si>
  <si>
    <t>年繳｜2026/04/20 請款｜USD$49</t>
  </si>
  <si>
    <t>WPML</t>
  </si>
  <si>
    <t>年繳｜2026/04/20 請款｜USD$74</t>
  </si>
  <si>
    <t>Frontitude</t>
  </si>
  <si>
    <t>年繳｜2026/04/27 請款｜USD$828</t>
  </si>
  <si>
    <t>Figma</t>
  </si>
  <si>
    <t>USD$16／月 x 3 席</t>
  </si>
  <si>
    <t>YET ANOTHER MAIL</t>
  </si>
  <si>
    <t>年繳｜2026/05 請款｜NTD$ 1205</t>
  </si>
  <si>
    <t>FORM-PUBLISHER.COM</t>
  </si>
  <si>
    <t>年繳，USD 79，2026/1 請款，用於權責移轉跳轉表單寄給店家</t>
  </si>
  <si>
    <t>Flydove 費用</t>
  </si>
  <si>
    <t>用於續約通知</t>
  </si>
  <si>
    <t>GitHub</t>
  </si>
  <si>
    <t>研發中心協助請款</t>
  </si>
  <si>
    <t>iCHEF  之家費用 /月（台北＋高雄）</t>
  </si>
  <si>
    <t>台北 ＆ 高雄各一家</t>
  </si>
  <si>
    <t>業務工單</t>
  </si>
  <si>
    <t>每張工單為 750 元，預估每月 8張。</t>
  </si>
  <si>
    <t>外站差旅費｜每 2個月一次 T2 外地訓練</t>
  </si>
  <si>
    <t>團隊夥伴預計每兩個月出差一次（單日）</t>
  </si>
  <si>
    <t>外站差旅費｜CS 台中夥伴至台北開會</t>
  </si>
  <si>
    <t>來回車票共 NT$1,400／人，7 人估列</t>
  </si>
  <si>
    <t>出單機包材</t>
  </si>
  <si>
    <t>小紙箱與包裝泡泡紙，季 /＄5,500</t>
  </si>
  <si>
    <t>備機封箱貼紙</t>
  </si>
  <si>
    <t>半年 / 3,300</t>
  </si>
  <si>
    <t>緊急紙卷&amp;測試紙捲</t>
  </si>
  <si>
    <t>季 /＄4,000</t>
  </si>
  <si>
    <t>TW客訴賠償預算</t>
  </si>
  <si>
    <t>季/9,000</t>
  </si>
  <si>
    <t>雜項購置</t>
  </si>
  <si>
    <t>備用機清潔用品，文具雜物預算/ 季 3,000</t>
  </si>
  <si>
    <t>網訊外包客服</t>
  </si>
  <si>
    <t>1 位網訊小組長＋7 位網訊 T1</t>
  </si>
  <si>
    <t>AI客服費用</t>
  </si>
  <si>
    <t>5/19 正式上版，第一期合約到2026年5月
平台使用費為 40000(未稅）</t>
  </si>
  <si>
    <t>SG - CS 公務機月租費</t>
  </si>
  <si>
    <t>月付，每月約 SGD $31，Whatsapp 登記門號，</t>
  </si>
  <si>
    <t>SG - Alice 薪資費用</t>
  </si>
  <si>
    <t>月付</t>
  </si>
  <si>
    <t>SG - Alice 薪資轉帳手續費</t>
  </si>
  <si>
    <t>月付，每月約 SGD $50</t>
  </si>
  <si>
    <t>梁方瑜</t>
  </si>
  <si>
    <t>一級主管</t>
  </si>
  <si>
    <t>謝孟娟</t>
  </si>
  <si>
    <t>二級主管</t>
  </si>
  <si>
    <t>陳繼訓</t>
  </si>
  <si>
    <t>林怡儒</t>
  </si>
  <si>
    <t>團隊層級獎金 - IC職</t>
  </si>
  <si>
    <t>團隊層級獎金 - 一級主管</t>
  </si>
  <si>
    <t>團隊層級獎金 - 二級主管</t>
  </si>
  <si>
    <t>團隊層級獎金 - 三級主管</t>
  </si>
  <si>
    <t>季度聚餐</t>
  </si>
  <si>
    <t>健康檢查 (在職滿一年)</t>
  </si>
  <si>
    <t>團體保險</t>
  </si>
  <si>
    <t>團建/ 交際費 (一級主管)</t>
  </si>
  <si>
    <t>團建/ 交際費 (二級主管)</t>
  </si>
  <si>
    <t>團建/ 交際費 (三級主管)</t>
  </si>
  <si>
    <t>差旅費 (一級主管)</t>
  </si>
  <si>
    <t>差旅費 (二級主管 Johnson Alice )</t>
  </si>
  <si>
    <t>差旅費 (三級主管 Anna )</t>
  </si>
  <si>
    <t>裝置費用分攤（滿三年更換）ipad</t>
  </si>
  <si>
    <t>裝置費用分攤（滿三年更換）螢幕</t>
  </si>
  <si>
    <t>裝置費用分攤（滿三年更換）Macbook Air</t>
  </si>
  <si>
    <t>裝置費用分攤（新人添購）</t>
  </si>
  <si>
    <t>裝置折舊攤提</t>
  </si>
  <si>
    <t>1Password Business Level</t>
  </si>
  <si>
    <t>通用軟體 GWS</t>
  </si>
  <si>
    <t>專用軟體 MAC (JAMF) 裝置控管</t>
  </si>
  <si>
    <t>通用軟體 Apollo</t>
  </si>
  <si>
    <t>專用軟體 Office</t>
  </si>
  <si>
    <t>通用軟體 Asana</t>
  </si>
  <si>
    <t>通用軟體 Notion</t>
  </si>
  <si>
    <t>通用軟體 Slack</t>
  </si>
  <si>
    <t>每月 ChatGPT 費用</t>
  </si>
  <si>
    <t>辦公室VPN</t>
  </si>
  <si>
    <t>專用軟體 Netsuite 主管/看管報帳號</t>
  </si>
  <si>
    <t>專用軟體 Netsuite 員工帳號</t>
  </si>
  <si>
    <t>專用軟體 Tableau Viewer</t>
  </si>
  <si>
    <t>專用軟體 Tableau Creator</t>
  </si>
  <si>
    <t>專用軟體 Salesforce Service Cloud</t>
  </si>
  <si>
    <t>專用軟體 Salesforce Sales+Service Cloud</t>
  </si>
  <si>
    <t>miro ( USD 8 /人/月）</t>
  </si>
  <si>
    <t>Gamma ( USD 8 /人/月）</t>
  </si>
  <si>
    <t>NEW - MS</t>
  </si>
  <si>
    <t>預計 2025 年 11 月到職</t>
  </si>
  <si>
    <t>維運費用分攤</t>
  </si>
  <si>
    <t>集團費用分攤</t>
  </si>
  <si>
    <t>IC 職</t>
  </si>
  <si>
    <t>新人</t>
  </si>
  <si>
    <t>網訊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</si>
</sst>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"/>
    <numFmt numFmtId="165" formatCode="[$NT$-404]#,##0"/>
    <numFmt numFmtId="166" formatCode="&quot;NT$&quot;#,##0"/>
    <numFmt numFmtId="167" formatCode="[$NT$]#,##0"/>
    <numFmt numFmtId="168" formatCode="yyyy/mm"/>
    <numFmt numFmtId="169" formatCode="yyyy/mm/dd"/>
    <numFmt numFmtId="170" formatCode="yyyy/m/d"/>
    <numFmt numFmtId="171" formatCode="#,##0_);[Red]\(#,##0\)"/>
    <numFmt numFmtId="172" formatCode="#,##0;(#,##0)"/>
  </numFmts>
  <fonts count="11">
    <font>
      <sz val="10.0"/>
      <color rgb="FF000000"/>
      <name val="Arial"/>
      <scheme val="minor"/>
    </font>
    <font>
      <color theme="1"/>
      <name val="Arial"/>
    </font>
    <font>
      <color rgb="FF999999"/>
      <name val="Arial"/>
    </font>
    <font>
      <sz val="12.0"/>
      <color theme="1"/>
      <name val="Arial"/>
    </font>
    <font>
      <color theme="1"/>
      <name val="Arial"/>
      <scheme val="minor"/>
    </font>
    <font>
      <color theme="1"/>
      <name val="Verdana"/>
    </font>
    <font>
      <u/>
      <color rgb="FF0000FF"/>
      <name val="Arial"/>
    </font>
    <font>
      <strike/>
      <color theme="1"/>
      <name val="Arial"/>
    </font>
    <font>
      <color rgb="FFFF0000"/>
      <name val="Arial"/>
    </font>
    <font>
      <color rgb="FFFF0000"/>
      <name val="Arial"/>
      <scheme val="minor"/>
    </font>
    <font>
      <b/>
      <sz val="11.0"/>
      <color rgb="FF222222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center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readingOrder="0" shrinkToFit="0" vertical="top" wrapText="1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shrinkToFit="0" vertical="bottom" wrapText="1"/>
    </xf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readingOrder="0" shrinkToFit="0" vertical="center" wrapText="1"/>
    </xf>
    <xf borderId="0" fillId="3" fontId="1" numFmtId="3" xfId="0" applyAlignment="1" applyFill="1" applyFont="1" applyNumberFormat="1">
      <alignment readingOrder="0" shrinkToFit="0" vertical="bottom" wrapText="1"/>
    </xf>
    <xf borderId="0" fillId="2" fontId="5" numFmtId="3" xfId="0" applyAlignment="1" applyFont="1" applyNumberFormat="1">
      <alignment readingOrder="0" shrinkToFit="0" vertical="bottom" wrapText="1"/>
    </xf>
    <xf borderId="0" fillId="3" fontId="1" numFmtId="3" xfId="0" applyAlignment="1" applyFont="1" applyNumberFormat="1">
      <alignment shrinkToFit="0" vertical="bottom" wrapText="1"/>
    </xf>
    <xf borderId="0" fillId="0" fontId="1" numFmtId="3" xfId="0" applyAlignment="1" applyFont="1" applyNumberFormat="1">
      <alignment readingOrder="0" shrinkToFit="0" vertical="bottom" wrapText="1"/>
    </xf>
    <xf borderId="0" fillId="0" fontId="5" numFmtId="3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1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1" numFmtId="165" xfId="0" applyAlignment="1" applyFont="1" applyNumberFormat="1">
      <alignment horizontal="left" vertical="bottom"/>
    </xf>
    <xf borderId="0" fillId="0" fontId="1" numFmtId="165" xfId="0" applyAlignment="1" applyFont="1" applyNumberFormat="1">
      <alignment horizontal="right" vertical="bottom"/>
    </xf>
    <xf borderId="0" fillId="0" fontId="4" numFmtId="0" xfId="0" applyFont="1"/>
    <xf borderId="0" fillId="0" fontId="1" numFmtId="165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4" numFmtId="165" xfId="0" applyFont="1" applyNumberFormat="1"/>
    <xf borderId="0" fillId="0" fontId="8" numFmtId="0" xfId="0" applyAlignment="1" applyFont="1">
      <alignment vertical="bottom"/>
    </xf>
    <xf borderId="0" fillId="0" fontId="1" numFmtId="165" xfId="0" applyAlignment="1" applyFont="1" applyNumberFormat="1">
      <alignment horizontal="left" vertical="bottom"/>
    </xf>
    <xf borderId="0" fillId="0" fontId="1" numFmtId="165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4" numFmtId="10" xfId="0" applyFont="1" applyNumberFormat="1"/>
    <xf borderId="0" fillId="0" fontId="4" numFmtId="165" xfId="0" applyFont="1" applyNumberFormat="1"/>
    <xf borderId="0" fillId="0" fontId="4" numFmtId="167" xfId="0" applyFont="1" applyNumberFormat="1"/>
    <xf borderId="0" fillId="0" fontId="4" numFmtId="1" xfId="0" applyFont="1" applyNumberFormat="1"/>
    <xf borderId="0" fillId="0" fontId="4" numFmtId="168" xfId="0" applyFont="1" applyNumberFormat="1"/>
    <xf borderId="0" fillId="0" fontId="4" numFmtId="169" xfId="0" applyFont="1" applyNumberFormat="1"/>
    <xf borderId="0" fillId="0" fontId="4" numFmtId="170" xfId="0" applyFont="1" applyNumberFormat="1"/>
    <xf borderId="0" fillId="0" fontId="4" numFmtId="164" xfId="0" applyFont="1" applyNumberFormat="1"/>
    <xf borderId="0" fillId="0" fontId="4" numFmtId="41" xfId="0" applyFont="1" applyNumberFormat="1"/>
    <xf borderId="0" fillId="0" fontId="1" numFmtId="41" xfId="0" applyAlignment="1" applyFont="1" applyNumberFormat="1">
      <alignment horizontal="right" vertical="bottom"/>
    </xf>
    <xf borderId="0" fillId="0" fontId="4" numFmtId="171" xfId="0" applyFont="1" applyNumberFormat="1"/>
    <xf borderId="0" fillId="0" fontId="4" numFmtId="172" xfId="0" applyFont="1" applyNumberFormat="1"/>
    <xf borderId="0" fillId="0" fontId="4" numFmtId="3" xfId="0" applyFont="1" applyNumberForma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app.asana.com/1/67772109358670/project/1207145260935288/task/1211623032667701?focus=true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3" max="3" width="19.0"/>
    <col customWidth="1" min="4" max="4" width="23.75"/>
    <col customWidth="1" min="5" max="5" width="16.0"/>
    <col customWidth="1" min="6" max="6" width="53.0"/>
    <col customWidth="1" min="7" max="7" width="13.13"/>
    <col customWidth="1" min="8" max="8" width="15.5"/>
    <col customWidth="1" min="9" max="9" width="19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  <c r="AA1" s="1"/>
    </row>
    <row r="2">
      <c r="A2" s="4"/>
      <c r="B2" s="4"/>
      <c r="C2" s="4"/>
      <c r="D2" s="4"/>
      <c r="E2" s="1"/>
      <c r="F2" s="1"/>
      <c r="G2" s="4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1"/>
      <c r="X2" s="1"/>
      <c r="Y2" s="1"/>
      <c r="Z2" s="1"/>
      <c r="AA2" s="1"/>
    </row>
    <row r="3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8" t="s">
        <v>17</v>
      </c>
      <c r="I3" s="1"/>
      <c r="J3" s="7">
        <v>0.2</v>
      </c>
      <c r="K3" s="7">
        <v>0.2</v>
      </c>
      <c r="L3" s="7">
        <v>0.2</v>
      </c>
      <c r="M3" s="7">
        <v>0.2</v>
      </c>
      <c r="N3" s="7">
        <v>0.2</v>
      </c>
      <c r="O3" s="7">
        <v>0.2</v>
      </c>
      <c r="P3" s="7">
        <v>0.2</v>
      </c>
      <c r="Q3" s="7">
        <v>0.2</v>
      </c>
      <c r="R3" s="7">
        <v>0.2</v>
      </c>
      <c r="S3" s="7">
        <v>0.2</v>
      </c>
      <c r="T3" s="7">
        <v>0.2</v>
      </c>
      <c r="U3" s="7">
        <v>0.2</v>
      </c>
      <c r="V3" s="9">
        <f t="shared" ref="V3:V6" si="1">SUM(J3:U3)</f>
        <v>2.4</v>
      </c>
      <c r="W3" s="1"/>
      <c r="X3" s="1"/>
      <c r="Y3" s="1"/>
      <c r="Z3" s="1"/>
      <c r="AA3" s="1"/>
    </row>
    <row r="4">
      <c r="A4" s="7" t="s">
        <v>10</v>
      </c>
      <c r="B4" s="7" t="s">
        <v>18</v>
      </c>
      <c r="C4" s="7" t="s">
        <v>19</v>
      </c>
      <c r="D4" s="7" t="s">
        <v>20</v>
      </c>
      <c r="E4" s="7" t="s">
        <v>14</v>
      </c>
      <c r="F4" s="7" t="s">
        <v>15</v>
      </c>
      <c r="G4" s="7" t="s">
        <v>16</v>
      </c>
      <c r="H4" s="8" t="s">
        <v>17</v>
      </c>
      <c r="I4" s="1"/>
      <c r="J4" s="7">
        <v>0.4</v>
      </c>
      <c r="K4" s="7">
        <v>0.4</v>
      </c>
      <c r="L4" s="7">
        <v>0.4</v>
      </c>
      <c r="M4" s="7">
        <v>0.4</v>
      </c>
      <c r="N4" s="7">
        <v>0.4</v>
      </c>
      <c r="O4" s="7">
        <v>0.4</v>
      </c>
      <c r="P4" s="7">
        <v>0.4</v>
      </c>
      <c r="Q4" s="7">
        <v>0.4</v>
      </c>
      <c r="R4" s="7">
        <v>0.4</v>
      </c>
      <c r="S4" s="7">
        <v>0.4</v>
      </c>
      <c r="T4" s="7">
        <v>0.4</v>
      </c>
      <c r="U4" s="7">
        <v>0.4</v>
      </c>
      <c r="V4" s="9">
        <f t="shared" si="1"/>
        <v>4.8</v>
      </c>
      <c r="W4" s="1"/>
      <c r="X4" s="1"/>
      <c r="Y4" s="1"/>
      <c r="Z4" s="1"/>
      <c r="AA4" s="1"/>
    </row>
    <row r="5">
      <c r="A5" s="7" t="s">
        <v>10</v>
      </c>
      <c r="B5" s="7" t="s">
        <v>18</v>
      </c>
      <c r="C5" s="7" t="s">
        <v>21</v>
      </c>
      <c r="D5" s="7" t="s">
        <v>22</v>
      </c>
      <c r="E5" s="7" t="s">
        <v>14</v>
      </c>
      <c r="F5" s="7" t="s">
        <v>15</v>
      </c>
      <c r="G5" s="7" t="s">
        <v>16</v>
      </c>
      <c r="H5" s="8" t="s">
        <v>17</v>
      </c>
      <c r="I5" s="1"/>
      <c r="J5" s="7">
        <v>0.4</v>
      </c>
      <c r="K5" s="7">
        <v>0.4</v>
      </c>
      <c r="L5" s="7">
        <v>0.4</v>
      </c>
      <c r="M5" s="7">
        <v>0.4</v>
      </c>
      <c r="N5" s="7">
        <v>0.4</v>
      </c>
      <c r="O5" s="7">
        <v>0.4</v>
      </c>
      <c r="P5" s="7">
        <v>0.4</v>
      </c>
      <c r="Q5" s="7">
        <v>0.4</v>
      </c>
      <c r="R5" s="7">
        <v>0.4</v>
      </c>
      <c r="S5" s="7">
        <v>0.4</v>
      </c>
      <c r="T5" s="7">
        <v>0.4</v>
      </c>
      <c r="U5" s="7">
        <v>0.4</v>
      </c>
      <c r="V5" s="9">
        <f t="shared" si="1"/>
        <v>4.8</v>
      </c>
      <c r="W5" s="1"/>
      <c r="X5" s="1"/>
      <c r="Y5" s="1"/>
      <c r="Z5" s="1"/>
      <c r="AA5" s="1"/>
    </row>
    <row r="6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10" t="s">
        <v>23</v>
      </c>
      <c r="I6" s="1"/>
      <c r="J6" s="7">
        <v>0.2</v>
      </c>
      <c r="K6" s="7">
        <v>0.2</v>
      </c>
      <c r="L6" s="7">
        <v>0.2</v>
      </c>
      <c r="M6" s="7">
        <v>0.2</v>
      </c>
      <c r="N6" s="7">
        <v>0.2</v>
      </c>
      <c r="O6" s="7">
        <v>0.2</v>
      </c>
      <c r="P6" s="7">
        <v>0.2</v>
      </c>
      <c r="Q6" s="7">
        <v>0.2</v>
      </c>
      <c r="R6" s="7">
        <v>0.2</v>
      </c>
      <c r="S6" s="7">
        <v>0.2</v>
      </c>
      <c r="T6" s="7">
        <v>0.2</v>
      </c>
      <c r="U6" s="7">
        <v>0.2</v>
      </c>
      <c r="V6" s="9">
        <f t="shared" si="1"/>
        <v>2.4</v>
      </c>
      <c r="W6" s="1"/>
      <c r="X6" s="1"/>
      <c r="Y6" s="1"/>
      <c r="Z6" s="1"/>
      <c r="AA6" s="1"/>
    </row>
    <row r="7">
      <c r="A7" s="7" t="s">
        <v>10</v>
      </c>
      <c r="B7" s="7" t="s">
        <v>18</v>
      </c>
      <c r="C7" s="7" t="s">
        <v>19</v>
      </c>
      <c r="D7" s="7" t="s">
        <v>20</v>
      </c>
      <c r="E7" s="7" t="s">
        <v>14</v>
      </c>
      <c r="F7" s="7" t="s">
        <v>15</v>
      </c>
      <c r="G7" s="7" t="s">
        <v>16</v>
      </c>
      <c r="H7" s="10" t="s">
        <v>23</v>
      </c>
      <c r="I7" s="1"/>
      <c r="J7" s="7">
        <v>0.4</v>
      </c>
      <c r="K7" s="7">
        <v>0.4</v>
      </c>
      <c r="L7" s="7">
        <v>0.4</v>
      </c>
      <c r="M7" s="7">
        <v>0.4</v>
      </c>
      <c r="N7" s="7">
        <v>0.4</v>
      </c>
      <c r="O7" s="7">
        <v>0.4</v>
      </c>
      <c r="P7" s="7">
        <v>0.4</v>
      </c>
      <c r="Q7" s="7">
        <v>0.4</v>
      </c>
      <c r="R7" s="7">
        <v>0.4</v>
      </c>
      <c r="S7" s="7">
        <v>0.4</v>
      </c>
      <c r="T7" s="7">
        <v>0.4</v>
      </c>
      <c r="U7" s="7">
        <v>0.4</v>
      </c>
      <c r="V7" s="9">
        <f t="shared" ref="V7:V15" si="2">SUM(B3:U3)</f>
        <v>2.4</v>
      </c>
      <c r="W7" s="1"/>
      <c r="X7" s="1"/>
      <c r="Y7" s="1"/>
      <c r="Z7" s="1"/>
      <c r="AA7" s="1"/>
    </row>
    <row r="8">
      <c r="A8" s="7" t="s">
        <v>10</v>
      </c>
      <c r="B8" s="7" t="s">
        <v>18</v>
      </c>
      <c r="C8" s="7" t="s">
        <v>21</v>
      </c>
      <c r="D8" s="7" t="s">
        <v>22</v>
      </c>
      <c r="E8" s="7" t="s">
        <v>14</v>
      </c>
      <c r="F8" s="7" t="s">
        <v>15</v>
      </c>
      <c r="G8" s="7" t="s">
        <v>16</v>
      </c>
      <c r="H8" s="10" t="s">
        <v>23</v>
      </c>
      <c r="I8" s="1"/>
      <c r="J8" s="7">
        <v>0.4</v>
      </c>
      <c r="K8" s="7">
        <v>0.4</v>
      </c>
      <c r="L8" s="7">
        <v>0.4</v>
      </c>
      <c r="M8" s="7">
        <v>0.4</v>
      </c>
      <c r="N8" s="7">
        <v>0.4</v>
      </c>
      <c r="O8" s="7">
        <v>0.4</v>
      </c>
      <c r="P8" s="7">
        <v>0.4</v>
      </c>
      <c r="Q8" s="7">
        <v>0.4</v>
      </c>
      <c r="R8" s="7">
        <v>0.4</v>
      </c>
      <c r="S8" s="7">
        <v>0.4</v>
      </c>
      <c r="T8" s="7">
        <v>0.4</v>
      </c>
      <c r="U8" s="7">
        <v>0.4</v>
      </c>
      <c r="V8" s="9">
        <f t="shared" si="2"/>
        <v>4.8</v>
      </c>
      <c r="W8" s="1"/>
      <c r="X8" s="1"/>
      <c r="Y8" s="1"/>
      <c r="Z8" s="1"/>
      <c r="AA8" s="1"/>
    </row>
    <row r="9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11" t="s">
        <v>24</v>
      </c>
      <c r="I9" s="7" t="s">
        <v>25</v>
      </c>
      <c r="J9" s="7">
        <v>0.2</v>
      </c>
      <c r="K9" s="7">
        <v>0.2</v>
      </c>
      <c r="L9" s="7">
        <v>0.2</v>
      </c>
      <c r="M9" s="7">
        <v>0.2</v>
      </c>
      <c r="N9" s="7">
        <v>0.2</v>
      </c>
      <c r="O9" s="7">
        <v>0.2</v>
      </c>
      <c r="P9" s="7">
        <v>0.2</v>
      </c>
      <c r="Q9" s="7">
        <v>0.2</v>
      </c>
      <c r="R9" s="7">
        <v>0.2</v>
      </c>
      <c r="S9" s="7">
        <v>0.2</v>
      </c>
      <c r="T9" s="7">
        <v>0.2</v>
      </c>
      <c r="U9" s="7">
        <v>0.2</v>
      </c>
      <c r="V9" s="9">
        <f t="shared" si="2"/>
        <v>4.8</v>
      </c>
      <c r="W9" s="1"/>
      <c r="X9" s="1"/>
      <c r="Y9" s="1"/>
      <c r="Z9" s="1"/>
      <c r="AA9" s="1"/>
    </row>
    <row r="10">
      <c r="A10" s="7" t="s">
        <v>10</v>
      </c>
      <c r="B10" s="7" t="s">
        <v>18</v>
      </c>
      <c r="C10" s="7" t="s">
        <v>19</v>
      </c>
      <c r="D10" s="7" t="s">
        <v>20</v>
      </c>
      <c r="E10" s="7" t="s">
        <v>14</v>
      </c>
      <c r="F10" s="7" t="s">
        <v>15</v>
      </c>
      <c r="G10" s="7" t="s">
        <v>16</v>
      </c>
      <c r="H10" s="11" t="s">
        <v>24</v>
      </c>
      <c r="I10" s="7" t="s">
        <v>25</v>
      </c>
      <c r="J10" s="7">
        <v>0.4</v>
      </c>
      <c r="K10" s="7">
        <v>0.4</v>
      </c>
      <c r="L10" s="7">
        <v>0.4</v>
      </c>
      <c r="M10" s="7">
        <v>0.4</v>
      </c>
      <c r="N10" s="7">
        <v>0.4</v>
      </c>
      <c r="O10" s="7">
        <v>0.4</v>
      </c>
      <c r="P10" s="7">
        <v>0.4</v>
      </c>
      <c r="Q10" s="7">
        <v>0.4</v>
      </c>
      <c r="R10" s="7">
        <v>0.4</v>
      </c>
      <c r="S10" s="7">
        <v>0.4</v>
      </c>
      <c r="T10" s="7">
        <v>0.4</v>
      </c>
      <c r="U10" s="7">
        <v>0.4</v>
      </c>
      <c r="V10" s="9">
        <f t="shared" si="2"/>
        <v>2.4</v>
      </c>
      <c r="W10" s="1"/>
      <c r="X10" s="1"/>
      <c r="Y10" s="1"/>
      <c r="Z10" s="1"/>
      <c r="AA10" s="1"/>
    </row>
    <row r="11">
      <c r="A11" s="7" t="s">
        <v>10</v>
      </c>
      <c r="B11" s="7" t="s">
        <v>18</v>
      </c>
      <c r="C11" s="7" t="s">
        <v>21</v>
      </c>
      <c r="D11" s="7" t="s">
        <v>22</v>
      </c>
      <c r="E11" s="7" t="s">
        <v>14</v>
      </c>
      <c r="F11" s="7" t="s">
        <v>15</v>
      </c>
      <c r="G11" s="7" t="s">
        <v>16</v>
      </c>
      <c r="H11" s="11" t="s">
        <v>24</v>
      </c>
      <c r="I11" s="7" t="s">
        <v>25</v>
      </c>
      <c r="J11" s="7">
        <v>0.4</v>
      </c>
      <c r="K11" s="7">
        <v>0.4</v>
      </c>
      <c r="L11" s="7">
        <v>0.4</v>
      </c>
      <c r="M11" s="7">
        <v>0.4</v>
      </c>
      <c r="N11" s="7">
        <v>0.4</v>
      </c>
      <c r="O11" s="7">
        <v>0.4</v>
      </c>
      <c r="P11" s="7">
        <v>0.4</v>
      </c>
      <c r="Q11" s="7">
        <v>0.4</v>
      </c>
      <c r="R11" s="7">
        <v>0.4</v>
      </c>
      <c r="S11" s="7">
        <v>0.4</v>
      </c>
      <c r="T11" s="7">
        <v>0.4</v>
      </c>
      <c r="U11" s="7">
        <v>0.4</v>
      </c>
      <c r="V11" s="9">
        <f t="shared" si="2"/>
        <v>4.8</v>
      </c>
      <c r="W11" s="1"/>
      <c r="X11" s="1"/>
      <c r="Y11" s="1"/>
      <c r="Z11" s="1"/>
      <c r="AA11" s="1"/>
    </row>
    <row r="12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7" t="s">
        <v>26</v>
      </c>
      <c r="G12" s="7" t="s">
        <v>16</v>
      </c>
      <c r="H12" s="8" t="s">
        <v>27</v>
      </c>
      <c r="I12" s="7" t="s">
        <v>28</v>
      </c>
      <c r="J12" s="7">
        <v>0.6</v>
      </c>
      <c r="K12" s="7">
        <v>0.6</v>
      </c>
      <c r="L12" s="7">
        <v>0.6</v>
      </c>
      <c r="M12" s="7">
        <v>0.6</v>
      </c>
      <c r="N12" s="7">
        <v>0.6</v>
      </c>
      <c r="O12" s="7">
        <v>0.9</v>
      </c>
      <c r="P12" s="7">
        <v>0.9</v>
      </c>
      <c r="Q12" s="7">
        <v>0.9</v>
      </c>
      <c r="R12" s="7">
        <v>0.9</v>
      </c>
      <c r="S12" s="7">
        <v>0.9</v>
      </c>
      <c r="T12" s="7">
        <v>0.9</v>
      </c>
      <c r="U12" s="7">
        <v>0.9</v>
      </c>
      <c r="V12" s="9">
        <f t="shared" si="2"/>
        <v>4.8</v>
      </c>
      <c r="W12" s="1"/>
      <c r="X12" s="1"/>
      <c r="Y12" s="1"/>
      <c r="Z12" s="1"/>
      <c r="AA12" s="1"/>
    </row>
    <row r="13">
      <c r="A13" s="7" t="s">
        <v>10</v>
      </c>
      <c r="B13" s="7" t="s">
        <v>11</v>
      </c>
      <c r="C13" s="7" t="s">
        <v>29</v>
      </c>
      <c r="D13" s="7" t="s">
        <v>30</v>
      </c>
      <c r="E13" s="7" t="s">
        <v>14</v>
      </c>
      <c r="F13" s="7" t="s">
        <v>26</v>
      </c>
      <c r="G13" s="7" t="s">
        <v>16</v>
      </c>
      <c r="H13" s="10" t="s">
        <v>31</v>
      </c>
      <c r="I13" s="7" t="s">
        <v>32</v>
      </c>
      <c r="J13" s="7">
        <v>0.5</v>
      </c>
      <c r="K13" s="7">
        <v>0.5</v>
      </c>
      <c r="L13" s="7">
        <v>0.5</v>
      </c>
      <c r="M13" s="7">
        <v>0.5</v>
      </c>
      <c r="N13" s="7">
        <v>0.5</v>
      </c>
      <c r="O13" s="7">
        <v>0.5</v>
      </c>
      <c r="P13" s="7">
        <v>0.5</v>
      </c>
      <c r="Q13" s="7">
        <v>0.5</v>
      </c>
      <c r="R13" s="7">
        <v>0.5</v>
      </c>
      <c r="S13" s="7">
        <v>0.5</v>
      </c>
      <c r="T13" s="7">
        <v>0.5</v>
      </c>
      <c r="U13" s="7">
        <v>0.5</v>
      </c>
      <c r="V13" s="9">
        <f t="shared" si="2"/>
        <v>2.4</v>
      </c>
      <c r="W13" s="1"/>
      <c r="X13" s="1"/>
      <c r="Y13" s="1"/>
      <c r="Z13" s="1"/>
      <c r="AA13" s="1"/>
    </row>
    <row r="14">
      <c r="A14" s="7" t="s">
        <v>10</v>
      </c>
      <c r="B14" s="7" t="s">
        <v>18</v>
      </c>
      <c r="C14" s="7" t="s">
        <v>19</v>
      </c>
      <c r="D14" s="7" t="s">
        <v>33</v>
      </c>
      <c r="E14" s="7" t="s">
        <v>14</v>
      </c>
      <c r="F14" s="7" t="s">
        <v>26</v>
      </c>
      <c r="G14" s="7" t="s">
        <v>16</v>
      </c>
      <c r="H14" s="10" t="s">
        <v>31</v>
      </c>
      <c r="I14" s="7" t="s">
        <v>32</v>
      </c>
      <c r="J14" s="7">
        <v>0.3</v>
      </c>
      <c r="K14" s="7">
        <v>0.3</v>
      </c>
      <c r="L14" s="7">
        <v>0.3</v>
      </c>
      <c r="M14" s="7">
        <v>0.3</v>
      </c>
      <c r="N14" s="7">
        <v>0.3</v>
      </c>
      <c r="O14" s="7">
        <v>0.3</v>
      </c>
      <c r="P14" s="7">
        <v>0.3</v>
      </c>
      <c r="Q14" s="7">
        <v>0.3</v>
      </c>
      <c r="R14" s="7">
        <v>0.3</v>
      </c>
      <c r="S14" s="7">
        <v>0.3</v>
      </c>
      <c r="T14" s="7">
        <v>0.3</v>
      </c>
      <c r="U14" s="7">
        <v>0.3</v>
      </c>
      <c r="V14" s="9">
        <f t="shared" si="2"/>
        <v>4.8</v>
      </c>
      <c r="W14" s="1"/>
      <c r="X14" s="1"/>
      <c r="Y14" s="1"/>
      <c r="Z14" s="1"/>
      <c r="AA14" s="1"/>
    </row>
    <row r="15">
      <c r="A15" s="7" t="s">
        <v>10</v>
      </c>
      <c r="B15" s="7" t="s">
        <v>18</v>
      </c>
      <c r="C15" s="7" t="s">
        <v>21</v>
      </c>
      <c r="D15" s="7" t="s">
        <v>34</v>
      </c>
      <c r="E15" s="7" t="s">
        <v>14</v>
      </c>
      <c r="F15" s="7" t="s">
        <v>26</v>
      </c>
      <c r="G15" s="7" t="s">
        <v>16</v>
      </c>
      <c r="H15" s="10" t="s">
        <v>31</v>
      </c>
      <c r="I15" s="7" t="s">
        <v>32</v>
      </c>
      <c r="J15" s="7">
        <v>0.2</v>
      </c>
      <c r="K15" s="7">
        <v>0.2</v>
      </c>
      <c r="L15" s="7">
        <v>0.2</v>
      </c>
      <c r="M15" s="7">
        <v>0.2</v>
      </c>
      <c r="N15" s="7">
        <v>0.2</v>
      </c>
      <c r="O15" s="7">
        <v>0.2</v>
      </c>
      <c r="P15" s="7">
        <v>0.2</v>
      </c>
      <c r="Q15" s="7">
        <v>0.2</v>
      </c>
      <c r="R15" s="7">
        <v>0.2</v>
      </c>
      <c r="S15" s="7">
        <v>0.2</v>
      </c>
      <c r="T15" s="7">
        <v>0.2</v>
      </c>
      <c r="U15" s="7">
        <v>0.2</v>
      </c>
      <c r="V15" s="9">
        <f t="shared" si="2"/>
        <v>4.8</v>
      </c>
      <c r="W15" s="1"/>
      <c r="X15" s="1"/>
      <c r="Y15" s="1"/>
      <c r="Z15" s="1"/>
      <c r="AA15" s="1"/>
    </row>
    <row r="16">
      <c r="A16" s="7" t="s">
        <v>10</v>
      </c>
      <c r="B16" s="7" t="s">
        <v>11</v>
      </c>
      <c r="C16" s="7" t="s">
        <v>35</v>
      </c>
      <c r="D16" s="7" t="s">
        <v>13</v>
      </c>
      <c r="E16" s="7" t="s">
        <v>36</v>
      </c>
      <c r="F16" s="7" t="s">
        <v>37</v>
      </c>
      <c r="G16" s="7" t="s">
        <v>16</v>
      </c>
      <c r="H16" s="10" t="s">
        <v>38</v>
      </c>
      <c r="I16" s="7" t="s">
        <v>39</v>
      </c>
      <c r="J16" s="7">
        <v>0.1</v>
      </c>
      <c r="K16" s="7">
        <v>0.1</v>
      </c>
      <c r="L16" s="7">
        <v>0.1</v>
      </c>
      <c r="M16" s="7">
        <v>0.1</v>
      </c>
      <c r="N16" s="7">
        <v>0.1</v>
      </c>
      <c r="O16" s="7">
        <v>0.2</v>
      </c>
      <c r="P16" s="7">
        <v>0.2</v>
      </c>
      <c r="Q16" s="7">
        <v>0.1</v>
      </c>
      <c r="R16" s="7">
        <v>0.1</v>
      </c>
      <c r="S16" s="7">
        <v>0.1</v>
      </c>
      <c r="T16" s="7">
        <v>0.1</v>
      </c>
      <c r="U16" s="7">
        <v>0.1</v>
      </c>
      <c r="V16" s="9">
        <f>SUM(B16:U16)</f>
        <v>1.4</v>
      </c>
      <c r="W16" s="1"/>
      <c r="X16" s="1"/>
      <c r="Y16" s="1"/>
      <c r="Z16" s="1"/>
      <c r="AA16" s="1"/>
    </row>
    <row r="17">
      <c r="A17" s="2"/>
      <c r="B17" s="2"/>
      <c r="C17" s="2"/>
      <c r="D17" s="2"/>
      <c r="E17" s="1"/>
      <c r="F17" s="1"/>
      <c r="G17" s="2"/>
      <c r="V17" s="9">
        <f t="shared" ref="V17:V19" si="3">SUM(B13:U13)</f>
        <v>6</v>
      </c>
      <c r="W17" s="1"/>
      <c r="X17" s="1"/>
      <c r="Y17" s="1"/>
      <c r="Z17" s="1"/>
      <c r="AA17" s="1"/>
    </row>
    <row r="18">
      <c r="A18" s="2"/>
      <c r="B18" s="2"/>
      <c r="C18" s="2"/>
      <c r="D18" s="2"/>
      <c r="E18" s="1"/>
      <c r="F18" s="1"/>
      <c r="G18" s="2"/>
      <c r="V18" s="9">
        <f t="shared" si="3"/>
        <v>3.6</v>
      </c>
      <c r="W18" s="1"/>
      <c r="X18" s="1"/>
      <c r="Y18" s="1"/>
      <c r="Z18" s="1"/>
      <c r="AA18" s="1"/>
    </row>
    <row r="19">
      <c r="A19" s="2"/>
      <c r="B19" s="2"/>
      <c r="C19" s="2"/>
      <c r="D19" s="2"/>
      <c r="E19" s="1"/>
      <c r="F19" s="1"/>
      <c r="G19" s="2"/>
      <c r="V19" s="9">
        <f t="shared" si="3"/>
        <v>2.4</v>
      </c>
      <c r="W19" s="1"/>
      <c r="X19" s="1"/>
      <c r="Y19" s="1"/>
      <c r="Z19" s="1"/>
      <c r="AA19" s="1"/>
    </row>
    <row r="20">
      <c r="A20" s="2"/>
      <c r="B20" s="2"/>
      <c r="C20" s="2"/>
      <c r="D20" s="2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9">
        <f t="shared" ref="V20:V1000" si="4">SUM(B20:U20)</f>
        <v>0</v>
      </c>
      <c r="W20" s="1"/>
      <c r="X20" s="1"/>
      <c r="Y20" s="1"/>
      <c r="Z20" s="1"/>
      <c r="AA20" s="1"/>
    </row>
    <row r="21">
      <c r="A21" s="2"/>
      <c r="B21" s="2"/>
      <c r="C21" s="2"/>
      <c r="D21" s="2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9">
        <f t="shared" si="4"/>
        <v>0</v>
      </c>
      <c r="W21" s="1"/>
      <c r="X21" s="1"/>
      <c r="Y21" s="1"/>
      <c r="Z21" s="1"/>
      <c r="AA21" s="1"/>
    </row>
    <row r="22">
      <c r="A22" s="2"/>
      <c r="B22" s="2"/>
      <c r="C22" s="2"/>
      <c r="D22" s="2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9">
        <f t="shared" si="4"/>
        <v>0</v>
      </c>
      <c r="W22" s="1"/>
      <c r="X22" s="1"/>
      <c r="Y22" s="1"/>
      <c r="Z22" s="1"/>
      <c r="AA22" s="1"/>
    </row>
    <row r="23">
      <c r="A23" s="2"/>
      <c r="B23" s="2"/>
      <c r="C23" s="2"/>
      <c r="D23" s="2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9">
        <f t="shared" si="4"/>
        <v>0</v>
      </c>
      <c r="W23" s="1"/>
      <c r="X23" s="1"/>
      <c r="Y23" s="1"/>
      <c r="Z23" s="1"/>
      <c r="AA23" s="1"/>
    </row>
    <row r="24">
      <c r="A24" s="2"/>
      <c r="B24" s="2"/>
      <c r="C24" s="2"/>
      <c r="D24" s="2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9">
        <f t="shared" si="4"/>
        <v>0</v>
      </c>
      <c r="W24" s="1"/>
      <c r="X24" s="1"/>
      <c r="Y24" s="1"/>
      <c r="Z24" s="1"/>
      <c r="AA24" s="1"/>
    </row>
    <row r="25">
      <c r="A25" s="2"/>
      <c r="B25" s="2"/>
      <c r="C25" s="2"/>
      <c r="D25" s="2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9">
        <f t="shared" si="4"/>
        <v>0</v>
      </c>
      <c r="W25" s="1"/>
      <c r="X25" s="1"/>
      <c r="Y25" s="1"/>
      <c r="Z25" s="1"/>
      <c r="AA25" s="1"/>
    </row>
    <row r="26">
      <c r="A26" s="2"/>
      <c r="B26" s="2"/>
      <c r="C26" s="2"/>
      <c r="D26" s="2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9">
        <f t="shared" si="4"/>
        <v>0</v>
      </c>
      <c r="W26" s="1"/>
      <c r="X26" s="1"/>
      <c r="Y26" s="1"/>
      <c r="Z26" s="1"/>
      <c r="AA26" s="1"/>
    </row>
    <row r="27">
      <c r="A27" s="2"/>
      <c r="B27" s="2"/>
      <c r="C27" s="2"/>
      <c r="D27" s="2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9">
        <f t="shared" si="4"/>
        <v>0</v>
      </c>
      <c r="W27" s="1"/>
      <c r="X27" s="1"/>
      <c r="Y27" s="1"/>
      <c r="Z27" s="1"/>
      <c r="AA27" s="1"/>
    </row>
    <row r="28">
      <c r="A28" s="2"/>
      <c r="B28" s="2"/>
      <c r="C28" s="2"/>
      <c r="D28" s="2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9">
        <f t="shared" si="4"/>
        <v>0</v>
      </c>
      <c r="W28" s="1"/>
      <c r="X28" s="1"/>
      <c r="Y28" s="1"/>
      <c r="Z28" s="1"/>
      <c r="AA28" s="1"/>
    </row>
    <row r="29">
      <c r="A29" s="2"/>
      <c r="B29" s="2"/>
      <c r="C29" s="2"/>
      <c r="D29" s="2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9">
        <f t="shared" si="4"/>
        <v>0</v>
      </c>
      <c r="W29" s="1"/>
      <c r="X29" s="1"/>
      <c r="Y29" s="1"/>
      <c r="Z29" s="1"/>
      <c r="AA29" s="1"/>
    </row>
    <row r="30">
      <c r="A30" s="2"/>
      <c r="B30" s="2"/>
      <c r="C30" s="2"/>
      <c r="D30" s="2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9">
        <f t="shared" si="4"/>
        <v>0</v>
      </c>
      <c r="W30" s="1"/>
      <c r="X30" s="1"/>
      <c r="Y30" s="1"/>
      <c r="Z30" s="1"/>
      <c r="AA30" s="1"/>
    </row>
    <row r="31">
      <c r="A31" s="2"/>
      <c r="B31" s="2"/>
      <c r="C31" s="2"/>
      <c r="D31" s="2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9">
        <f t="shared" si="4"/>
        <v>0</v>
      </c>
      <c r="W31" s="1"/>
      <c r="X31" s="1"/>
      <c r="Y31" s="1"/>
      <c r="Z31" s="1"/>
      <c r="AA31" s="1"/>
    </row>
    <row r="32">
      <c r="A32" s="2"/>
      <c r="B32" s="2"/>
      <c r="C32" s="2"/>
      <c r="D32" s="2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9">
        <f t="shared" si="4"/>
        <v>0</v>
      </c>
      <c r="W32" s="1"/>
      <c r="X32" s="1"/>
      <c r="Y32" s="1"/>
      <c r="Z32" s="1"/>
      <c r="AA32" s="1"/>
    </row>
    <row r="33">
      <c r="A33" s="2"/>
      <c r="B33" s="2"/>
      <c r="C33" s="2"/>
      <c r="D33" s="2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9">
        <f t="shared" si="4"/>
        <v>0</v>
      </c>
      <c r="W33" s="1"/>
      <c r="X33" s="1"/>
      <c r="Y33" s="1"/>
      <c r="Z33" s="1"/>
      <c r="AA33" s="1"/>
    </row>
    <row r="34">
      <c r="A34" s="2"/>
      <c r="B34" s="2"/>
      <c r="C34" s="2"/>
      <c r="D34" s="2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9">
        <f t="shared" si="4"/>
        <v>0</v>
      </c>
      <c r="W34" s="1"/>
      <c r="X34" s="1"/>
      <c r="Y34" s="1"/>
      <c r="Z34" s="1"/>
      <c r="AA34" s="1"/>
    </row>
    <row r="35">
      <c r="A35" s="2"/>
      <c r="B35" s="2"/>
      <c r="C35" s="2"/>
      <c r="D35" s="2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>
        <f t="shared" si="4"/>
        <v>0</v>
      </c>
      <c r="W35" s="1"/>
      <c r="X35" s="1"/>
      <c r="Y35" s="1"/>
      <c r="Z35" s="1"/>
      <c r="AA35" s="1"/>
    </row>
    <row r="36">
      <c r="A36" s="2"/>
      <c r="B36" s="2"/>
      <c r="C36" s="2"/>
      <c r="D36" s="2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9">
        <f t="shared" si="4"/>
        <v>0</v>
      </c>
      <c r="W36" s="1"/>
      <c r="X36" s="1"/>
      <c r="Y36" s="1"/>
      <c r="Z36" s="1"/>
      <c r="AA36" s="1"/>
    </row>
    <row r="37">
      <c r="A37" s="2"/>
      <c r="B37" s="2"/>
      <c r="C37" s="2"/>
      <c r="D37" s="2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9">
        <f t="shared" si="4"/>
        <v>0</v>
      </c>
      <c r="W37" s="1"/>
      <c r="X37" s="1"/>
      <c r="Y37" s="1"/>
      <c r="Z37" s="1"/>
      <c r="AA37" s="1"/>
    </row>
    <row r="38">
      <c r="A38" s="2"/>
      <c r="B38" s="2"/>
      <c r="C38" s="2"/>
      <c r="D38" s="2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9">
        <f t="shared" si="4"/>
        <v>0</v>
      </c>
      <c r="W38" s="1"/>
      <c r="X38" s="1"/>
      <c r="Y38" s="1"/>
      <c r="Z38" s="1"/>
      <c r="AA38" s="1"/>
    </row>
    <row r="39">
      <c r="A39" s="2"/>
      <c r="B39" s="2"/>
      <c r="C39" s="2"/>
      <c r="D39" s="2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9">
        <f t="shared" si="4"/>
        <v>0</v>
      </c>
      <c r="W39" s="1"/>
      <c r="X39" s="1"/>
      <c r="Y39" s="1"/>
      <c r="Z39" s="1"/>
      <c r="AA39" s="1"/>
    </row>
    <row r="40">
      <c r="A40" s="2"/>
      <c r="B40" s="2"/>
      <c r="C40" s="2"/>
      <c r="D40" s="2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9">
        <f t="shared" si="4"/>
        <v>0</v>
      </c>
      <c r="W40" s="1"/>
      <c r="X40" s="1"/>
      <c r="Y40" s="1"/>
      <c r="Z40" s="1"/>
      <c r="AA40" s="1"/>
    </row>
    <row r="41">
      <c r="A41" s="2"/>
      <c r="B41" s="2"/>
      <c r="C41" s="2"/>
      <c r="D41" s="2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9">
        <f t="shared" si="4"/>
        <v>0</v>
      </c>
      <c r="W41" s="1"/>
      <c r="X41" s="1"/>
      <c r="Y41" s="1"/>
      <c r="Z41" s="1"/>
      <c r="AA41" s="1"/>
    </row>
    <row r="42">
      <c r="A42" s="2"/>
      <c r="B42" s="2"/>
      <c r="C42" s="2"/>
      <c r="D42" s="2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9">
        <f t="shared" si="4"/>
        <v>0</v>
      </c>
      <c r="W42" s="1"/>
      <c r="X42" s="1"/>
      <c r="Y42" s="1"/>
      <c r="Z42" s="1"/>
      <c r="AA42" s="1"/>
    </row>
    <row r="43">
      <c r="A43" s="2"/>
      <c r="B43" s="2"/>
      <c r="C43" s="2"/>
      <c r="D43" s="2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9">
        <f t="shared" si="4"/>
        <v>0</v>
      </c>
      <c r="W43" s="1"/>
      <c r="X43" s="1"/>
      <c r="Y43" s="1"/>
      <c r="Z43" s="1"/>
      <c r="AA43" s="1"/>
    </row>
    <row r="44">
      <c r="A44" s="2"/>
      <c r="B44" s="2"/>
      <c r="C44" s="2"/>
      <c r="D44" s="2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9">
        <f t="shared" si="4"/>
        <v>0</v>
      </c>
      <c r="W44" s="1"/>
      <c r="X44" s="1"/>
      <c r="Y44" s="1"/>
      <c r="Z44" s="1"/>
      <c r="AA44" s="1"/>
    </row>
    <row r="45">
      <c r="A45" s="2"/>
      <c r="B45" s="2"/>
      <c r="C45" s="2"/>
      <c r="D45" s="2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9">
        <f t="shared" si="4"/>
        <v>0</v>
      </c>
      <c r="W45" s="1"/>
      <c r="X45" s="1"/>
      <c r="Y45" s="1"/>
      <c r="Z45" s="1"/>
      <c r="AA45" s="1"/>
    </row>
    <row r="46">
      <c r="A46" s="2"/>
      <c r="B46" s="2"/>
      <c r="C46" s="2"/>
      <c r="D46" s="2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9">
        <f t="shared" si="4"/>
        <v>0</v>
      </c>
      <c r="W46" s="1"/>
      <c r="X46" s="1"/>
      <c r="Y46" s="1"/>
      <c r="Z46" s="1"/>
      <c r="AA46" s="1"/>
    </row>
    <row r="47">
      <c r="A47" s="2"/>
      <c r="B47" s="2"/>
      <c r="C47" s="2"/>
      <c r="D47" s="2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>
        <f t="shared" si="4"/>
        <v>0</v>
      </c>
      <c r="W47" s="1"/>
      <c r="X47" s="1"/>
      <c r="Y47" s="1"/>
      <c r="Z47" s="1"/>
      <c r="AA47" s="1"/>
    </row>
    <row r="48">
      <c r="A48" s="2"/>
      <c r="B48" s="2"/>
      <c r="C48" s="2"/>
      <c r="D48" s="2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9">
        <f t="shared" si="4"/>
        <v>0</v>
      </c>
      <c r="W48" s="1"/>
      <c r="X48" s="1"/>
      <c r="Y48" s="1"/>
      <c r="Z48" s="1"/>
      <c r="AA48" s="1"/>
    </row>
    <row r="49">
      <c r="A49" s="2"/>
      <c r="B49" s="2"/>
      <c r="C49" s="2"/>
      <c r="D49" s="2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9">
        <f t="shared" si="4"/>
        <v>0</v>
      </c>
      <c r="W49" s="1"/>
      <c r="X49" s="1"/>
      <c r="Y49" s="1"/>
      <c r="Z49" s="1"/>
      <c r="AA49" s="1"/>
    </row>
    <row r="50">
      <c r="A50" s="2"/>
      <c r="B50" s="2"/>
      <c r="C50" s="2"/>
      <c r="D50" s="2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9">
        <f t="shared" si="4"/>
        <v>0</v>
      </c>
      <c r="W50" s="1"/>
      <c r="X50" s="1"/>
      <c r="Y50" s="1"/>
      <c r="Z50" s="1"/>
      <c r="AA50" s="1"/>
    </row>
    <row r="51">
      <c r="A51" s="2"/>
      <c r="B51" s="2"/>
      <c r="C51" s="2"/>
      <c r="D51" s="2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>
        <f t="shared" si="4"/>
        <v>0</v>
      </c>
      <c r="W51" s="1"/>
      <c r="X51" s="1"/>
      <c r="Y51" s="1"/>
      <c r="Z51" s="1"/>
      <c r="AA51" s="1"/>
    </row>
    <row r="52">
      <c r="A52" s="2"/>
      <c r="B52" s="2"/>
      <c r="C52" s="2"/>
      <c r="D52" s="2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>
        <f t="shared" si="4"/>
        <v>0</v>
      </c>
      <c r="W52" s="1"/>
      <c r="X52" s="1"/>
      <c r="Y52" s="1"/>
      <c r="Z52" s="1"/>
      <c r="AA52" s="1"/>
    </row>
    <row r="53">
      <c r="A53" s="2"/>
      <c r="B53" s="2"/>
      <c r="C53" s="2"/>
      <c r="D53" s="2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>
        <f t="shared" si="4"/>
        <v>0</v>
      </c>
      <c r="W53" s="1"/>
      <c r="X53" s="1"/>
      <c r="Y53" s="1"/>
      <c r="Z53" s="1"/>
      <c r="AA53" s="1"/>
    </row>
    <row r="54">
      <c r="A54" s="2"/>
      <c r="B54" s="2"/>
      <c r="C54" s="2"/>
      <c r="D54" s="2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9">
        <f t="shared" si="4"/>
        <v>0</v>
      </c>
      <c r="W54" s="1"/>
      <c r="X54" s="1"/>
      <c r="Y54" s="1"/>
      <c r="Z54" s="1"/>
      <c r="AA54" s="1"/>
    </row>
    <row r="55">
      <c r="A55" s="2"/>
      <c r="B55" s="2"/>
      <c r="C55" s="2"/>
      <c r="D55" s="2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>
        <f t="shared" si="4"/>
        <v>0</v>
      </c>
      <c r="W55" s="1"/>
      <c r="X55" s="1"/>
      <c r="Y55" s="1"/>
      <c r="Z55" s="1"/>
      <c r="AA55" s="1"/>
    </row>
    <row r="56">
      <c r="A56" s="2"/>
      <c r="B56" s="2"/>
      <c r="C56" s="2"/>
      <c r="D56" s="2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">
        <f t="shared" si="4"/>
        <v>0</v>
      </c>
      <c r="W56" s="1"/>
      <c r="X56" s="1"/>
      <c r="Y56" s="1"/>
      <c r="Z56" s="1"/>
      <c r="AA56" s="1"/>
    </row>
    <row r="57">
      <c r="A57" s="2"/>
      <c r="B57" s="2"/>
      <c r="C57" s="2"/>
      <c r="D57" s="2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9">
        <f t="shared" si="4"/>
        <v>0</v>
      </c>
      <c r="W57" s="1"/>
      <c r="X57" s="1"/>
      <c r="Y57" s="1"/>
      <c r="Z57" s="1"/>
      <c r="AA57" s="1"/>
    </row>
    <row r="58">
      <c r="A58" s="2"/>
      <c r="B58" s="2"/>
      <c r="C58" s="2"/>
      <c r="D58" s="2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9">
        <f t="shared" si="4"/>
        <v>0</v>
      </c>
      <c r="W58" s="1"/>
      <c r="X58" s="1"/>
      <c r="Y58" s="1"/>
      <c r="Z58" s="1"/>
      <c r="AA58" s="1"/>
    </row>
    <row r="59">
      <c r="A59" s="2"/>
      <c r="B59" s="2"/>
      <c r="C59" s="2"/>
      <c r="D59" s="2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>
        <f t="shared" si="4"/>
        <v>0</v>
      </c>
      <c r="W59" s="1"/>
      <c r="X59" s="1"/>
      <c r="Y59" s="1"/>
      <c r="Z59" s="1"/>
      <c r="AA59" s="1"/>
    </row>
    <row r="60">
      <c r="A60" s="2"/>
      <c r="B60" s="2"/>
      <c r="C60" s="2"/>
      <c r="D60" s="2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9">
        <f t="shared" si="4"/>
        <v>0</v>
      </c>
      <c r="W60" s="1"/>
      <c r="X60" s="1"/>
      <c r="Y60" s="1"/>
      <c r="Z60" s="1"/>
      <c r="AA60" s="1"/>
    </row>
    <row r="61">
      <c r="A61" s="2"/>
      <c r="B61" s="2"/>
      <c r="C61" s="2"/>
      <c r="D61" s="2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9">
        <f t="shared" si="4"/>
        <v>0</v>
      </c>
      <c r="W61" s="1"/>
      <c r="X61" s="1"/>
      <c r="Y61" s="1"/>
      <c r="Z61" s="1"/>
      <c r="AA61" s="1"/>
    </row>
    <row r="62">
      <c r="A62" s="2"/>
      <c r="B62" s="2"/>
      <c r="C62" s="2"/>
      <c r="D62" s="2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>
        <f t="shared" si="4"/>
        <v>0</v>
      </c>
      <c r="W62" s="1"/>
      <c r="X62" s="1"/>
      <c r="Y62" s="1"/>
      <c r="Z62" s="1"/>
      <c r="AA62" s="1"/>
    </row>
    <row r="63">
      <c r="A63" s="2"/>
      <c r="B63" s="2"/>
      <c r="C63" s="2"/>
      <c r="D63" s="2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>
        <f t="shared" si="4"/>
        <v>0</v>
      </c>
      <c r="W63" s="1"/>
      <c r="X63" s="1"/>
      <c r="Y63" s="1"/>
      <c r="Z63" s="1"/>
      <c r="AA63" s="1"/>
    </row>
    <row r="64">
      <c r="A64" s="2"/>
      <c r="B64" s="2"/>
      <c r="C64" s="2"/>
      <c r="D64" s="2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">
        <f t="shared" si="4"/>
        <v>0</v>
      </c>
      <c r="W64" s="1"/>
      <c r="X64" s="1"/>
      <c r="Y64" s="1"/>
      <c r="Z64" s="1"/>
      <c r="AA64" s="1"/>
    </row>
    <row r="65">
      <c r="A65" s="2"/>
      <c r="B65" s="2"/>
      <c r="C65" s="2"/>
      <c r="D65" s="2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9">
        <f t="shared" si="4"/>
        <v>0</v>
      </c>
      <c r="W65" s="1"/>
      <c r="X65" s="1"/>
      <c r="Y65" s="1"/>
      <c r="Z65" s="1"/>
      <c r="AA65" s="1"/>
    </row>
    <row r="66">
      <c r="A66" s="2"/>
      <c r="B66" s="2"/>
      <c r="C66" s="2"/>
      <c r="D66" s="2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9">
        <f t="shared" si="4"/>
        <v>0</v>
      </c>
      <c r="W66" s="1"/>
      <c r="X66" s="1"/>
      <c r="Y66" s="1"/>
      <c r="Z66" s="1"/>
      <c r="AA66" s="1"/>
    </row>
    <row r="67">
      <c r="A67" s="2"/>
      <c r="B67" s="2"/>
      <c r="C67" s="2"/>
      <c r="D67" s="2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9">
        <f t="shared" si="4"/>
        <v>0</v>
      </c>
      <c r="W67" s="1"/>
      <c r="X67" s="1"/>
      <c r="Y67" s="1"/>
      <c r="Z67" s="1"/>
      <c r="AA67" s="1"/>
    </row>
    <row r="68">
      <c r="A68" s="2"/>
      <c r="B68" s="2"/>
      <c r="C68" s="2"/>
      <c r="D68" s="2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9">
        <f t="shared" si="4"/>
        <v>0</v>
      </c>
      <c r="W68" s="1"/>
      <c r="X68" s="1"/>
      <c r="Y68" s="1"/>
      <c r="Z68" s="1"/>
      <c r="AA68" s="1"/>
    </row>
    <row r="69">
      <c r="A69" s="2"/>
      <c r="B69" s="2"/>
      <c r="C69" s="2"/>
      <c r="D69" s="2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9">
        <f t="shared" si="4"/>
        <v>0</v>
      </c>
      <c r="W69" s="1"/>
      <c r="X69" s="1"/>
      <c r="Y69" s="1"/>
      <c r="Z69" s="1"/>
      <c r="AA69" s="1"/>
    </row>
    <row r="70">
      <c r="A70" s="2"/>
      <c r="B70" s="2"/>
      <c r="C70" s="2"/>
      <c r="D70" s="2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9">
        <f t="shared" si="4"/>
        <v>0</v>
      </c>
      <c r="W70" s="1"/>
      <c r="X70" s="1"/>
      <c r="Y70" s="1"/>
      <c r="Z70" s="1"/>
      <c r="AA70" s="1"/>
    </row>
    <row r="71">
      <c r="A71" s="2"/>
      <c r="B71" s="2"/>
      <c r="C71" s="2"/>
      <c r="D71" s="2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>
        <f t="shared" si="4"/>
        <v>0</v>
      </c>
      <c r="W71" s="1"/>
      <c r="X71" s="1"/>
      <c r="Y71" s="1"/>
      <c r="Z71" s="1"/>
      <c r="AA71" s="1"/>
    </row>
    <row r="72">
      <c r="A72" s="2"/>
      <c r="B72" s="2"/>
      <c r="C72" s="2"/>
      <c r="D72" s="2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>
        <f t="shared" si="4"/>
        <v>0</v>
      </c>
      <c r="W72" s="1"/>
      <c r="X72" s="1"/>
      <c r="Y72" s="1"/>
      <c r="Z72" s="1"/>
      <c r="AA72" s="1"/>
    </row>
    <row r="73">
      <c r="A73" s="2"/>
      <c r="B73" s="2"/>
      <c r="C73" s="2"/>
      <c r="D73" s="2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9">
        <f t="shared" si="4"/>
        <v>0</v>
      </c>
      <c r="W73" s="1"/>
      <c r="X73" s="1"/>
      <c r="Y73" s="1"/>
      <c r="Z73" s="1"/>
      <c r="AA73" s="1"/>
    </row>
    <row r="74">
      <c r="A74" s="2"/>
      <c r="B74" s="2"/>
      <c r="C74" s="2"/>
      <c r="D74" s="2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9">
        <f t="shared" si="4"/>
        <v>0</v>
      </c>
      <c r="W74" s="1"/>
      <c r="X74" s="1"/>
      <c r="Y74" s="1"/>
      <c r="Z74" s="1"/>
      <c r="AA74" s="1"/>
    </row>
    <row r="75">
      <c r="A75" s="2"/>
      <c r="B75" s="2"/>
      <c r="C75" s="2"/>
      <c r="D75" s="2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9">
        <f t="shared" si="4"/>
        <v>0</v>
      </c>
      <c r="W75" s="1"/>
      <c r="X75" s="1"/>
      <c r="Y75" s="1"/>
      <c r="Z75" s="1"/>
      <c r="AA75" s="1"/>
    </row>
    <row r="76">
      <c r="A76" s="2"/>
      <c r="B76" s="2"/>
      <c r="C76" s="2"/>
      <c r="D76" s="2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9">
        <f t="shared" si="4"/>
        <v>0</v>
      </c>
      <c r="W76" s="1"/>
      <c r="X76" s="1"/>
      <c r="Y76" s="1"/>
      <c r="Z76" s="1"/>
      <c r="AA76" s="1"/>
    </row>
    <row r="77">
      <c r="A77" s="2"/>
      <c r="B77" s="2"/>
      <c r="C77" s="2"/>
      <c r="D77" s="2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9">
        <f t="shared" si="4"/>
        <v>0</v>
      </c>
      <c r="W77" s="1"/>
      <c r="X77" s="1"/>
      <c r="Y77" s="1"/>
      <c r="Z77" s="1"/>
      <c r="AA77" s="1"/>
    </row>
    <row r="78">
      <c r="A78" s="2"/>
      <c r="B78" s="2"/>
      <c r="C78" s="2"/>
      <c r="D78" s="2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9">
        <f t="shared" si="4"/>
        <v>0</v>
      </c>
      <c r="W78" s="1"/>
      <c r="X78" s="1"/>
      <c r="Y78" s="1"/>
      <c r="Z78" s="1"/>
      <c r="AA78" s="1"/>
    </row>
    <row r="79">
      <c r="A79" s="2"/>
      <c r="B79" s="2"/>
      <c r="C79" s="2"/>
      <c r="D79" s="2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9">
        <f t="shared" si="4"/>
        <v>0</v>
      </c>
      <c r="W79" s="1"/>
      <c r="X79" s="1"/>
      <c r="Y79" s="1"/>
      <c r="Z79" s="1"/>
      <c r="AA79" s="1"/>
    </row>
    <row r="80">
      <c r="A80" s="2"/>
      <c r="B80" s="2"/>
      <c r="C80" s="2"/>
      <c r="D80" s="2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9">
        <f t="shared" si="4"/>
        <v>0</v>
      </c>
      <c r="W80" s="1"/>
      <c r="X80" s="1"/>
      <c r="Y80" s="1"/>
      <c r="Z80" s="1"/>
      <c r="AA80" s="1"/>
    </row>
    <row r="81">
      <c r="A81" s="2"/>
      <c r="B81" s="2"/>
      <c r="C81" s="2"/>
      <c r="D81" s="2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9">
        <f t="shared" si="4"/>
        <v>0</v>
      </c>
      <c r="W81" s="1"/>
      <c r="X81" s="1"/>
      <c r="Y81" s="1"/>
      <c r="Z81" s="1"/>
      <c r="AA81" s="1"/>
    </row>
    <row r="82">
      <c r="A82" s="2"/>
      <c r="B82" s="2"/>
      <c r="C82" s="2"/>
      <c r="D82" s="2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9">
        <f t="shared" si="4"/>
        <v>0</v>
      </c>
      <c r="W82" s="1"/>
      <c r="X82" s="1"/>
      <c r="Y82" s="1"/>
      <c r="Z82" s="1"/>
      <c r="AA82" s="1"/>
    </row>
    <row r="83">
      <c r="A83" s="2"/>
      <c r="B83" s="2"/>
      <c r="C83" s="2"/>
      <c r="D83" s="2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9">
        <f t="shared" si="4"/>
        <v>0</v>
      </c>
      <c r="W83" s="1"/>
      <c r="X83" s="1"/>
      <c r="Y83" s="1"/>
      <c r="Z83" s="1"/>
      <c r="AA83" s="1"/>
    </row>
    <row r="84">
      <c r="A84" s="2"/>
      <c r="B84" s="2"/>
      <c r="C84" s="2"/>
      <c r="D84" s="2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9">
        <f t="shared" si="4"/>
        <v>0</v>
      </c>
      <c r="W84" s="1"/>
      <c r="X84" s="1"/>
      <c r="Y84" s="1"/>
      <c r="Z84" s="1"/>
      <c r="AA84" s="1"/>
    </row>
    <row r="85">
      <c r="A85" s="2"/>
      <c r="B85" s="2"/>
      <c r="C85" s="2"/>
      <c r="D85" s="2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9">
        <f t="shared" si="4"/>
        <v>0</v>
      </c>
      <c r="W85" s="1"/>
      <c r="X85" s="1"/>
      <c r="Y85" s="1"/>
      <c r="Z85" s="1"/>
      <c r="AA85" s="1"/>
    </row>
    <row r="86">
      <c r="A86" s="2"/>
      <c r="B86" s="2"/>
      <c r="C86" s="2"/>
      <c r="D86" s="2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9">
        <f t="shared" si="4"/>
        <v>0</v>
      </c>
      <c r="W86" s="1"/>
      <c r="X86" s="1"/>
      <c r="Y86" s="1"/>
      <c r="Z86" s="1"/>
      <c r="AA86" s="1"/>
    </row>
    <row r="87">
      <c r="A87" s="2"/>
      <c r="B87" s="2"/>
      <c r="C87" s="2"/>
      <c r="D87" s="2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9">
        <f t="shared" si="4"/>
        <v>0</v>
      </c>
      <c r="W87" s="1"/>
      <c r="X87" s="1"/>
      <c r="Y87" s="1"/>
      <c r="Z87" s="1"/>
      <c r="AA87" s="1"/>
    </row>
    <row r="88">
      <c r="A88" s="2"/>
      <c r="B88" s="2"/>
      <c r="C88" s="2"/>
      <c r="D88" s="2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9">
        <f t="shared" si="4"/>
        <v>0</v>
      </c>
      <c r="W88" s="1"/>
      <c r="X88" s="1"/>
      <c r="Y88" s="1"/>
      <c r="Z88" s="1"/>
      <c r="AA88" s="1"/>
    </row>
    <row r="89">
      <c r="A89" s="2"/>
      <c r="B89" s="2"/>
      <c r="C89" s="2"/>
      <c r="D89" s="2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9">
        <f t="shared" si="4"/>
        <v>0</v>
      </c>
      <c r="W89" s="1"/>
      <c r="X89" s="1"/>
      <c r="Y89" s="1"/>
      <c r="Z89" s="1"/>
      <c r="AA89" s="1"/>
    </row>
    <row r="90">
      <c r="A90" s="2"/>
      <c r="B90" s="2"/>
      <c r="C90" s="2"/>
      <c r="D90" s="2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9">
        <f t="shared" si="4"/>
        <v>0</v>
      </c>
      <c r="W90" s="1"/>
      <c r="X90" s="1"/>
      <c r="Y90" s="1"/>
      <c r="Z90" s="1"/>
      <c r="AA90" s="1"/>
    </row>
    <row r="91">
      <c r="A91" s="2"/>
      <c r="B91" s="2"/>
      <c r="C91" s="2"/>
      <c r="D91" s="2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9">
        <f t="shared" si="4"/>
        <v>0</v>
      </c>
      <c r="W91" s="1"/>
      <c r="X91" s="1"/>
      <c r="Y91" s="1"/>
      <c r="Z91" s="1"/>
      <c r="AA91" s="1"/>
    </row>
    <row r="92">
      <c r="A92" s="2"/>
      <c r="B92" s="2"/>
      <c r="C92" s="2"/>
      <c r="D92" s="2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9">
        <f t="shared" si="4"/>
        <v>0</v>
      </c>
      <c r="W92" s="1"/>
      <c r="X92" s="1"/>
      <c r="Y92" s="1"/>
      <c r="Z92" s="1"/>
      <c r="AA92" s="1"/>
    </row>
    <row r="93">
      <c r="A93" s="2"/>
      <c r="B93" s="2"/>
      <c r="C93" s="2"/>
      <c r="D93" s="2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9">
        <f t="shared" si="4"/>
        <v>0</v>
      </c>
      <c r="W93" s="1"/>
      <c r="X93" s="1"/>
      <c r="Y93" s="1"/>
      <c r="Z93" s="1"/>
      <c r="AA93" s="1"/>
    </row>
    <row r="94">
      <c r="A94" s="2"/>
      <c r="B94" s="2"/>
      <c r="C94" s="2"/>
      <c r="D94" s="2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9">
        <f t="shared" si="4"/>
        <v>0</v>
      </c>
      <c r="W94" s="1"/>
      <c r="X94" s="1"/>
      <c r="Y94" s="1"/>
      <c r="Z94" s="1"/>
      <c r="AA94" s="1"/>
    </row>
    <row r="95">
      <c r="A95" s="2"/>
      <c r="B95" s="2"/>
      <c r="C95" s="2"/>
      <c r="D95" s="2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9">
        <f t="shared" si="4"/>
        <v>0</v>
      </c>
      <c r="W95" s="1"/>
      <c r="X95" s="1"/>
      <c r="Y95" s="1"/>
      <c r="Z95" s="1"/>
      <c r="AA95" s="1"/>
    </row>
    <row r="96">
      <c r="A96" s="2"/>
      <c r="B96" s="2"/>
      <c r="C96" s="2"/>
      <c r="D96" s="2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9">
        <f t="shared" si="4"/>
        <v>0</v>
      </c>
      <c r="W96" s="1"/>
      <c r="X96" s="1"/>
      <c r="Y96" s="1"/>
      <c r="Z96" s="1"/>
      <c r="AA96" s="1"/>
    </row>
    <row r="97">
      <c r="A97" s="2"/>
      <c r="B97" s="2"/>
      <c r="C97" s="2"/>
      <c r="D97" s="2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9">
        <f t="shared" si="4"/>
        <v>0</v>
      </c>
      <c r="W97" s="1"/>
      <c r="X97" s="1"/>
      <c r="Y97" s="1"/>
      <c r="Z97" s="1"/>
      <c r="AA97" s="1"/>
    </row>
    <row r="98">
      <c r="A98" s="2"/>
      <c r="B98" s="2"/>
      <c r="C98" s="2"/>
      <c r="D98" s="2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9">
        <f t="shared" si="4"/>
        <v>0</v>
      </c>
      <c r="W98" s="1"/>
      <c r="X98" s="1"/>
      <c r="Y98" s="1"/>
      <c r="Z98" s="1"/>
      <c r="AA98" s="1"/>
    </row>
    <row r="99">
      <c r="A99" s="2"/>
      <c r="B99" s="2"/>
      <c r="C99" s="2"/>
      <c r="D99" s="2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9">
        <f t="shared" si="4"/>
        <v>0</v>
      </c>
      <c r="W99" s="1"/>
      <c r="X99" s="1"/>
      <c r="Y99" s="1"/>
      <c r="Z99" s="1"/>
      <c r="AA99" s="1"/>
    </row>
    <row r="100">
      <c r="A100" s="2"/>
      <c r="B100" s="2"/>
      <c r="C100" s="2"/>
      <c r="D100" s="2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9">
        <f t="shared" si="4"/>
        <v>0</v>
      </c>
      <c r="W100" s="1"/>
      <c r="X100" s="1"/>
      <c r="Y100" s="1"/>
      <c r="Z100" s="1"/>
      <c r="AA100" s="1"/>
    </row>
    <row r="101">
      <c r="A101" s="2"/>
      <c r="B101" s="2"/>
      <c r="C101" s="2"/>
      <c r="D101" s="2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9">
        <f t="shared" si="4"/>
        <v>0</v>
      </c>
      <c r="W101" s="1"/>
      <c r="X101" s="1"/>
      <c r="Y101" s="1"/>
      <c r="Z101" s="1"/>
      <c r="AA101" s="1"/>
    </row>
    <row r="102">
      <c r="A102" s="2"/>
      <c r="B102" s="2"/>
      <c r="C102" s="2"/>
      <c r="D102" s="2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9">
        <f t="shared" si="4"/>
        <v>0</v>
      </c>
      <c r="W102" s="1"/>
      <c r="X102" s="1"/>
      <c r="Y102" s="1"/>
      <c r="Z102" s="1"/>
      <c r="AA102" s="1"/>
    </row>
    <row r="103">
      <c r="A103" s="2"/>
      <c r="B103" s="2"/>
      <c r="C103" s="2"/>
      <c r="D103" s="2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9">
        <f t="shared" si="4"/>
        <v>0</v>
      </c>
      <c r="W103" s="1"/>
      <c r="X103" s="1"/>
      <c r="Y103" s="1"/>
      <c r="Z103" s="1"/>
      <c r="AA103" s="1"/>
    </row>
    <row r="104">
      <c r="A104" s="2"/>
      <c r="B104" s="2"/>
      <c r="C104" s="2"/>
      <c r="D104" s="2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9">
        <f t="shared" si="4"/>
        <v>0</v>
      </c>
      <c r="W104" s="1"/>
      <c r="X104" s="1"/>
      <c r="Y104" s="1"/>
      <c r="Z104" s="1"/>
      <c r="AA104" s="1"/>
    </row>
    <row r="105">
      <c r="A105" s="2"/>
      <c r="B105" s="2"/>
      <c r="C105" s="2"/>
      <c r="D105" s="2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9">
        <f t="shared" si="4"/>
        <v>0</v>
      </c>
      <c r="W105" s="1"/>
      <c r="X105" s="1"/>
      <c r="Y105" s="1"/>
      <c r="Z105" s="1"/>
      <c r="AA105" s="1"/>
    </row>
    <row r="106">
      <c r="A106" s="2"/>
      <c r="B106" s="2"/>
      <c r="C106" s="2"/>
      <c r="D106" s="2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9">
        <f t="shared" si="4"/>
        <v>0</v>
      </c>
      <c r="W106" s="1"/>
      <c r="X106" s="1"/>
      <c r="Y106" s="1"/>
      <c r="Z106" s="1"/>
      <c r="AA106" s="1"/>
    </row>
    <row r="107">
      <c r="A107" s="2"/>
      <c r="B107" s="2"/>
      <c r="C107" s="2"/>
      <c r="D107" s="2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9">
        <f t="shared" si="4"/>
        <v>0</v>
      </c>
      <c r="W107" s="1"/>
      <c r="X107" s="1"/>
      <c r="Y107" s="1"/>
      <c r="Z107" s="1"/>
      <c r="AA107" s="1"/>
    </row>
    <row r="108">
      <c r="A108" s="2"/>
      <c r="B108" s="2"/>
      <c r="C108" s="2"/>
      <c r="D108" s="2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9">
        <f t="shared" si="4"/>
        <v>0</v>
      </c>
      <c r="W108" s="1"/>
      <c r="X108" s="1"/>
      <c r="Y108" s="1"/>
      <c r="Z108" s="1"/>
      <c r="AA108" s="1"/>
    </row>
    <row r="109">
      <c r="A109" s="2"/>
      <c r="B109" s="2"/>
      <c r="C109" s="2"/>
      <c r="D109" s="2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9">
        <f t="shared" si="4"/>
        <v>0</v>
      </c>
      <c r="W109" s="1"/>
      <c r="X109" s="1"/>
      <c r="Y109" s="1"/>
      <c r="Z109" s="1"/>
      <c r="AA109" s="1"/>
    </row>
    <row r="110">
      <c r="A110" s="2"/>
      <c r="B110" s="2"/>
      <c r="C110" s="2"/>
      <c r="D110" s="2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9">
        <f t="shared" si="4"/>
        <v>0</v>
      </c>
      <c r="W110" s="1"/>
      <c r="X110" s="1"/>
      <c r="Y110" s="1"/>
      <c r="Z110" s="1"/>
      <c r="AA110" s="1"/>
    </row>
    <row r="111">
      <c r="A111" s="2"/>
      <c r="B111" s="2"/>
      <c r="C111" s="2"/>
      <c r="D111" s="2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9">
        <f t="shared" si="4"/>
        <v>0</v>
      </c>
      <c r="W111" s="1"/>
      <c r="X111" s="1"/>
      <c r="Y111" s="1"/>
      <c r="Z111" s="1"/>
      <c r="AA111" s="1"/>
    </row>
    <row r="112">
      <c r="A112" s="2"/>
      <c r="B112" s="2"/>
      <c r="C112" s="2"/>
      <c r="D112" s="2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9">
        <f t="shared" si="4"/>
        <v>0</v>
      </c>
      <c r="W112" s="1"/>
      <c r="X112" s="1"/>
      <c r="Y112" s="1"/>
      <c r="Z112" s="1"/>
      <c r="AA112" s="1"/>
    </row>
    <row r="113">
      <c r="A113" s="2"/>
      <c r="B113" s="2"/>
      <c r="C113" s="2"/>
      <c r="D113" s="2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9">
        <f t="shared" si="4"/>
        <v>0</v>
      </c>
      <c r="W113" s="1"/>
      <c r="X113" s="1"/>
      <c r="Y113" s="1"/>
      <c r="Z113" s="1"/>
      <c r="AA113" s="1"/>
    </row>
    <row r="114">
      <c r="A114" s="2"/>
      <c r="B114" s="2"/>
      <c r="C114" s="2"/>
      <c r="D114" s="2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9">
        <f t="shared" si="4"/>
        <v>0</v>
      </c>
      <c r="W114" s="1"/>
      <c r="X114" s="1"/>
      <c r="Y114" s="1"/>
      <c r="Z114" s="1"/>
      <c r="AA114" s="1"/>
    </row>
    <row r="115">
      <c r="A115" s="2"/>
      <c r="B115" s="2"/>
      <c r="C115" s="2"/>
      <c r="D115" s="2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9">
        <f t="shared" si="4"/>
        <v>0</v>
      </c>
      <c r="W115" s="1"/>
      <c r="X115" s="1"/>
      <c r="Y115" s="1"/>
      <c r="Z115" s="1"/>
      <c r="AA115" s="1"/>
    </row>
    <row r="116">
      <c r="A116" s="2"/>
      <c r="B116" s="2"/>
      <c r="C116" s="2"/>
      <c r="D116" s="2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9">
        <f t="shared" si="4"/>
        <v>0</v>
      </c>
      <c r="W116" s="1"/>
      <c r="X116" s="1"/>
      <c r="Y116" s="1"/>
      <c r="Z116" s="1"/>
      <c r="AA116" s="1"/>
    </row>
    <row r="117">
      <c r="A117" s="2"/>
      <c r="B117" s="2"/>
      <c r="C117" s="2"/>
      <c r="D117" s="2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9">
        <f t="shared" si="4"/>
        <v>0</v>
      </c>
      <c r="W117" s="1"/>
      <c r="X117" s="1"/>
      <c r="Y117" s="1"/>
      <c r="Z117" s="1"/>
      <c r="AA117" s="1"/>
    </row>
    <row r="118">
      <c r="A118" s="2"/>
      <c r="B118" s="2"/>
      <c r="C118" s="2"/>
      <c r="D118" s="2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9">
        <f t="shared" si="4"/>
        <v>0</v>
      </c>
      <c r="W118" s="1"/>
      <c r="X118" s="1"/>
      <c r="Y118" s="1"/>
      <c r="Z118" s="1"/>
      <c r="AA118" s="1"/>
    </row>
    <row r="119">
      <c r="A119" s="2"/>
      <c r="B119" s="2"/>
      <c r="C119" s="2"/>
      <c r="D119" s="2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9">
        <f t="shared" si="4"/>
        <v>0</v>
      </c>
      <c r="W119" s="1"/>
      <c r="X119" s="1"/>
      <c r="Y119" s="1"/>
      <c r="Z119" s="1"/>
      <c r="AA119" s="1"/>
    </row>
    <row r="120">
      <c r="A120" s="2"/>
      <c r="B120" s="2"/>
      <c r="C120" s="2"/>
      <c r="D120" s="2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9">
        <f t="shared" si="4"/>
        <v>0</v>
      </c>
      <c r="W120" s="1"/>
      <c r="X120" s="1"/>
      <c r="Y120" s="1"/>
      <c r="Z120" s="1"/>
      <c r="AA120" s="1"/>
    </row>
    <row r="121">
      <c r="A121" s="2"/>
      <c r="B121" s="2"/>
      <c r="C121" s="2"/>
      <c r="D121" s="2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9">
        <f t="shared" si="4"/>
        <v>0</v>
      </c>
      <c r="W121" s="1"/>
      <c r="X121" s="1"/>
      <c r="Y121" s="1"/>
      <c r="Z121" s="1"/>
      <c r="AA121" s="1"/>
    </row>
    <row r="122">
      <c r="A122" s="2"/>
      <c r="B122" s="2"/>
      <c r="C122" s="2"/>
      <c r="D122" s="2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9">
        <f t="shared" si="4"/>
        <v>0</v>
      </c>
      <c r="W122" s="1"/>
      <c r="X122" s="1"/>
      <c r="Y122" s="1"/>
      <c r="Z122" s="1"/>
      <c r="AA122" s="1"/>
    </row>
    <row r="123">
      <c r="A123" s="2"/>
      <c r="B123" s="2"/>
      <c r="C123" s="2"/>
      <c r="D123" s="2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9">
        <f t="shared" si="4"/>
        <v>0</v>
      </c>
      <c r="W123" s="1"/>
      <c r="X123" s="1"/>
      <c r="Y123" s="1"/>
      <c r="Z123" s="1"/>
      <c r="AA123" s="1"/>
    </row>
    <row r="124">
      <c r="A124" s="2"/>
      <c r="B124" s="2"/>
      <c r="C124" s="2"/>
      <c r="D124" s="2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9">
        <f t="shared" si="4"/>
        <v>0</v>
      </c>
      <c r="W124" s="1"/>
      <c r="X124" s="1"/>
      <c r="Y124" s="1"/>
      <c r="Z124" s="1"/>
      <c r="AA124" s="1"/>
    </row>
    <row r="125">
      <c r="A125" s="2"/>
      <c r="B125" s="2"/>
      <c r="C125" s="2"/>
      <c r="D125" s="2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9">
        <f t="shared" si="4"/>
        <v>0</v>
      </c>
      <c r="W125" s="1"/>
      <c r="X125" s="1"/>
      <c r="Y125" s="1"/>
      <c r="Z125" s="1"/>
      <c r="AA125" s="1"/>
    </row>
    <row r="126">
      <c r="A126" s="2"/>
      <c r="B126" s="2"/>
      <c r="C126" s="2"/>
      <c r="D126" s="2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9">
        <f t="shared" si="4"/>
        <v>0</v>
      </c>
      <c r="W126" s="1"/>
      <c r="X126" s="1"/>
      <c r="Y126" s="1"/>
      <c r="Z126" s="1"/>
      <c r="AA126" s="1"/>
    </row>
    <row r="127">
      <c r="A127" s="2"/>
      <c r="B127" s="2"/>
      <c r="C127" s="2"/>
      <c r="D127" s="2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9">
        <f t="shared" si="4"/>
        <v>0</v>
      </c>
      <c r="W127" s="1"/>
      <c r="X127" s="1"/>
      <c r="Y127" s="1"/>
      <c r="Z127" s="1"/>
      <c r="AA127" s="1"/>
    </row>
    <row r="128">
      <c r="A128" s="2"/>
      <c r="B128" s="2"/>
      <c r="C128" s="2"/>
      <c r="D128" s="2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9">
        <f t="shared" si="4"/>
        <v>0</v>
      </c>
      <c r="W128" s="1"/>
      <c r="X128" s="1"/>
      <c r="Y128" s="1"/>
      <c r="Z128" s="1"/>
      <c r="AA128" s="1"/>
    </row>
    <row r="129">
      <c r="A129" s="2"/>
      <c r="B129" s="2"/>
      <c r="C129" s="2"/>
      <c r="D129" s="2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9">
        <f t="shared" si="4"/>
        <v>0</v>
      </c>
      <c r="W129" s="1"/>
      <c r="X129" s="1"/>
      <c r="Y129" s="1"/>
      <c r="Z129" s="1"/>
      <c r="AA129" s="1"/>
    </row>
    <row r="130">
      <c r="A130" s="2"/>
      <c r="B130" s="2"/>
      <c r="C130" s="2"/>
      <c r="D130" s="2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9">
        <f t="shared" si="4"/>
        <v>0</v>
      </c>
      <c r="W130" s="1"/>
      <c r="X130" s="1"/>
      <c r="Y130" s="1"/>
      <c r="Z130" s="1"/>
      <c r="AA130" s="1"/>
    </row>
    <row r="131">
      <c r="A131" s="2"/>
      <c r="B131" s="2"/>
      <c r="C131" s="2"/>
      <c r="D131" s="2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9">
        <f t="shared" si="4"/>
        <v>0</v>
      </c>
      <c r="W131" s="1"/>
      <c r="X131" s="1"/>
      <c r="Y131" s="1"/>
      <c r="Z131" s="1"/>
      <c r="AA131" s="1"/>
    </row>
    <row r="132">
      <c r="A132" s="2"/>
      <c r="B132" s="2"/>
      <c r="C132" s="2"/>
      <c r="D132" s="2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9">
        <f t="shared" si="4"/>
        <v>0</v>
      </c>
      <c r="W132" s="1"/>
      <c r="X132" s="1"/>
      <c r="Y132" s="1"/>
      <c r="Z132" s="1"/>
      <c r="AA132" s="1"/>
    </row>
    <row r="133">
      <c r="A133" s="2"/>
      <c r="B133" s="2"/>
      <c r="C133" s="2"/>
      <c r="D133" s="2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9">
        <f t="shared" si="4"/>
        <v>0</v>
      </c>
      <c r="W133" s="1"/>
      <c r="X133" s="1"/>
      <c r="Y133" s="1"/>
      <c r="Z133" s="1"/>
      <c r="AA133" s="1"/>
    </row>
    <row r="134">
      <c r="A134" s="2"/>
      <c r="B134" s="2"/>
      <c r="C134" s="2"/>
      <c r="D134" s="2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9">
        <f t="shared" si="4"/>
        <v>0</v>
      </c>
      <c r="W134" s="1"/>
      <c r="X134" s="1"/>
      <c r="Y134" s="1"/>
      <c r="Z134" s="1"/>
      <c r="AA134" s="1"/>
    </row>
    <row r="135">
      <c r="A135" s="2"/>
      <c r="B135" s="2"/>
      <c r="C135" s="2"/>
      <c r="D135" s="2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9">
        <f t="shared" si="4"/>
        <v>0</v>
      </c>
      <c r="W135" s="1"/>
      <c r="X135" s="1"/>
      <c r="Y135" s="1"/>
      <c r="Z135" s="1"/>
      <c r="AA135" s="1"/>
    </row>
    <row r="136">
      <c r="A136" s="2"/>
      <c r="B136" s="2"/>
      <c r="C136" s="2"/>
      <c r="D136" s="2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9">
        <f t="shared" si="4"/>
        <v>0</v>
      </c>
      <c r="W136" s="1"/>
      <c r="X136" s="1"/>
      <c r="Y136" s="1"/>
      <c r="Z136" s="1"/>
      <c r="AA136" s="1"/>
    </row>
    <row r="137">
      <c r="A137" s="2"/>
      <c r="B137" s="2"/>
      <c r="C137" s="2"/>
      <c r="D137" s="2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9">
        <f t="shared" si="4"/>
        <v>0</v>
      </c>
      <c r="W137" s="1"/>
      <c r="X137" s="1"/>
      <c r="Y137" s="1"/>
      <c r="Z137" s="1"/>
      <c r="AA137" s="1"/>
    </row>
    <row r="138">
      <c r="A138" s="2"/>
      <c r="B138" s="2"/>
      <c r="C138" s="2"/>
      <c r="D138" s="2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9">
        <f t="shared" si="4"/>
        <v>0</v>
      </c>
      <c r="W138" s="1"/>
      <c r="X138" s="1"/>
      <c r="Y138" s="1"/>
      <c r="Z138" s="1"/>
      <c r="AA138" s="1"/>
    </row>
    <row r="139">
      <c r="A139" s="2"/>
      <c r="B139" s="2"/>
      <c r="C139" s="2"/>
      <c r="D139" s="2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9">
        <f t="shared" si="4"/>
        <v>0</v>
      </c>
      <c r="W139" s="1"/>
      <c r="X139" s="1"/>
      <c r="Y139" s="1"/>
      <c r="Z139" s="1"/>
      <c r="AA139" s="1"/>
    </row>
    <row r="140">
      <c r="A140" s="2"/>
      <c r="B140" s="2"/>
      <c r="C140" s="2"/>
      <c r="D140" s="2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9">
        <f t="shared" si="4"/>
        <v>0</v>
      </c>
      <c r="W140" s="1"/>
      <c r="X140" s="1"/>
      <c r="Y140" s="1"/>
      <c r="Z140" s="1"/>
      <c r="AA140" s="1"/>
    </row>
    <row r="141">
      <c r="A141" s="2"/>
      <c r="B141" s="2"/>
      <c r="C141" s="2"/>
      <c r="D141" s="2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9">
        <f t="shared" si="4"/>
        <v>0</v>
      </c>
      <c r="W141" s="1"/>
      <c r="X141" s="1"/>
      <c r="Y141" s="1"/>
      <c r="Z141" s="1"/>
      <c r="AA141" s="1"/>
    </row>
    <row r="142">
      <c r="A142" s="2"/>
      <c r="B142" s="2"/>
      <c r="C142" s="2"/>
      <c r="D142" s="2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9">
        <f t="shared" si="4"/>
        <v>0</v>
      </c>
      <c r="W142" s="1"/>
      <c r="X142" s="1"/>
      <c r="Y142" s="1"/>
      <c r="Z142" s="1"/>
      <c r="AA142" s="1"/>
    </row>
    <row r="143">
      <c r="A143" s="2"/>
      <c r="B143" s="2"/>
      <c r="C143" s="2"/>
      <c r="D143" s="2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9">
        <f t="shared" si="4"/>
        <v>0</v>
      </c>
      <c r="W143" s="1"/>
      <c r="X143" s="1"/>
      <c r="Y143" s="1"/>
      <c r="Z143" s="1"/>
      <c r="AA143" s="1"/>
    </row>
    <row r="144">
      <c r="A144" s="2"/>
      <c r="B144" s="2"/>
      <c r="C144" s="2"/>
      <c r="D144" s="2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9">
        <f t="shared" si="4"/>
        <v>0</v>
      </c>
      <c r="W144" s="1"/>
      <c r="X144" s="1"/>
      <c r="Y144" s="1"/>
      <c r="Z144" s="1"/>
      <c r="AA144" s="1"/>
    </row>
    <row r="145">
      <c r="A145" s="2"/>
      <c r="B145" s="2"/>
      <c r="C145" s="2"/>
      <c r="D145" s="2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9">
        <f t="shared" si="4"/>
        <v>0</v>
      </c>
      <c r="W145" s="1"/>
      <c r="X145" s="1"/>
      <c r="Y145" s="1"/>
      <c r="Z145" s="1"/>
      <c r="AA145" s="1"/>
    </row>
    <row r="146">
      <c r="A146" s="2"/>
      <c r="B146" s="2"/>
      <c r="C146" s="2"/>
      <c r="D146" s="2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9">
        <f t="shared" si="4"/>
        <v>0</v>
      </c>
      <c r="W146" s="1"/>
      <c r="X146" s="1"/>
      <c r="Y146" s="1"/>
      <c r="Z146" s="1"/>
      <c r="AA146" s="1"/>
    </row>
    <row r="147">
      <c r="A147" s="2"/>
      <c r="B147" s="2"/>
      <c r="C147" s="2"/>
      <c r="D147" s="2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9">
        <f t="shared" si="4"/>
        <v>0</v>
      </c>
      <c r="W147" s="1"/>
      <c r="X147" s="1"/>
      <c r="Y147" s="1"/>
      <c r="Z147" s="1"/>
      <c r="AA147" s="1"/>
    </row>
    <row r="148">
      <c r="A148" s="2"/>
      <c r="B148" s="2"/>
      <c r="C148" s="2"/>
      <c r="D148" s="2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9">
        <f t="shared" si="4"/>
        <v>0</v>
      </c>
      <c r="W148" s="1"/>
      <c r="X148" s="1"/>
      <c r="Y148" s="1"/>
      <c r="Z148" s="1"/>
      <c r="AA148" s="1"/>
    </row>
    <row r="149">
      <c r="A149" s="2"/>
      <c r="B149" s="2"/>
      <c r="C149" s="2"/>
      <c r="D149" s="2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9">
        <f t="shared" si="4"/>
        <v>0</v>
      </c>
      <c r="W149" s="1"/>
      <c r="X149" s="1"/>
      <c r="Y149" s="1"/>
      <c r="Z149" s="1"/>
      <c r="AA149" s="1"/>
    </row>
    <row r="150">
      <c r="A150" s="2"/>
      <c r="B150" s="2"/>
      <c r="C150" s="2"/>
      <c r="D150" s="2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9">
        <f t="shared" si="4"/>
        <v>0</v>
      </c>
      <c r="W150" s="1"/>
      <c r="X150" s="1"/>
      <c r="Y150" s="1"/>
      <c r="Z150" s="1"/>
      <c r="AA150" s="1"/>
    </row>
    <row r="151">
      <c r="A151" s="2"/>
      <c r="B151" s="2"/>
      <c r="C151" s="2"/>
      <c r="D151" s="2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9">
        <f t="shared" si="4"/>
        <v>0</v>
      </c>
      <c r="W151" s="1"/>
      <c r="X151" s="1"/>
      <c r="Y151" s="1"/>
      <c r="Z151" s="1"/>
      <c r="AA151" s="1"/>
    </row>
    <row r="152">
      <c r="A152" s="2"/>
      <c r="B152" s="2"/>
      <c r="C152" s="2"/>
      <c r="D152" s="2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9">
        <f t="shared" si="4"/>
        <v>0</v>
      </c>
      <c r="W152" s="1"/>
      <c r="X152" s="1"/>
      <c r="Y152" s="1"/>
      <c r="Z152" s="1"/>
      <c r="AA152" s="1"/>
    </row>
    <row r="153">
      <c r="A153" s="2"/>
      <c r="B153" s="2"/>
      <c r="C153" s="2"/>
      <c r="D153" s="2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9">
        <f t="shared" si="4"/>
        <v>0</v>
      </c>
      <c r="W153" s="1"/>
      <c r="X153" s="1"/>
      <c r="Y153" s="1"/>
      <c r="Z153" s="1"/>
      <c r="AA153" s="1"/>
    </row>
    <row r="154">
      <c r="A154" s="2"/>
      <c r="B154" s="2"/>
      <c r="C154" s="2"/>
      <c r="D154" s="2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9">
        <f t="shared" si="4"/>
        <v>0</v>
      </c>
      <c r="W154" s="1"/>
      <c r="X154" s="1"/>
      <c r="Y154" s="1"/>
      <c r="Z154" s="1"/>
      <c r="AA154" s="1"/>
    </row>
    <row r="155">
      <c r="A155" s="2"/>
      <c r="B155" s="2"/>
      <c r="C155" s="2"/>
      <c r="D155" s="2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9">
        <f t="shared" si="4"/>
        <v>0</v>
      </c>
      <c r="W155" s="1"/>
      <c r="X155" s="1"/>
      <c r="Y155" s="1"/>
      <c r="Z155" s="1"/>
      <c r="AA155" s="1"/>
    </row>
    <row r="156">
      <c r="A156" s="2"/>
      <c r="B156" s="2"/>
      <c r="C156" s="2"/>
      <c r="D156" s="2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9">
        <f t="shared" si="4"/>
        <v>0</v>
      </c>
      <c r="W156" s="1"/>
      <c r="X156" s="1"/>
      <c r="Y156" s="1"/>
      <c r="Z156" s="1"/>
      <c r="AA156" s="1"/>
    </row>
    <row r="157">
      <c r="A157" s="2"/>
      <c r="B157" s="2"/>
      <c r="C157" s="2"/>
      <c r="D157" s="2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9">
        <f t="shared" si="4"/>
        <v>0</v>
      </c>
      <c r="W157" s="1"/>
      <c r="X157" s="1"/>
      <c r="Y157" s="1"/>
      <c r="Z157" s="1"/>
      <c r="AA157" s="1"/>
    </row>
    <row r="158">
      <c r="A158" s="2"/>
      <c r="B158" s="2"/>
      <c r="C158" s="2"/>
      <c r="D158" s="2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9">
        <f t="shared" si="4"/>
        <v>0</v>
      </c>
      <c r="W158" s="1"/>
      <c r="X158" s="1"/>
      <c r="Y158" s="1"/>
      <c r="Z158" s="1"/>
      <c r="AA158" s="1"/>
    </row>
    <row r="159">
      <c r="A159" s="2"/>
      <c r="B159" s="2"/>
      <c r="C159" s="2"/>
      <c r="D159" s="2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9">
        <f t="shared" si="4"/>
        <v>0</v>
      </c>
      <c r="W159" s="1"/>
      <c r="X159" s="1"/>
      <c r="Y159" s="1"/>
      <c r="Z159" s="1"/>
      <c r="AA159" s="1"/>
    </row>
    <row r="160">
      <c r="A160" s="2"/>
      <c r="B160" s="2"/>
      <c r="C160" s="2"/>
      <c r="D160" s="2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9">
        <f t="shared" si="4"/>
        <v>0</v>
      </c>
      <c r="W160" s="1"/>
      <c r="X160" s="1"/>
      <c r="Y160" s="1"/>
      <c r="Z160" s="1"/>
      <c r="AA160" s="1"/>
    </row>
    <row r="161">
      <c r="A161" s="2"/>
      <c r="B161" s="2"/>
      <c r="C161" s="2"/>
      <c r="D161" s="2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9">
        <f t="shared" si="4"/>
        <v>0</v>
      </c>
      <c r="W161" s="1"/>
      <c r="X161" s="1"/>
      <c r="Y161" s="1"/>
      <c r="Z161" s="1"/>
      <c r="AA161" s="1"/>
    </row>
    <row r="162">
      <c r="A162" s="2"/>
      <c r="B162" s="2"/>
      <c r="C162" s="2"/>
      <c r="D162" s="2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9">
        <f t="shared" si="4"/>
        <v>0</v>
      </c>
      <c r="W162" s="1"/>
      <c r="X162" s="1"/>
      <c r="Y162" s="1"/>
      <c r="Z162" s="1"/>
      <c r="AA162" s="1"/>
    </row>
    <row r="163">
      <c r="A163" s="2"/>
      <c r="B163" s="2"/>
      <c r="C163" s="2"/>
      <c r="D163" s="2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9">
        <f t="shared" si="4"/>
        <v>0</v>
      </c>
      <c r="W163" s="1"/>
      <c r="X163" s="1"/>
      <c r="Y163" s="1"/>
      <c r="Z163" s="1"/>
      <c r="AA163" s="1"/>
    </row>
    <row r="164">
      <c r="A164" s="2"/>
      <c r="B164" s="2"/>
      <c r="C164" s="2"/>
      <c r="D164" s="2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9">
        <f t="shared" si="4"/>
        <v>0</v>
      </c>
      <c r="W164" s="1"/>
      <c r="X164" s="1"/>
      <c r="Y164" s="1"/>
      <c r="Z164" s="1"/>
      <c r="AA164" s="1"/>
    </row>
    <row r="165">
      <c r="A165" s="2"/>
      <c r="B165" s="2"/>
      <c r="C165" s="2"/>
      <c r="D165" s="2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9">
        <f t="shared" si="4"/>
        <v>0</v>
      </c>
      <c r="W165" s="1"/>
      <c r="X165" s="1"/>
      <c r="Y165" s="1"/>
      <c r="Z165" s="1"/>
      <c r="AA165" s="1"/>
    </row>
    <row r="166">
      <c r="A166" s="2"/>
      <c r="B166" s="2"/>
      <c r="C166" s="2"/>
      <c r="D166" s="2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9">
        <f t="shared" si="4"/>
        <v>0</v>
      </c>
      <c r="W166" s="1"/>
      <c r="X166" s="1"/>
      <c r="Y166" s="1"/>
      <c r="Z166" s="1"/>
      <c r="AA166" s="1"/>
    </row>
    <row r="167">
      <c r="A167" s="2"/>
      <c r="B167" s="2"/>
      <c r="C167" s="2"/>
      <c r="D167" s="2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9">
        <f t="shared" si="4"/>
        <v>0</v>
      </c>
      <c r="W167" s="1"/>
      <c r="X167" s="1"/>
      <c r="Y167" s="1"/>
      <c r="Z167" s="1"/>
      <c r="AA167" s="1"/>
    </row>
    <row r="168">
      <c r="A168" s="2"/>
      <c r="B168" s="2"/>
      <c r="C168" s="2"/>
      <c r="D168" s="2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9">
        <f t="shared" si="4"/>
        <v>0</v>
      </c>
      <c r="W168" s="1"/>
      <c r="X168" s="1"/>
      <c r="Y168" s="1"/>
      <c r="Z168" s="1"/>
      <c r="AA168" s="1"/>
    </row>
    <row r="169">
      <c r="A169" s="2"/>
      <c r="B169" s="2"/>
      <c r="C169" s="2"/>
      <c r="D169" s="2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9">
        <f t="shared" si="4"/>
        <v>0</v>
      </c>
      <c r="W169" s="1"/>
      <c r="X169" s="1"/>
      <c r="Y169" s="1"/>
      <c r="Z169" s="1"/>
      <c r="AA169" s="1"/>
    </row>
    <row r="170">
      <c r="A170" s="2"/>
      <c r="B170" s="2"/>
      <c r="C170" s="2"/>
      <c r="D170" s="2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9">
        <f t="shared" si="4"/>
        <v>0</v>
      </c>
      <c r="W170" s="1"/>
      <c r="X170" s="1"/>
      <c r="Y170" s="1"/>
      <c r="Z170" s="1"/>
      <c r="AA170" s="1"/>
    </row>
    <row r="171">
      <c r="A171" s="2"/>
      <c r="B171" s="2"/>
      <c r="C171" s="2"/>
      <c r="D171" s="2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9">
        <f t="shared" si="4"/>
        <v>0</v>
      </c>
      <c r="W171" s="1"/>
      <c r="X171" s="1"/>
      <c r="Y171" s="1"/>
      <c r="Z171" s="1"/>
      <c r="AA171" s="1"/>
    </row>
    <row r="172">
      <c r="A172" s="2"/>
      <c r="B172" s="2"/>
      <c r="C172" s="2"/>
      <c r="D172" s="2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9">
        <f t="shared" si="4"/>
        <v>0</v>
      </c>
      <c r="W172" s="1"/>
      <c r="X172" s="1"/>
      <c r="Y172" s="1"/>
      <c r="Z172" s="1"/>
      <c r="AA172" s="1"/>
    </row>
    <row r="173">
      <c r="A173" s="2"/>
      <c r="B173" s="2"/>
      <c r="C173" s="2"/>
      <c r="D173" s="2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9">
        <f t="shared" si="4"/>
        <v>0</v>
      </c>
      <c r="W173" s="1"/>
      <c r="X173" s="1"/>
      <c r="Y173" s="1"/>
      <c r="Z173" s="1"/>
      <c r="AA173" s="1"/>
    </row>
    <row r="174">
      <c r="A174" s="2"/>
      <c r="B174" s="2"/>
      <c r="C174" s="2"/>
      <c r="D174" s="2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9">
        <f t="shared" si="4"/>
        <v>0</v>
      </c>
      <c r="W174" s="1"/>
      <c r="X174" s="1"/>
      <c r="Y174" s="1"/>
      <c r="Z174" s="1"/>
      <c r="AA174" s="1"/>
    </row>
    <row r="175">
      <c r="A175" s="2"/>
      <c r="B175" s="2"/>
      <c r="C175" s="2"/>
      <c r="D175" s="2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9">
        <f t="shared" si="4"/>
        <v>0</v>
      </c>
      <c r="W175" s="1"/>
      <c r="X175" s="1"/>
      <c r="Y175" s="1"/>
      <c r="Z175" s="1"/>
      <c r="AA175" s="1"/>
    </row>
    <row r="176">
      <c r="A176" s="2"/>
      <c r="B176" s="2"/>
      <c r="C176" s="2"/>
      <c r="D176" s="2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9">
        <f t="shared" si="4"/>
        <v>0</v>
      </c>
      <c r="W176" s="1"/>
      <c r="X176" s="1"/>
      <c r="Y176" s="1"/>
      <c r="Z176" s="1"/>
      <c r="AA176" s="1"/>
    </row>
    <row r="177">
      <c r="A177" s="2"/>
      <c r="B177" s="2"/>
      <c r="C177" s="2"/>
      <c r="D177" s="2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9">
        <f t="shared" si="4"/>
        <v>0</v>
      </c>
      <c r="W177" s="1"/>
      <c r="X177" s="1"/>
      <c r="Y177" s="1"/>
      <c r="Z177" s="1"/>
      <c r="AA177" s="1"/>
    </row>
    <row r="178">
      <c r="A178" s="2"/>
      <c r="B178" s="2"/>
      <c r="C178" s="2"/>
      <c r="D178" s="2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9">
        <f t="shared" si="4"/>
        <v>0</v>
      </c>
      <c r="W178" s="1"/>
      <c r="X178" s="1"/>
      <c r="Y178" s="1"/>
      <c r="Z178" s="1"/>
      <c r="AA178" s="1"/>
    </row>
    <row r="179">
      <c r="A179" s="2"/>
      <c r="B179" s="2"/>
      <c r="C179" s="2"/>
      <c r="D179" s="2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9">
        <f t="shared" si="4"/>
        <v>0</v>
      </c>
      <c r="W179" s="1"/>
      <c r="X179" s="1"/>
      <c r="Y179" s="1"/>
      <c r="Z179" s="1"/>
      <c r="AA179" s="1"/>
    </row>
    <row r="180">
      <c r="A180" s="2"/>
      <c r="B180" s="2"/>
      <c r="C180" s="2"/>
      <c r="D180" s="2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9">
        <f t="shared" si="4"/>
        <v>0</v>
      </c>
      <c r="W180" s="1"/>
      <c r="X180" s="1"/>
      <c r="Y180" s="1"/>
      <c r="Z180" s="1"/>
      <c r="AA180" s="1"/>
    </row>
    <row r="181">
      <c r="A181" s="2"/>
      <c r="B181" s="2"/>
      <c r="C181" s="2"/>
      <c r="D181" s="2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9">
        <f t="shared" si="4"/>
        <v>0</v>
      </c>
      <c r="W181" s="1"/>
      <c r="X181" s="1"/>
      <c r="Y181" s="1"/>
      <c r="Z181" s="1"/>
      <c r="AA181" s="1"/>
    </row>
    <row r="182">
      <c r="A182" s="2"/>
      <c r="B182" s="2"/>
      <c r="C182" s="2"/>
      <c r="D182" s="2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9">
        <f t="shared" si="4"/>
        <v>0</v>
      </c>
      <c r="W182" s="1"/>
      <c r="X182" s="1"/>
      <c r="Y182" s="1"/>
      <c r="Z182" s="1"/>
      <c r="AA182" s="1"/>
    </row>
    <row r="183">
      <c r="A183" s="2"/>
      <c r="B183" s="2"/>
      <c r="C183" s="2"/>
      <c r="D183" s="2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9">
        <f t="shared" si="4"/>
        <v>0</v>
      </c>
      <c r="W183" s="1"/>
      <c r="X183" s="1"/>
      <c r="Y183" s="1"/>
      <c r="Z183" s="1"/>
      <c r="AA183" s="1"/>
    </row>
    <row r="184">
      <c r="A184" s="2"/>
      <c r="B184" s="2"/>
      <c r="C184" s="2"/>
      <c r="D184" s="2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9">
        <f t="shared" si="4"/>
        <v>0</v>
      </c>
      <c r="W184" s="1"/>
      <c r="X184" s="1"/>
      <c r="Y184" s="1"/>
      <c r="Z184" s="1"/>
      <c r="AA184" s="1"/>
    </row>
    <row r="185">
      <c r="A185" s="2"/>
      <c r="B185" s="2"/>
      <c r="C185" s="2"/>
      <c r="D185" s="2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9">
        <f t="shared" si="4"/>
        <v>0</v>
      </c>
      <c r="W185" s="1"/>
      <c r="X185" s="1"/>
      <c r="Y185" s="1"/>
      <c r="Z185" s="1"/>
      <c r="AA185" s="1"/>
    </row>
    <row r="186">
      <c r="A186" s="2"/>
      <c r="B186" s="2"/>
      <c r="C186" s="2"/>
      <c r="D186" s="2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9">
        <f t="shared" si="4"/>
        <v>0</v>
      </c>
      <c r="W186" s="1"/>
      <c r="X186" s="1"/>
      <c r="Y186" s="1"/>
      <c r="Z186" s="1"/>
      <c r="AA186" s="1"/>
    </row>
    <row r="187">
      <c r="A187" s="2"/>
      <c r="B187" s="2"/>
      <c r="C187" s="2"/>
      <c r="D187" s="2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9">
        <f t="shared" si="4"/>
        <v>0</v>
      </c>
      <c r="W187" s="1"/>
      <c r="X187" s="1"/>
      <c r="Y187" s="1"/>
      <c r="Z187" s="1"/>
      <c r="AA187" s="1"/>
    </row>
    <row r="188">
      <c r="A188" s="2"/>
      <c r="B188" s="2"/>
      <c r="C188" s="2"/>
      <c r="D188" s="2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9">
        <f t="shared" si="4"/>
        <v>0</v>
      </c>
      <c r="W188" s="1"/>
      <c r="X188" s="1"/>
      <c r="Y188" s="1"/>
      <c r="Z188" s="1"/>
      <c r="AA188" s="1"/>
    </row>
    <row r="189">
      <c r="A189" s="2"/>
      <c r="B189" s="2"/>
      <c r="C189" s="2"/>
      <c r="D189" s="2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9">
        <f t="shared" si="4"/>
        <v>0</v>
      </c>
      <c r="W189" s="1"/>
      <c r="X189" s="1"/>
      <c r="Y189" s="1"/>
      <c r="Z189" s="1"/>
      <c r="AA189" s="1"/>
    </row>
    <row r="190">
      <c r="A190" s="2"/>
      <c r="B190" s="2"/>
      <c r="C190" s="2"/>
      <c r="D190" s="2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9">
        <f t="shared" si="4"/>
        <v>0</v>
      </c>
      <c r="W190" s="1"/>
      <c r="X190" s="1"/>
      <c r="Y190" s="1"/>
      <c r="Z190" s="1"/>
      <c r="AA190" s="1"/>
    </row>
    <row r="191">
      <c r="A191" s="2"/>
      <c r="B191" s="2"/>
      <c r="C191" s="2"/>
      <c r="D191" s="2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9">
        <f t="shared" si="4"/>
        <v>0</v>
      </c>
      <c r="W191" s="1"/>
      <c r="X191" s="1"/>
      <c r="Y191" s="1"/>
      <c r="Z191" s="1"/>
      <c r="AA191" s="1"/>
    </row>
    <row r="192">
      <c r="A192" s="2"/>
      <c r="B192" s="2"/>
      <c r="C192" s="2"/>
      <c r="D192" s="2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9">
        <f t="shared" si="4"/>
        <v>0</v>
      </c>
      <c r="W192" s="1"/>
      <c r="X192" s="1"/>
      <c r="Y192" s="1"/>
      <c r="Z192" s="1"/>
      <c r="AA192" s="1"/>
    </row>
    <row r="193">
      <c r="A193" s="2"/>
      <c r="B193" s="2"/>
      <c r="C193" s="2"/>
      <c r="D193" s="2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9">
        <f t="shared" si="4"/>
        <v>0</v>
      </c>
      <c r="W193" s="1"/>
      <c r="X193" s="1"/>
      <c r="Y193" s="1"/>
      <c r="Z193" s="1"/>
      <c r="AA193" s="1"/>
    </row>
    <row r="194">
      <c r="A194" s="2"/>
      <c r="B194" s="2"/>
      <c r="C194" s="2"/>
      <c r="D194" s="2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9">
        <f t="shared" si="4"/>
        <v>0</v>
      </c>
      <c r="W194" s="1"/>
      <c r="X194" s="1"/>
      <c r="Y194" s="1"/>
      <c r="Z194" s="1"/>
      <c r="AA194" s="1"/>
    </row>
    <row r="195">
      <c r="A195" s="2"/>
      <c r="B195" s="2"/>
      <c r="C195" s="2"/>
      <c r="D195" s="2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9">
        <f t="shared" si="4"/>
        <v>0</v>
      </c>
      <c r="W195" s="1"/>
      <c r="X195" s="1"/>
      <c r="Y195" s="1"/>
      <c r="Z195" s="1"/>
      <c r="AA195" s="1"/>
    </row>
    <row r="196">
      <c r="A196" s="2"/>
      <c r="B196" s="2"/>
      <c r="C196" s="2"/>
      <c r="D196" s="2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9">
        <f t="shared" si="4"/>
        <v>0</v>
      </c>
      <c r="W196" s="1"/>
      <c r="X196" s="1"/>
      <c r="Y196" s="1"/>
      <c r="Z196" s="1"/>
      <c r="AA196" s="1"/>
    </row>
    <row r="197">
      <c r="A197" s="2"/>
      <c r="B197" s="2"/>
      <c r="C197" s="2"/>
      <c r="D197" s="2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9">
        <f t="shared" si="4"/>
        <v>0</v>
      </c>
      <c r="W197" s="1"/>
      <c r="X197" s="1"/>
      <c r="Y197" s="1"/>
      <c r="Z197" s="1"/>
      <c r="AA197" s="1"/>
    </row>
    <row r="198">
      <c r="A198" s="2"/>
      <c r="B198" s="2"/>
      <c r="C198" s="2"/>
      <c r="D198" s="2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9">
        <f t="shared" si="4"/>
        <v>0</v>
      </c>
      <c r="W198" s="1"/>
      <c r="X198" s="1"/>
      <c r="Y198" s="1"/>
      <c r="Z198" s="1"/>
      <c r="AA198" s="1"/>
    </row>
    <row r="199">
      <c r="A199" s="2"/>
      <c r="B199" s="2"/>
      <c r="C199" s="2"/>
      <c r="D199" s="2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9">
        <f t="shared" si="4"/>
        <v>0</v>
      </c>
      <c r="W199" s="1"/>
      <c r="X199" s="1"/>
      <c r="Y199" s="1"/>
      <c r="Z199" s="1"/>
      <c r="AA199" s="1"/>
    </row>
    <row r="200">
      <c r="A200" s="2"/>
      <c r="B200" s="2"/>
      <c r="C200" s="2"/>
      <c r="D200" s="2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9">
        <f t="shared" si="4"/>
        <v>0</v>
      </c>
      <c r="W200" s="1"/>
      <c r="X200" s="1"/>
      <c r="Y200" s="1"/>
      <c r="Z200" s="1"/>
      <c r="AA200" s="1"/>
    </row>
    <row r="201">
      <c r="A201" s="2"/>
      <c r="B201" s="2"/>
      <c r="C201" s="2"/>
      <c r="D201" s="2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9">
        <f t="shared" si="4"/>
        <v>0</v>
      </c>
      <c r="W201" s="1"/>
      <c r="X201" s="1"/>
      <c r="Y201" s="1"/>
      <c r="Z201" s="1"/>
      <c r="AA201" s="1"/>
    </row>
    <row r="202">
      <c r="A202" s="2"/>
      <c r="B202" s="2"/>
      <c r="C202" s="2"/>
      <c r="D202" s="2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9">
        <f t="shared" si="4"/>
        <v>0</v>
      </c>
      <c r="W202" s="1"/>
      <c r="X202" s="1"/>
      <c r="Y202" s="1"/>
      <c r="Z202" s="1"/>
      <c r="AA202" s="1"/>
    </row>
    <row r="203">
      <c r="A203" s="2"/>
      <c r="B203" s="2"/>
      <c r="C203" s="2"/>
      <c r="D203" s="2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9">
        <f t="shared" si="4"/>
        <v>0</v>
      </c>
      <c r="W203" s="1"/>
      <c r="X203" s="1"/>
      <c r="Y203" s="1"/>
      <c r="Z203" s="1"/>
      <c r="AA203" s="1"/>
    </row>
    <row r="204">
      <c r="A204" s="2"/>
      <c r="B204" s="2"/>
      <c r="C204" s="2"/>
      <c r="D204" s="2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9">
        <f t="shared" si="4"/>
        <v>0</v>
      </c>
      <c r="W204" s="1"/>
      <c r="X204" s="1"/>
      <c r="Y204" s="1"/>
      <c r="Z204" s="1"/>
      <c r="AA204" s="1"/>
    </row>
    <row r="205">
      <c r="A205" s="2"/>
      <c r="B205" s="2"/>
      <c r="C205" s="2"/>
      <c r="D205" s="2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9">
        <f t="shared" si="4"/>
        <v>0</v>
      </c>
      <c r="W205" s="1"/>
      <c r="X205" s="1"/>
      <c r="Y205" s="1"/>
      <c r="Z205" s="1"/>
      <c r="AA205" s="1"/>
    </row>
    <row r="206">
      <c r="A206" s="2"/>
      <c r="B206" s="2"/>
      <c r="C206" s="2"/>
      <c r="D206" s="2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9">
        <f t="shared" si="4"/>
        <v>0</v>
      </c>
      <c r="W206" s="1"/>
      <c r="X206" s="1"/>
      <c r="Y206" s="1"/>
      <c r="Z206" s="1"/>
      <c r="AA206" s="1"/>
    </row>
    <row r="207">
      <c r="A207" s="2"/>
      <c r="B207" s="2"/>
      <c r="C207" s="2"/>
      <c r="D207" s="2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9">
        <f t="shared" si="4"/>
        <v>0</v>
      </c>
      <c r="W207" s="1"/>
      <c r="X207" s="1"/>
      <c r="Y207" s="1"/>
      <c r="Z207" s="1"/>
      <c r="AA207" s="1"/>
    </row>
    <row r="208">
      <c r="A208" s="2"/>
      <c r="B208" s="2"/>
      <c r="C208" s="2"/>
      <c r="D208" s="2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9">
        <f t="shared" si="4"/>
        <v>0</v>
      </c>
      <c r="W208" s="1"/>
      <c r="X208" s="1"/>
      <c r="Y208" s="1"/>
      <c r="Z208" s="1"/>
      <c r="AA208" s="1"/>
    </row>
    <row r="209">
      <c r="A209" s="2"/>
      <c r="B209" s="2"/>
      <c r="C209" s="2"/>
      <c r="D209" s="2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9">
        <f t="shared" si="4"/>
        <v>0</v>
      </c>
      <c r="W209" s="1"/>
      <c r="X209" s="1"/>
      <c r="Y209" s="1"/>
      <c r="Z209" s="1"/>
      <c r="AA209" s="1"/>
    </row>
    <row r="210">
      <c r="A210" s="2"/>
      <c r="B210" s="2"/>
      <c r="C210" s="2"/>
      <c r="D210" s="2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9">
        <f t="shared" si="4"/>
        <v>0</v>
      </c>
      <c r="W210" s="1"/>
      <c r="X210" s="1"/>
      <c r="Y210" s="1"/>
      <c r="Z210" s="1"/>
      <c r="AA210" s="1"/>
    </row>
    <row r="211">
      <c r="A211" s="2"/>
      <c r="B211" s="2"/>
      <c r="C211" s="2"/>
      <c r="D211" s="2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9">
        <f t="shared" si="4"/>
        <v>0</v>
      </c>
      <c r="W211" s="1"/>
      <c r="X211" s="1"/>
      <c r="Y211" s="1"/>
      <c r="Z211" s="1"/>
      <c r="AA211" s="1"/>
    </row>
    <row r="212">
      <c r="A212" s="2"/>
      <c r="B212" s="2"/>
      <c r="C212" s="2"/>
      <c r="D212" s="2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9">
        <f t="shared" si="4"/>
        <v>0</v>
      </c>
      <c r="W212" s="1"/>
      <c r="X212" s="1"/>
      <c r="Y212" s="1"/>
      <c r="Z212" s="1"/>
      <c r="AA212" s="1"/>
    </row>
    <row r="213">
      <c r="A213" s="2"/>
      <c r="B213" s="2"/>
      <c r="C213" s="2"/>
      <c r="D213" s="2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9">
        <f t="shared" si="4"/>
        <v>0</v>
      </c>
      <c r="W213" s="1"/>
      <c r="X213" s="1"/>
      <c r="Y213" s="1"/>
      <c r="Z213" s="1"/>
      <c r="AA213" s="1"/>
    </row>
    <row r="214">
      <c r="A214" s="2"/>
      <c r="B214" s="2"/>
      <c r="C214" s="2"/>
      <c r="D214" s="2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9">
        <f t="shared" si="4"/>
        <v>0</v>
      </c>
      <c r="W214" s="1"/>
      <c r="X214" s="1"/>
      <c r="Y214" s="1"/>
      <c r="Z214" s="1"/>
      <c r="AA214" s="1"/>
    </row>
    <row r="215">
      <c r="A215" s="2"/>
      <c r="B215" s="2"/>
      <c r="C215" s="2"/>
      <c r="D215" s="2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9">
        <f t="shared" si="4"/>
        <v>0</v>
      </c>
      <c r="W215" s="1"/>
      <c r="X215" s="1"/>
      <c r="Y215" s="1"/>
      <c r="Z215" s="1"/>
      <c r="AA215" s="1"/>
    </row>
    <row r="216">
      <c r="A216" s="2"/>
      <c r="B216" s="2"/>
      <c r="C216" s="2"/>
      <c r="D216" s="2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9">
        <f t="shared" si="4"/>
        <v>0</v>
      </c>
      <c r="W216" s="1"/>
      <c r="X216" s="1"/>
      <c r="Y216" s="1"/>
      <c r="Z216" s="1"/>
      <c r="AA216" s="1"/>
    </row>
    <row r="217">
      <c r="A217" s="2"/>
      <c r="B217" s="2"/>
      <c r="C217" s="2"/>
      <c r="D217" s="2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9">
        <f t="shared" si="4"/>
        <v>0</v>
      </c>
      <c r="W217" s="1"/>
      <c r="X217" s="1"/>
      <c r="Y217" s="1"/>
      <c r="Z217" s="1"/>
      <c r="AA217" s="1"/>
    </row>
    <row r="218">
      <c r="A218" s="2"/>
      <c r="B218" s="2"/>
      <c r="C218" s="2"/>
      <c r="D218" s="2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9">
        <f t="shared" si="4"/>
        <v>0</v>
      </c>
      <c r="W218" s="1"/>
      <c r="X218" s="1"/>
      <c r="Y218" s="1"/>
      <c r="Z218" s="1"/>
      <c r="AA218" s="1"/>
    </row>
    <row r="219">
      <c r="A219" s="2"/>
      <c r="B219" s="2"/>
      <c r="C219" s="2"/>
      <c r="D219" s="2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9">
        <f t="shared" si="4"/>
        <v>0</v>
      </c>
      <c r="W219" s="1"/>
      <c r="X219" s="1"/>
      <c r="Y219" s="1"/>
      <c r="Z219" s="1"/>
      <c r="AA219" s="1"/>
    </row>
    <row r="220">
      <c r="A220" s="2"/>
      <c r="B220" s="2"/>
      <c r="C220" s="2"/>
      <c r="D220" s="2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9">
        <f t="shared" si="4"/>
        <v>0</v>
      </c>
      <c r="W220" s="1"/>
      <c r="X220" s="1"/>
      <c r="Y220" s="1"/>
      <c r="Z220" s="1"/>
      <c r="AA220" s="1"/>
    </row>
    <row r="221">
      <c r="A221" s="2"/>
      <c r="B221" s="2"/>
      <c r="C221" s="2"/>
      <c r="D221" s="2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9">
        <f t="shared" si="4"/>
        <v>0</v>
      </c>
      <c r="W221" s="1"/>
      <c r="X221" s="1"/>
      <c r="Y221" s="1"/>
      <c r="Z221" s="1"/>
      <c r="AA221" s="1"/>
    </row>
    <row r="222">
      <c r="A222" s="2"/>
      <c r="B222" s="2"/>
      <c r="C222" s="2"/>
      <c r="D222" s="2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9">
        <f t="shared" si="4"/>
        <v>0</v>
      </c>
      <c r="W222" s="1"/>
      <c r="X222" s="1"/>
      <c r="Y222" s="1"/>
      <c r="Z222" s="1"/>
      <c r="AA222" s="1"/>
    </row>
    <row r="223">
      <c r="A223" s="2"/>
      <c r="B223" s="2"/>
      <c r="C223" s="2"/>
      <c r="D223" s="2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9">
        <f t="shared" si="4"/>
        <v>0</v>
      </c>
      <c r="W223" s="1"/>
      <c r="X223" s="1"/>
      <c r="Y223" s="1"/>
      <c r="Z223" s="1"/>
      <c r="AA223" s="1"/>
    </row>
    <row r="224">
      <c r="A224" s="2"/>
      <c r="B224" s="2"/>
      <c r="C224" s="2"/>
      <c r="D224" s="2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9">
        <f t="shared" si="4"/>
        <v>0</v>
      </c>
      <c r="W224" s="1"/>
      <c r="X224" s="1"/>
      <c r="Y224" s="1"/>
      <c r="Z224" s="1"/>
      <c r="AA224" s="1"/>
    </row>
    <row r="225">
      <c r="A225" s="2"/>
      <c r="B225" s="2"/>
      <c r="C225" s="2"/>
      <c r="D225" s="2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9">
        <f t="shared" si="4"/>
        <v>0</v>
      </c>
      <c r="W225" s="1"/>
      <c r="X225" s="1"/>
      <c r="Y225" s="1"/>
      <c r="Z225" s="1"/>
      <c r="AA225" s="1"/>
    </row>
    <row r="226">
      <c r="A226" s="2"/>
      <c r="B226" s="2"/>
      <c r="C226" s="2"/>
      <c r="D226" s="2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9">
        <f t="shared" si="4"/>
        <v>0</v>
      </c>
      <c r="W226" s="1"/>
      <c r="X226" s="1"/>
      <c r="Y226" s="1"/>
      <c r="Z226" s="1"/>
      <c r="AA226" s="1"/>
    </row>
    <row r="227">
      <c r="A227" s="2"/>
      <c r="B227" s="2"/>
      <c r="C227" s="2"/>
      <c r="D227" s="2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9">
        <f t="shared" si="4"/>
        <v>0</v>
      </c>
      <c r="W227" s="1"/>
      <c r="X227" s="1"/>
      <c r="Y227" s="1"/>
      <c r="Z227" s="1"/>
      <c r="AA227" s="1"/>
    </row>
    <row r="228">
      <c r="A228" s="2"/>
      <c r="B228" s="2"/>
      <c r="C228" s="2"/>
      <c r="D228" s="2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9">
        <f t="shared" si="4"/>
        <v>0</v>
      </c>
      <c r="W228" s="1"/>
      <c r="X228" s="1"/>
      <c r="Y228" s="1"/>
      <c r="Z228" s="1"/>
      <c r="AA228" s="1"/>
    </row>
    <row r="229">
      <c r="A229" s="2"/>
      <c r="B229" s="2"/>
      <c r="C229" s="2"/>
      <c r="D229" s="2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9">
        <f t="shared" si="4"/>
        <v>0</v>
      </c>
      <c r="W229" s="1"/>
      <c r="X229" s="1"/>
      <c r="Y229" s="1"/>
      <c r="Z229" s="1"/>
      <c r="AA229" s="1"/>
    </row>
    <row r="230">
      <c r="A230" s="2"/>
      <c r="B230" s="2"/>
      <c r="C230" s="2"/>
      <c r="D230" s="2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9">
        <f t="shared" si="4"/>
        <v>0</v>
      </c>
      <c r="W230" s="1"/>
      <c r="X230" s="1"/>
      <c r="Y230" s="1"/>
      <c r="Z230" s="1"/>
      <c r="AA230" s="1"/>
    </row>
    <row r="231">
      <c r="A231" s="2"/>
      <c r="B231" s="2"/>
      <c r="C231" s="2"/>
      <c r="D231" s="2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9">
        <f t="shared" si="4"/>
        <v>0</v>
      </c>
      <c r="W231" s="1"/>
      <c r="X231" s="1"/>
      <c r="Y231" s="1"/>
      <c r="Z231" s="1"/>
      <c r="AA231" s="1"/>
    </row>
    <row r="232">
      <c r="A232" s="2"/>
      <c r="B232" s="2"/>
      <c r="C232" s="2"/>
      <c r="D232" s="2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9">
        <f t="shared" si="4"/>
        <v>0</v>
      </c>
      <c r="W232" s="1"/>
      <c r="X232" s="1"/>
      <c r="Y232" s="1"/>
      <c r="Z232" s="1"/>
      <c r="AA232" s="1"/>
    </row>
    <row r="233">
      <c r="A233" s="2"/>
      <c r="B233" s="2"/>
      <c r="C233" s="2"/>
      <c r="D233" s="2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9">
        <f t="shared" si="4"/>
        <v>0</v>
      </c>
      <c r="W233" s="1"/>
      <c r="X233" s="1"/>
      <c r="Y233" s="1"/>
      <c r="Z233" s="1"/>
      <c r="AA233" s="1"/>
    </row>
    <row r="234">
      <c r="A234" s="2"/>
      <c r="B234" s="2"/>
      <c r="C234" s="2"/>
      <c r="D234" s="2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9">
        <f t="shared" si="4"/>
        <v>0</v>
      </c>
      <c r="W234" s="1"/>
      <c r="X234" s="1"/>
      <c r="Y234" s="1"/>
      <c r="Z234" s="1"/>
      <c r="AA234" s="1"/>
    </row>
    <row r="235">
      <c r="A235" s="2"/>
      <c r="B235" s="2"/>
      <c r="C235" s="2"/>
      <c r="D235" s="2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9">
        <f t="shared" si="4"/>
        <v>0</v>
      </c>
      <c r="W235" s="1"/>
      <c r="X235" s="1"/>
      <c r="Y235" s="1"/>
      <c r="Z235" s="1"/>
      <c r="AA235" s="1"/>
    </row>
    <row r="236">
      <c r="A236" s="2"/>
      <c r="B236" s="2"/>
      <c r="C236" s="2"/>
      <c r="D236" s="2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9">
        <f t="shared" si="4"/>
        <v>0</v>
      </c>
      <c r="W236" s="1"/>
      <c r="X236" s="1"/>
      <c r="Y236" s="1"/>
      <c r="Z236" s="1"/>
      <c r="AA236" s="1"/>
    </row>
    <row r="237">
      <c r="A237" s="2"/>
      <c r="B237" s="2"/>
      <c r="C237" s="2"/>
      <c r="D237" s="2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9">
        <f t="shared" si="4"/>
        <v>0</v>
      </c>
      <c r="W237" s="1"/>
      <c r="X237" s="1"/>
      <c r="Y237" s="1"/>
      <c r="Z237" s="1"/>
      <c r="AA237" s="1"/>
    </row>
    <row r="238">
      <c r="A238" s="2"/>
      <c r="B238" s="2"/>
      <c r="C238" s="2"/>
      <c r="D238" s="2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9">
        <f t="shared" si="4"/>
        <v>0</v>
      </c>
      <c r="W238" s="1"/>
      <c r="X238" s="1"/>
      <c r="Y238" s="1"/>
      <c r="Z238" s="1"/>
      <c r="AA238" s="1"/>
    </row>
    <row r="239">
      <c r="A239" s="2"/>
      <c r="B239" s="2"/>
      <c r="C239" s="2"/>
      <c r="D239" s="2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9">
        <f t="shared" si="4"/>
        <v>0</v>
      </c>
      <c r="W239" s="1"/>
      <c r="X239" s="1"/>
      <c r="Y239" s="1"/>
      <c r="Z239" s="1"/>
      <c r="AA239" s="1"/>
    </row>
    <row r="240">
      <c r="A240" s="2"/>
      <c r="B240" s="2"/>
      <c r="C240" s="2"/>
      <c r="D240" s="2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9">
        <f t="shared" si="4"/>
        <v>0</v>
      </c>
      <c r="W240" s="1"/>
      <c r="X240" s="1"/>
      <c r="Y240" s="1"/>
      <c r="Z240" s="1"/>
      <c r="AA240" s="1"/>
    </row>
    <row r="241">
      <c r="A241" s="2"/>
      <c r="B241" s="2"/>
      <c r="C241" s="2"/>
      <c r="D241" s="2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9">
        <f t="shared" si="4"/>
        <v>0</v>
      </c>
      <c r="W241" s="1"/>
      <c r="X241" s="1"/>
      <c r="Y241" s="1"/>
      <c r="Z241" s="1"/>
      <c r="AA241" s="1"/>
    </row>
    <row r="242">
      <c r="A242" s="2"/>
      <c r="B242" s="2"/>
      <c r="C242" s="2"/>
      <c r="D242" s="2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9">
        <f t="shared" si="4"/>
        <v>0</v>
      </c>
      <c r="W242" s="1"/>
      <c r="X242" s="1"/>
      <c r="Y242" s="1"/>
      <c r="Z242" s="1"/>
      <c r="AA242" s="1"/>
    </row>
    <row r="243">
      <c r="A243" s="2"/>
      <c r="B243" s="2"/>
      <c r="C243" s="2"/>
      <c r="D243" s="2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9">
        <f t="shared" si="4"/>
        <v>0</v>
      </c>
      <c r="W243" s="1"/>
      <c r="X243" s="1"/>
      <c r="Y243" s="1"/>
      <c r="Z243" s="1"/>
      <c r="AA243" s="1"/>
    </row>
    <row r="244">
      <c r="A244" s="2"/>
      <c r="B244" s="2"/>
      <c r="C244" s="2"/>
      <c r="D244" s="2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9">
        <f t="shared" si="4"/>
        <v>0</v>
      </c>
      <c r="W244" s="1"/>
      <c r="X244" s="1"/>
      <c r="Y244" s="1"/>
      <c r="Z244" s="1"/>
      <c r="AA244" s="1"/>
    </row>
    <row r="245">
      <c r="A245" s="2"/>
      <c r="B245" s="2"/>
      <c r="C245" s="2"/>
      <c r="D245" s="2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9">
        <f t="shared" si="4"/>
        <v>0</v>
      </c>
      <c r="W245" s="1"/>
      <c r="X245" s="1"/>
      <c r="Y245" s="1"/>
      <c r="Z245" s="1"/>
      <c r="AA245" s="1"/>
    </row>
    <row r="246">
      <c r="A246" s="2"/>
      <c r="B246" s="2"/>
      <c r="C246" s="2"/>
      <c r="D246" s="2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9">
        <f t="shared" si="4"/>
        <v>0</v>
      </c>
      <c r="W246" s="1"/>
      <c r="X246" s="1"/>
      <c r="Y246" s="1"/>
      <c r="Z246" s="1"/>
      <c r="AA246" s="1"/>
    </row>
    <row r="247">
      <c r="A247" s="2"/>
      <c r="B247" s="2"/>
      <c r="C247" s="2"/>
      <c r="D247" s="2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9">
        <f t="shared" si="4"/>
        <v>0</v>
      </c>
      <c r="W247" s="1"/>
      <c r="X247" s="1"/>
      <c r="Y247" s="1"/>
      <c r="Z247" s="1"/>
      <c r="AA247" s="1"/>
    </row>
    <row r="248">
      <c r="A248" s="2"/>
      <c r="B248" s="2"/>
      <c r="C248" s="2"/>
      <c r="D248" s="2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9">
        <f t="shared" si="4"/>
        <v>0</v>
      </c>
      <c r="W248" s="1"/>
      <c r="X248" s="1"/>
      <c r="Y248" s="1"/>
      <c r="Z248" s="1"/>
      <c r="AA248" s="1"/>
    </row>
    <row r="249">
      <c r="A249" s="2"/>
      <c r="B249" s="2"/>
      <c r="C249" s="2"/>
      <c r="D249" s="2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9">
        <f t="shared" si="4"/>
        <v>0</v>
      </c>
      <c r="W249" s="1"/>
      <c r="X249" s="1"/>
      <c r="Y249" s="1"/>
      <c r="Z249" s="1"/>
      <c r="AA249" s="1"/>
    </row>
    <row r="250">
      <c r="A250" s="2"/>
      <c r="B250" s="2"/>
      <c r="C250" s="2"/>
      <c r="D250" s="2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9">
        <f t="shared" si="4"/>
        <v>0</v>
      </c>
      <c r="W250" s="1"/>
      <c r="X250" s="1"/>
      <c r="Y250" s="1"/>
      <c r="Z250" s="1"/>
      <c r="AA250" s="1"/>
    </row>
    <row r="251">
      <c r="A251" s="2"/>
      <c r="B251" s="2"/>
      <c r="C251" s="2"/>
      <c r="D251" s="2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9">
        <f t="shared" si="4"/>
        <v>0</v>
      </c>
      <c r="W251" s="1"/>
      <c r="X251" s="1"/>
      <c r="Y251" s="1"/>
      <c r="Z251" s="1"/>
      <c r="AA251" s="1"/>
    </row>
    <row r="252">
      <c r="A252" s="2"/>
      <c r="B252" s="2"/>
      <c r="C252" s="2"/>
      <c r="D252" s="2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9">
        <f t="shared" si="4"/>
        <v>0</v>
      </c>
      <c r="W252" s="1"/>
      <c r="X252" s="1"/>
      <c r="Y252" s="1"/>
      <c r="Z252" s="1"/>
      <c r="AA252" s="1"/>
    </row>
    <row r="253">
      <c r="A253" s="2"/>
      <c r="B253" s="2"/>
      <c r="C253" s="2"/>
      <c r="D253" s="2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9">
        <f t="shared" si="4"/>
        <v>0</v>
      </c>
      <c r="W253" s="1"/>
      <c r="X253" s="1"/>
      <c r="Y253" s="1"/>
      <c r="Z253" s="1"/>
      <c r="AA253" s="1"/>
    </row>
    <row r="254">
      <c r="A254" s="2"/>
      <c r="B254" s="2"/>
      <c r="C254" s="2"/>
      <c r="D254" s="2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9">
        <f t="shared" si="4"/>
        <v>0</v>
      </c>
      <c r="W254" s="1"/>
      <c r="X254" s="1"/>
      <c r="Y254" s="1"/>
      <c r="Z254" s="1"/>
      <c r="AA254" s="1"/>
    </row>
    <row r="255">
      <c r="A255" s="2"/>
      <c r="B255" s="2"/>
      <c r="C255" s="2"/>
      <c r="D255" s="2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9">
        <f t="shared" si="4"/>
        <v>0</v>
      </c>
      <c r="W255" s="1"/>
      <c r="X255" s="1"/>
      <c r="Y255" s="1"/>
      <c r="Z255" s="1"/>
      <c r="AA255" s="1"/>
    </row>
    <row r="256">
      <c r="A256" s="2"/>
      <c r="B256" s="2"/>
      <c r="C256" s="2"/>
      <c r="D256" s="2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9">
        <f t="shared" si="4"/>
        <v>0</v>
      </c>
      <c r="W256" s="1"/>
      <c r="X256" s="1"/>
      <c r="Y256" s="1"/>
      <c r="Z256" s="1"/>
      <c r="AA256" s="1"/>
    </row>
    <row r="257">
      <c r="A257" s="2"/>
      <c r="B257" s="2"/>
      <c r="C257" s="2"/>
      <c r="D257" s="2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9">
        <f t="shared" si="4"/>
        <v>0</v>
      </c>
      <c r="W257" s="1"/>
      <c r="X257" s="1"/>
      <c r="Y257" s="1"/>
      <c r="Z257" s="1"/>
      <c r="AA257" s="1"/>
    </row>
    <row r="258">
      <c r="A258" s="2"/>
      <c r="B258" s="2"/>
      <c r="C258" s="2"/>
      <c r="D258" s="2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9">
        <f t="shared" si="4"/>
        <v>0</v>
      </c>
      <c r="W258" s="1"/>
      <c r="X258" s="1"/>
      <c r="Y258" s="1"/>
      <c r="Z258" s="1"/>
      <c r="AA258" s="1"/>
    </row>
    <row r="259">
      <c r="A259" s="2"/>
      <c r="B259" s="2"/>
      <c r="C259" s="2"/>
      <c r="D259" s="2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9">
        <f t="shared" si="4"/>
        <v>0</v>
      </c>
      <c r="W259" s="1"/>
      <c r="X259" s="1"/>
      <c r="Y259" s="1"/>
      <c r="Z259" s="1"/>
      <c r="AA259" s="1"/>
    </row>
    <row r="260">
      <c r="A260" s="2"/>
      <c r="B260" s="2"/>
      <c r="C260" s="2"/>
      <c r="D260" s="2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9">
        <f t="shared" si="4"/>
        <v>0</v>
      </c>
      <c r="W260" s="1"/>
      <c r="X260" s="1"/>
      <c r="Y260" s="1"/>
      <c r="Z260" s="1"/>
      <c r="AA260" s="1"/>
    </row>
    <row r="261">
      <c r="A261" s="2"/>
      <c r="B261" s="2"/>
      <c r="C261" s="2"/>
      <c r="D261" s="2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9">
        <f t="shared" si="4"/>
        <v>0</v>
      </c>
      <c r="W261" s="1"/>
      <c r="X261" s="1"/>
      <c r="Y261" s="1"/>
      <c r="Z261" s="1"/>
      <c r="AA261" s="1"/>
    </row>
    <row r="262">
      <c r="A262" s="2"/>
      <c r="B262" s="2"/>
      <c r="C262" s="2"/>
      <c r="D262" s="2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9">
        <f t="shared" si="4"/>
        <v>0</v>
      </c>
      <c r="W262" s="1"/>
      <c r="X262" s="1"/>
      <c r="Y262" s="1"/>
      <c r="Z262" s="1"/>
      <c r="AA262" s="1"/>
    </row>
    <row r="263">
      <c r="A263" s="2"/>
      <c r="B263" s="2"/>
      <c r="C263" s="2"/>
      <c r="D263" s="2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9">
        <f t="shared" si="4"/>
        <v>0</v>
      </c>
      <c r="W263" s="1"/>
      <c r="X263" s="1"/>
      <c r="Y263" s="1"/>
      <c r="Z263" s="1"/>
      <c r="AA263" s="1"/>
    </row>
    <row r="264">
      <c r="A264" s="2"/>
      <c r="B264" s="2"/>
      <c r="C264" s="2"/>
      <c r="D264" s="2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9">
        <f t="shared" si="4"/>
        <v>0</v>
      </c>
      <c r="W264" s="1"/>
      <c r="X264" s="1"/>
      <c r="Y264" s="1"/>
      <c r="Z264" s="1"/>
      <c r="AA264" s="1"/>
    </row>
    <row r="265">
      <c r="A265" s="2"/>
      <c r="B265" s="2"/>
      <c r="C265" s="2"/>
      <c r="D265" s="2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9">
        <f t="shared" si="4"/>
        <v>0</v>
      </c>
      <c r="W265" s="1"/>
      <c r="X265" s="1"/>
      <c r="Y265" s="1"/>
      <c r="Z265" s="1"/>
      <c r="AA265" s="1"/>
    </row>
    <row r="266">
      <c r="A266" s="2"/>
      <c r="B266" s="2"/>
      <c r="C266" s="2"/>
      <c r="D266" s="2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9">
        <f t="shared" si="4"/>
        <v>0</v>
      </c>
      <c r="W266" s="1"/>
      <c r="X266" s="1"/>
      <c r="Y266" s="1"/>
      <c r="Z266" s="1"/>
      <c r="AA266" s="1"/>
    </row>
    <row r="267">
      <c r="A267" s="2"/>
      <c r="B267" s="2"/>
      <c r="C267" s="2"/>
      <c r="D267" s="2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9">
        <f t="shared" si="4"/>
        <v>0</v>
      </c>
      <c r="W267" s="1"/>
      <c r="X267" s="1"/>
      <c r="Y267" s="1"/>
      <c r="Z267" s="1"/>
      <c r="AA267" s="1"/>
    </row>
    <row r="268">
      <c r="A268" s="2"/>
      <c r="B268" s="2"/>
      <c r="C268" s="2"/>
      <c r="D268" s="2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9">
        <f t="shared" si="4"/>
        <v>0</v>
      </c>
      <c r="W268" s="1"/>
      <c r="X268" s="1"/>
      <c r="Y268" s="1"/>
      <c r="Z268" s="1"/>
      <c r="AA268" s="1"/>
    </row>
    <row r="269">
      <c r="A269" s="2"/>
      <c r="B269" s="2"/>
      <c r="C269" s="2"/>
      <c r="D269" s="2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9">
        <f t="shared" si="4"/>
        <v>0</v>
      </c>
      <c r="W269" s="1"/>
      <c r="X269" s="1"/>
      <c r="Y269" s="1"/>
      <c r="Z269" s="1"/>
      <c r="AA269" s="1"/>
    </row>
    <row r="270">
      <c r="A270" s="2"/>
      <c r="B270" s="2"/>
      <c r="C270" s="2"/>
      <c r="D270" s="2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9">
        <f t="shared" si="4"/>
        <v>0</v>
      </c>
      <c r="W270" s="1"/>
      <c r="X270" s="1"/>
      <c r="Y270" s="1"/>
      <c r="Z270" s="1"/>
      <c r="AA270" s="1"/>
    </row>
    <row r="271">
      <c r="A271" s="2"/>
      <c r="B271" s="2"/>
      <c r="C271" s="2"/>
      <c r="D271" s="2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9">
        <f t="shared" si="4"/>
        <v>0</v>
      </c>
      <c r="W271" s="1"/>
      <c r="X271" s="1"/>
      <c r="Y271" s="1"/>
      <c r="Z271" s="1"/>
      <c r="AA271" s="1"/>
    </row>
    <row r="272">
      <c r="A272" s="2"/>
      <c r="B272" s="2"/>
      <c r="C272" s="2"/>
      <c r="D272" s="2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9">
        <f t="shared" si="4"/>
        <v>0</v>
      </c>
      <c r="W272" s="1"/>
      <c r="X272" s="1"/>
      <c r="Y272" s="1"/>
      <c r="Z272" s="1"/>
      <c r="AA272" s="1"/>
    </row>
    <row r="273">
      <c r="A273" s="2"/>
      <c r="B273" s="2"/>
      <c r="C273" s="2"/>
      <c r="D273" s="2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9">
        <f t="shared" si="4"/>
        <v>0</v>
      </c>
      <c r="W273" s="1"/>
      <c r="X273" s="1"/>
      <c r="Y273" s="1"/>
      <c r="Z273" s="1"/>
      <c r="AA273" s="1"/>
    </row>
    <row r="274">
      <c r="A274" s="2"/>
      <c r="B274" s="2"/>
      <c r="C274" s="2"/>
      <c r="D274" s="2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9">
        <f t="shared" si="4"/>
        <v>0</v>
      </c>
      <c r="W274" s="1"/>
      <c r="X274" s="1"/>
      <c r="Y274" s="1"/>
      <c r="Z274" s="1"/>
      <c r="AA274" s="1"/>
    </row>
    <row r="275">
      <c r="A275" s="2"/>
      <c r="B275" s="2"/>
      <c r="C275" s="2"/>
      <c r="D275" s="2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9">
        <f t="shared" si="4"/>
        <v>0</v>
      </c>
      <c r="W275" s="1"/>
      <c r="X275" s="1"/>
      <c r="Y275" s="1"/>
      <c r="Z275" s="1"/>
      <c r="AA275" s="1"/>
    </row>
    <row r="276">
      <c r="A276" s="2"/>
      <c r="B276" s="2"/>
      <c r="C276" s="2"/>
      <c r="D276" s="2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9">
        <f t="shared" si="4"/>
        <v>0</v>
      </c>
      <c r="W276" s="1"/>
      <c r="X276" s="1"/>
      <c r="Y276" s="1"/>
      <c r="Z276" s="1"/>
      <c r="AA276" s="1"/>
    </row>
    <row r="277">
      <c r="A277" s="2"/>
      <c r="B277" s="2"/>
      <c r="C277" s="2"/>
      <c r="D277" s="2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9">
        <f t="shared" si="4"/>
        <v>0</v>
      </c>
      <c r="W277" s="1"/>
      <c r="X277" s="1"/>
      <c r="Y277" s="1"/>
      <c r="Z277" s="1"/>
      <c r="AA277" s="1"/>
    </row>
    <row r="278">
      <c r="A278" s="2"/>
      <c r="B278" s="2"/>
      <c r="C278" s="2"/>
      <c r="D278" s="2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9">
        <f t="shared" si="4"/>
        <v>0</v>
      </c>
      <c r="W278" s="1"/>
      <c r="X278" s="1"/>
      <c r="Y278" s="1"/>
      <c r="Z278" s="1"/>
      <c r="AA278" s="1"/>
    </row>
    <row r="279">
      <c r="A279" s="2"/>
      <c r="B279" s="2"/>
      <c r="C279" s="2"/>
      <c r="D279" s="2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9">
        <f t="shared" si="4"/>
        <v>0</v>
      </c>
      <c r="W279" s="1"/>
      <c r="X279" s="1"/>
      <c r="Y279" s="1"/>
      <c r="Z279" s="1"/>
      <c r="AA279" s="1"/>
    </row>
    <row r="280">
      <c r="A280" s="2"/>
      <c r="B280" s="2"/>
      <c r="C280" s="2"/>
      <c r="D280" s="2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9">
        <f t="shared" si="4"/>
        <v>0</v>
      </c>
      <c r="W280" s="1"/>
      <c r="X280" s="1"/>
      <c r="Y280" s="1"/>
      <c r="Z280" s="1"/>
      <c r="AA280" s="1"/>
    </row>
    <row r="281">
      <c r="A281" s="2"/>
      <c r="B281" s="2"/>
      <c r="C281" s="2"/>
      <c r="D281" s="2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9">
        <f t="shared" si="4"/>
        <v>0</v>
      </c>
      <c r="W281" s="1"/>
      <c r="X281" s="1"/>
      <c r="Y281" s="1"/>
      <c r="Z281" s="1"/>
      <c r="AA281" s="1"/>
    </row>
    <row r="282">
      <c r="A282" s="2"/>
      <c r="B282" s="2"/>
      <c r="C282" s="2"/>
      <c r="D282" s="2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9">
        <f t="shared" si="4"/>
        <v>0</v>
      </c>
      <c r="W282" s="1"/>
      <c r="X282" s="1"/>
      <c r="Y282" s="1"/>
      <c r="Z282" s="1"/>
      <c r="AA282" s="1"/>
    </row>
    <row r="283">
      <c r="A283" s="2"/>
      <c r="B283" s="2"/>
      <c r="C283" s="2"/>
      <c r="D283" s="2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9">
        <f t="shared" si="4"/>
        <v>0</v>
      </c>
      <c r="W283" s="1"/>
      <c r="X283" s="1"/>
      <c r="Y283" s="1"/>
      <c r="Z283" s="1"/>
      <c r="AA283" s="1"/>
    </row>
    <row r="284">
      <c r="A284" s="2"/>
      <c r="B284" s="2"/>
      <c r="C284" s="2"/>
      <c r="D284" s="2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9">
        <f t="shared" si="4"/>
        <v>0</v>
      </c>
      <c r="W284" s="1"/>
      <c r="X284" s="1"/>
      <c r="Y284" s="1"/>
      <c r="Z284" s="1"/>
      <c r="AA284" s="1"/>
    </row>
    <row r="285">
      <c r="A285" s="2"/>
      <c r="B285" s="2"/>
      <c r="C285" s="2"/>
      <c r="D285" s="2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9">
        <f t="shared" si="4"/>
        <v>0</v>
      </c>
      <c r="W285" s="1"/>
      <c r="X285" s="1"/>
      <c r="Y285" s="1"/>
      <c r="Z285" s="1"/>
      <c r="AA285" s="1"/>
    </row>
    <row r="286">
      <c r="A286" s="2"/>
      <c r="B286" s="2"/>
      <c r="C286" s="2"/>
      <c r="D286" s="2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9">
        <f t="shared" si="4"/>
        <v>0</v>
      </c>
      <c r="W286" s="1"/>
      <c r="X286" s="1"/>
      <c r="Y286" s="1"/>
      <c r="Z286" s="1"/>
      <c r="AA286" s="1"/>
    </row>
    <row r="287">
      <c r="A287" s="2"/>
      <c r="B287" s="2"/>
      <c r="C287" s="2"/>
      <c r="D287" s="2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9">
        <f t="shared" si="4"/>
        <v>0</v>
      </c>
      <c r="W287" s="1"/>
      <c r="X287" s="1"/>
      <c r="Y287" s="1"/>
      <c r="Z287" s="1"/>
      <c r="AA287" s="1"/>
    </row>
    <row r="288">
      <c r="A288" s="2"/>
      <c r="B288" s="2"/>
      <c r="C288" s="2"/>
      <c r="D288" s="2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9">
        <f t="shared" si="4"/>
        <v>0</v>
      </c>
      <c r="W288" s="1"/>
      <c r="X288" s="1"/>
      <c r="Y288" s="1"/>
      <c r="Z288" s="1"/>
      <c r="AA288" s="1"/>
    </row>
    <row r="289">
      <c r="A289" s="2"/>
      <c r="B289" s="2"/>
      <c r="C289" s="2"/>
      <c r="D289" s="2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9">
        <f t="shared" si="4"/>
        <v>0</v>
      </c>
      <c r="W289" s="1"/>
      <c r="X289" s="1"/>
      <c r="Y289" s="1"/>
      <c r="Z289" s="1"/>
      <c r="AA289" s="1"/>
    </row>
    <row r="290">
      <c r="A290" s="2"/>
      <c r="B290" s="2"/>
      <c r="C290" s="2"/>
      <c r="D290" s="2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9">
        <f t="shared" si="4"/>
        <v>0</v>
      </c>
      <c r="W290" s="1"/>
      <c r="X290" s="1"/>
      <c r="Y290" s="1"/>
      <c r="Z290" s="1"/>
      <c r="AA290" s="1"/>
    </row>
    <row r="291">
      <c r="A291" s="2"/>
      <c r="B291" s="2"/>
      <c r="C291" s="2"/>
      <c r="D291" s="2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9">
        <f t="shared" si="4"/>
        <v>0</v>
      </c>
      <c r="W291" s="1"/>
      <c r="X291" s="1"/>
      <c r="Y291" s="1"/>
      <c r="Z291" s="1"/>
      <c r="AA291" s="1"/>
    </row>
    <row r="292">
      <c r="A292" s="2"/>
      <c r="B292" s="2"/>
      <c r="C292" s="2"/>
      <c r="D292" s="2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9">
        <f t="shared" si="4"/>
        <v>0</v>
      </c>
      <c r="W292" s="1"/>
      <c r="X292" s="1"/>
      <c r="Y292" s="1"/>
      <c r="Z292" s="1"/>
      <c r="AA292" s="1"/>
    </row>
    <row r="293">
      <c r="A293" s="2"/>
      <c r="B293" s="2"/>
      <c r="C293" s="2"/>
      <c r="D293" s="2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9">
        <f t="shared" si="4"/>
        <v>0</v>
      </c>
      <c r="W293" s="1"/>
      <c r="X293" s="1"/>
      <c r="Y293" s="1"/>
      <c r="Z293" s="1"/>
      <c r="AA293" s="1"/>
    </row>
    <row r="294">
      <c r="A294" s="2"/>
      <c r="B294" s="2"/>
      <c r="C294" s="2"/>
      <c r="D294" s="2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9">
        <f t="shared" si="4"/>
        <v>0</v>
      </c>
      <c r="W294" s="1"/>
      <c r="X294" s="1"/>
      <c r="Y294" s="1"/>
      <c r="Z294" s="1"/>
      <c r="AA294" s="1"/>
    </row>
    <row r="295">
      <c r="A295" s="2"/>
      <c r="B295" s="2"/>
      <c r="C295" s="2"/>
      <c r="D295" s="2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9">
        <f t="shared" si="4"/>
        <v>0</v>
      </c>
      <c r="W295" s="1"/>
      <c r="X295" s="1"/>
      <c r="Y295" s="1"/>
      <c r="Z295" s="1"/>
      <c r="AA295" s="1"/>
    </row>
    <row r="296">
      <c r="A296" s="2"/>
      <c r="B296" s="2"/>
      <c r="C296" s="2"/>
      <c r="D296" s="2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9">
        <f t="shared" si="4"/>
        <v>0</v>
      </c>
      <c r="W296" s="1"/>
      <c r="X296" s="1"/>
      <c r="Y296" s="1"/>
      <c r="Z296" s="1"/>
      <c r="AA296" s="1"/>
    </row>
    <row r="297">
      <c r="A297" s="2"/>
      <c r="B297" s="2"/>
      <c r="C297" s="2"/>
      <c r="D297" s="2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9">
        <f t="shared" si="4"/>
        <v>0</v>
      </c>
      <c r="W297" s="1"/>
      <c r="X297" s="1"/>
      <c r="Y297" s="1"/>
      <c r="Z297" s="1"/>
      <c r="AA297" s="1"/>
    </row>
    <row r="298">
      <c r="A298" s="2"/>
      <c r="B298" s="2"/>
      <c r="C298" s="2"/>
      <c r="D298" s="2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9">
        <f t="shared" si="4"/>
        <v>0</v>
      </c>
      <c r="W298" s="1"/>
      <c r="X298" s="1"/>
      <c r="Y298" s="1"/>
      <c r="Z298" s="1"/>
      <c r="AA298" s="1"/>
    </row>
    <row r="299">
      <c r="A299" s="2"/>
      <c r="B299" s="2"/>
      <c r="C299" s="2"/>
      <c r="D299" s="2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9">
        <f t="shared" si="4"/>
        <v>0</v>
      </c>
      <c r="W299" s="1"/>
      <c r="X299" s="1"/>
      <c r="Y299" s="1"/>
      <c r="Z299" s="1"/>
      <c r="AA299" s="1"/>
    </row>
    <row r="300">
      <c r="A300" s="2"/>
      <c r="B300" s="2"/>
      <c r="C300" s="2"/>
      <c r="D300" s="2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9">
        <f t="shared" si="4"/>
        <v>0</v>
      </c>
      <c r="W300" s="1"/>
      <c r="X300" s="1"/>
      <c r="Y300" s="1"/>
      <c r="Z300" s="1"/>
      <c r="AA300" s="1"/>
    </row>
    <row r="301">
      <c r="A301" s="2"/>
      <c r="B301" s="2"/>
      <c r="C301" s="2"/>
      <c r="D301" s="2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9">
        <f t="shared" si="4"/>
        <v>0</v>
      </c>
      <c r="W301" s="1"/>
      <c r="X301" s="1"/>
      <c r="Y301" s="1"/>
      <c r="Z301" s="1"/>
      <c r="AA301" s="1"/>
    </row>
    <row r="302">
      <c r="A302" s="2"/>
      <c r="B302" s="2"/>
      <c r="C302" s="2"/>
      <c r="D302" s="2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9">
        <f t="shared" si="4"/>
        <v>0</v>
      </c>
      <c r="W302" s="1"/>
      <c r="X302" s="1"/>
      <c r="Y302" s="1"/>
      <c r="Z302" s="1"/>
      <c r="AA302" s="1"/>
    </row>
    <row r="303">
      <c r="A303" s="2"/>
      <c r="B303" s="2"/>
      <c r="C303" s="2"/>
      <c r="D303" s="2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9">
        <f t="shared" si="4"/>
        <v>0</v>
      </c>
      <c r="W303" s="1"/>
      <c r="X303" s="1"/>
      <c r="Y303" s="1"/>
      <c r="Z303" s="1"/>
      <c r="AA303" s="1"/>
    </row>
    <row r="304">
      <c r="A304" s="2"/>
      <c r="B304" s="2"/>
      <c r="C304" s="2"/>
      <c r="D304" s="2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9">
        <f t="shared" si="4"/>
        <v>0</v>
      </c>
      <c r="W304" s="1"/>
      <c r="X304" s="1"/>
      <c r="Y304" s="1"/>
      <c r="Z304" s="1"/>
      <c r="AA304" s="1"/>
    </row>
    <row r="305">
      <c r="A305" s="2"/>
      <c r="B305" s="2"/>
      <c r="C305" s="2"/>
      <c r="D305" s="2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9">
        <f t="shared" si="4"/>
        <v>0</v>
      </c>
      <c r="W305" s="1"/>
      <c r="X305" s="1"/>
      <c r="Y305" s="1"/>
      <c r="Z305" s="1"/>
      <c r="AA305" s="1"/>
    </row>
    <row r="306">
      <c r="A306" s="2"/>
      <c r="B306" s="2"/>
      <c r="C306" s="2"/>
      <c r="D306" s="2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9">
        <f t="shared" si="4"/>
        <v>0</v>
      </c>
      <c r="W306" s="1"/>
      <c r="X306" s="1"/>
      <c r="Y306" s="1"/>
      <c r="Z306" s="1"/>
      <c r="AA306" s="1"/>
    </row>
    <row r="307">
      <c r="A307" s="2"/>
      <c r="B307" s="2"/>
      <c r="C307" s="2"/>
      <c r="D307" s="2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9">
        <f t="shared" si="4"/>
        <v>0</v>
      </c>
      <c r="W307" s="1"/>
      <c r="X307" s="1"/>
      <c r="Y307" s="1"/>
      <c r="Z307" s="1"/>
      <c r="AA307" s="1"/>
    </row>
    <row r="308">
      <c r="A308" s="2"/>
      <c r="B308" s="2"/>
      <c r="C308" s="2"/>
      <c r="D308" s="2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9">
        <f t="shared" si="4"/>
        <v>0</v>
      </c>
      <c r="W308" s="1"/>
      <c r="X308" s="1"/>
      <c r="Y308" s="1"/>
      <c r="Z308" s="1"/>
      <c r="AA308" s="1"/>
    </row>
    <row r="309">
      <c r="A309" s="2"/>
      <c r="B309" s="2"/>
      <c r="C309" s="2"/>
      <c r="D309" s="2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9">
        <f t="shared" si="4"/>
        <v>0</v>
      </c>
      <c r="W309" s="1"/>
      <c r="X309" s="1"/>
      <c r="Y309" s="1"/>
      <c r="Z309" s="1"/>
      <c r="AA309" s="1"/>
    </row>
    <row r="310">
      <c r="A310" s="2"/>
      <c r="B310" s="2"/>
      <c r="C310" s="2"/>
      <c r="D310" s="2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9">
        <f t="shared" si="4"/>
        <v>0</v>
      </c>
      <c r="W310" s="1"/>
      <c r="X310" s="1"/>
      <c r="Y310" s="1"/>
      <c r="Z310" s="1"/>
      <c r="AA310" s="1"/>
    </row>
    <row r="311">
      <c r="A311" s="2"/>
      <c r="B311" s="2"/>
      <c r="C311" s="2"/>
      <c r="D311" s="2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9">
        <f t="shared" si="4"/>
        <v>0</v>
      </c>
      <c r="W311" s="1"/>
      <c r="X311" s="1"/>
      <c r="Y311" s="1"/>
      <c r="Z311" s="1"/>
      <c r="AA311" s="1"/>
    </row>
    <row r="312">
      <c r="A312" s="2"/>
      <c r="B312" s="2"/>
      <c r="C312" s="2"/>
      <c r="D312" s="2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9">
        <f t="shared" si="4"/>
        <v>0</v>
      </c>
      <c r="W312" s="1"/>
      <c r="X312" s="1"/>
      <c r="Y312" s="1"/>
      <c r="Z312" s="1"/>
      <c r="AA312" s="1"/>
    </row>
    <row r="313">
      <c r="A313" s="2"/>
      <c r="B313" s="2"/>
      <c r="C313" s="2"/>
      <c r="D313" s="2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9">
        <f t="shared" si="4"/>
        <v>0</v>
      </c>
      <c r="W313" s="1"/>
      <c r="X313" s="1"/>
      <c r="Y313" s="1"/>
      <c r="Z313" s="1"/>
      <c r="AA313" s="1"/>
    </row>
    <row r="314">
      <c r="A314" s="2"/>
      <c r="B314" s="2"/>
      <c r="C314" s="2"/>
      <c r="D314" s="2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9">
        <f t="shared" si="4"/>
        <v>0</v>
      </c>
      <c r="W314" s="1"/>
      <c r="X314" s="1"/>
      <c r="Y314" s="1"/>
      <c r="Z314" s="1"/>
      <c r="AA314" s="1"/>
    </row>
    <row r="315">
      <c r="A315" s="2"/>
      <c r="B315" s="2"/>
      <c r="C315" s="2"/>
      <c r="D315" s="2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9">
        <f t="shared" si="4"/>
        <v>0</v>
      </c>
      <c r="W315" s="1"/>
      <c r="X315" s="1"/>
      <c r="Y315" s="1"/>
      <c r="Z315" s="1"/>
      <c r="AA315" s="1"/>
    </row>
    <row r="316">
      <c r="A316" s="2"/>
      <c r="B316" s="2"/>
      <c r="C316" s="2"/>
      <c r="D316" s="2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9">
        <f t="shared" si="4"/>
        <v>0</v>
      </c>
      <c r="W316" s="1"/>
      <c r="X316" s="1"/>
      <c r="Y316" s="1"/>
      <c r="Z316" s="1"/>
      <c r="AA316" s="1"/>
    </row>
    <row r="317">
      <c r="A317" s="2"/>
      <c r="B317" s="2"/>
      <c r="C317" s="2"/>
      <c r="D317" s="2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9">
        <f t="shared" si="4"/>
        <v>0</v>
      </c>
      <c r="W317" s="1"/>
      <c r="X317" s="1"/>
      <c r="Y317" s="1"/>
      <c r="Z317" s="1"/>
      <c r="AA317" s="1"/>
    </row>
    <row r="318">
      <c r="A318" s="2"/>
      <c r="B318" s="2"/>
      <c r="C318" s="2"/>
      <c r="D318" s="2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9">
        <f t="shared" si="4"/>
        <v>0</v>
      </c>
      <c r="W318" s="1"/>
      <c r="X318" s="1"/>
      <c r="Y318" s="1"/>
      <c r="Z318" s="1"/>
      <c r="AA318" s="1"/>
    </row>
    <row r="319">
      <c r="A319" s="2"/>
      <c r="B319" s="2"/>
      <c r="C319" s="2"/>
      <c r="D319" s="2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9">
        <f t="shared" si="4"/>
        <v>0</v>
      </c>
      <c r="W319" s="1"/>
      <c r="X319" s="1"/>
      <c r="Y319" s="1"/>
      <c r="Z319" s="1"/>
      <c r="AA319" s="1"/>
    </row>
    <row r="320">
      <c r="A320" s="2"/>
      <c r="B320" s="2"/>
      <c r="C320" s="2"/>
      <c r="D320" s="2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9">
        <f t="shared" si="4"/>
        <v>0</v>
      </c>
      <c r="W320" s="1"/>
      <c r="X320" s="1"/>
      <c r="Y320" s="1"/>
      <c r="Z320" s="1"/>
      <c r="AA320" s="1"/>
    </row>
    <row r="321">
      <c r="A321" s="2"/>
      <c r="B321" s="2"/>
      <c r="C321" s="2"/>
      <c r="D321" s="2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9">
        <f t="shared" si="4"/>
        <v>0</v>
      </c>
      <c r="W321" s="1"/>
      <c r="X321" s="1"/>
      <c r="Y321" s="1"/>
      <c r="Z321" s="1"/>
      <c r="AA321" s="1"/>
    </row>
    <row r="322">
      <c r="A322" s="2"/>
      <c r="B322" s="2"/>
      <c r="C322" s="2"/>
      <c r="D322" s="2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9">
        <f t="shared" si="4"/>
        <v>0</v>
      </c>
      <c r="W322" s="1"/>
      <c r="X322" s="1"/>
      <c r="Y322" s="1"/>
      <c r="Z322" s="1"/>
      <c r="AA322" s="1"/>
    </row>
    <row r="323">
      <c r="A323" s="2"/>
      <c r="B323" s="2"/>
      <c r="C323" s="2"/>
      <c r="D323" s="2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9">
        <f t="shared" si="4"/>
        <v>0</v>
      </c>
      <c r="W323" s="1"/>
      <c r="X323" s="1"/>
      <c r="Y323" s="1"/>
      <c r="Z323" s="1"/>
      <c r="AA323" s="1"/>
    </row>
    <row r="324">
      <c r="A324" s="2"/>
      <c r="B324" s="2"/>
      <c r="C324" s="2"/>
      <c r="D324" s="2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9">
        <f t="shared" si="4"/>
        <v>0</v>
      </c>
      <c r="W324" s="1"/>
      <c r="X324" s="1"/>
      <c r="Y324" s="1"/>
      <c r="Z324" s="1"/>
      <c r="AA324" s="1"/>
    </row>
    <row r="325">
      <c r="A325" s="2"/>
      <c r="B325" s="2"/>
      <c r="C325" s="2"/>
      <c r="D325" s="2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9">
        <f t="shared" si="4"/>
        <v>0</v>
      </c>
      <c r="W325" s="1"/>
      <c r="X325" s="1"/>
      <c r="Y325" s="1"/>
      <c r="Z325" s="1"/>
      <c r="AA325" s="1"/>
    </row>
    <row r="326">
      <c r="A326" s="2"/>
      <c r="B326" s="2"/>
      <c r="C326" s="2"/>
      <c r="D326" s="2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9">
        <f t="shared" si="4"/>
        <v>0</v>
      </c>
      <c r="W326" s="1"/>
      <c r="X326" s="1"/>
      <c r="Y326" s="1"/>
      <c r="Z326" s="1"/>
      <c r="AA326" s="1"/>
    </row>
    <row r="327">
      <c r="A327" s="2"/>
      <c r="B327" s="2"/>
      <c r="C327" s="2"/>
      <c r="D327" s="2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9">
        <f t="shared" si="4"/>
        <v>0</v>
      </c>
      <c r="W327" s="1"/>
      <c r="X327" s="1"/>
      <c r="Y327" s="1"/>
      <c r="Z327" s="1"/>
      <c r="AA327" s="1"/>
    </row>
    <row r="328">
      <c r="A328" s="2"/>
      <c r="B328" s="2"/>
      <c r="C328" s="2"/>
      <c r="D328" s="2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9">
        <f t="shared" si="4"/>
        <v>0</v>
      </c>
      <c r="W328" s="1"/>
      <c r="X328" s="1"/>
      <c r="Y328" s="1"/>
      <c r="Z328" s="1"/>
      <c r="AA328" s="1"/>
    </row>
    <row r="329">
      <c r="A329" s="2"/>
      <c r="B329" s="2"/>
      <c r="C329" s="2"/>
      <c r="D329" s="2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9">
        <f t="shared" si="4"/>
        <v>0</v>
      </c>
      <c r="W329" s="1"/>
      <c r="X329" s="1"/>
      <c r="Y329" s="1"/>
      <c r="Z329" s="1"/>
      <c r="AA329" s="1"/>
    </row>
    <row r="330">
      <c r="A330" s="2"/>
      <c r="B330" s="2"/>
      <c r="C330" s="2"/>
      <c r="D330" s="2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9">
        <f t="shared" si="4"/>
        <v>0</v>
      </c>
      <c r="W330" s="1"/>
      <c r="X330" s="1"/>
      <c r="Y330" s="1"/>
      <c r="Z330" s="1"/>
      <c r="AA330" s="1"/>
    </row>
    <row r="331">
      <c r="A331" s="2"/>
      <c r="B331" s="2"/>
      <c r="C331" s="2"/>
      <c r="D331" s="2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9">
        <f t="shared" si="4"/>
        <v>0</v>
      </c>
      <c r="W331" s="1"/>
      <c r="X331" s="1"/>
      <c r="Y331" s="1"/>
      <c r="Z331" s="1"/>
      <c r="AA331" s="1"/>
    </row>
    <row r="332">
      <c r="A332" s="2"/>
      <c r="B332" s="2"/>
      <c r="C332" s="2"/>
      <c r="D332" s="2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9">
        <f t="shared" si="4"/>
        <v>0</v>
      </c>
      <c r="W332" s="1"/>
      <c r="X332" s="1"/>
      <c r="Y332" s="1"/>
      <c r="Z332" s="1"/>
      <c r="AA332" s="1"/>
    </row>
    <row r="333">
      <c r="A333" s="2"/>
      <c r="B333" s="2"/>
      <c r="C333" s="2"/>
      <c r="D333" s="2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9">
        <f t="shared" si="4"/>
        <v>0</v>
      </c>
      <c r="W333" s="1"/>
      <c r="X333" s="1"/>
      <c r="Y333" s="1"/>
      <c r="Z333" s="1"/>
      <c r="AA333" s="1"/>
    </row>
    <row r="334">
      <c r="A334" s="2"/>
      <c r="B334" s="2"/>
      <c r="C334" s="2"/>
      <c r="D334" s="2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9">
        <f t="shared" si="4"/>
        <v>0</v>
      </c>
      <c r="W334" s="1"/>
      <c r="X334" s="1"/>
      <c r="Y334" s="1"/>
      <c r="Z334" s="1"/>
      <c r="AA334" s="1"/>
    </row>
    <row r="335">
      <c r="A335" s="2"/>
      <c r="B335" s="2"/>
      <c r="C335" s="2"/>
      <c r="D335" s="2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9">
        <f t="shared" si="4"/>
        <v>0</v>
      </c>
      <c r="W335" s="1"/>
      <c r="X335" s="1"/>
      <c r="Y335" s="1"/>
      <c r="Z335" s="1"/>
      <c r="AA335" s="1"/>
    </row>
    <row r="336">
      <c r="A336" s="2"/>
      <c r="B336" s="2"/>
      <c r="C336" s="2"/>
      <c r="D336" s="2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9">
        <f t="shared" si="4"/>
        <v>0</v>
      </c>
      <c r="W336" s="1"/>
      <c r="X336" s="1"/>
      <c r="Y336" s="1"/>
      <c r="Z336" s="1"/>
      <c r="AA336" s="1"/>
    </row>
    <row r="337">
      <c r="A337" s="2"/>
      <c r="B337" s="2"/>
      <c r="C337" s="2"/>
      <c r="D337" s="2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9">
        <f t="shared" si="4"/>
        <v>0</v>
      </c>
      <c r="W337" s="1"/>
      <c r="X337" s="1"/>
      <c r="Y337" s="1"/>
      <c r="Z337" s="1"/>
      <c r="AA337" s="1"/>
    </row>
    <row r="338">
      <c r="A338" s="2"/>
      <c r="B338" s="2"/>
      <c r="C338" s="2"/>
      <c r="D338" s="2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9">
        <f t="shared" si="4"/>
        <v>0</v>
      </c>
      <c r="W338" s="1"/>
      <c r="X338" s="1"/>
      <c r="Y338" s="1"/>
      <c r="Z338" s="1"/>
      <c r="AA338" s="1"/>
    </row>
    <row r="339">
      <c r="A339" s="2"/>
      <c r="B339" s="2"/>
      <c r="C339" s="2"/>
      <c r="D339" s="2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9">
        <f t="shared" si="4"/>
        <v>0</v>
      </c>
      <c r="W339" s="1"/>
      <c r="X339" s="1"/>
      <c r="Y339" s="1"/>
      <c r="Z339" s="1"/>
      <c r="AA339" s="1"/>
    </row>
    <row r="340">
      <c r="A340" s="2"/>
      <c r="B340" s="2"/>
      <c r="C340" s="2"/>
      <c r="D340" s="2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9">
        <f t="shared" si="4"/>
        <v>0</v>
      </c>
      <c r="W340" s="1"/>
      <c r="X340" s="1"/>
      <c r="Y340" s="1"/>
      <c r="Z340" s="1"/>
      <c r="AA340" s="1"/>
    </row>
    <row r="341">
      <c r="A341" s="2"/>
      <c r="B341" s="2"/>
      <c r="C341" s="2"/>
      <c r="D341" s="2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9">
        <f t="shared" si="4"/>
        <v>0</v>
      </c>
      <c r="W341" s="1"/>
      <c r="X341" s="1"/>
      <c r="Y341" s="1"/>
      <c r="Z341" s="1"/>
      <c r="AA341" s="1"/>
    </row>
    <row r="342">
      <c r="A342" s="2"/>
      <c r="B342" s="2"/>
      <c r="C342" s="2"/>
      <c r="D342" s="2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9">
        <f t="shared" si="4"/>
        <v>0</v>
      </c>
      <c r="W342" s="1"/>
      <c r="X342" s="1"/>
      <c r="Y342" s="1"/>
      <c r="Z342" s="1"/>
      <c r="AA342" s="1"/>
    </row>
    <row r="343">
      <c r="A343" s="2"/>
      <c r="B343" s="2"/>
      <c r="C343" s="2"/>
      <c r="D343" s="2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9">
        <f t="shared" si="4"/>
        <v>0</v>
      </c>
      <c r="W343" s="1"/>
      <c r="X343" s="1"/>
      <c r="Y343" s="1"/>
      <c r="Z343" s="1"/>
      <c r="AA343" s="1"/>
    </row>
    <row r="344">
      <c r="A344" s="2"/>
      <c r="B344" s="2"/>
      <c r="C344" s="2"/>
      <c r="D344" s="2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9">
        <f t="shared" si="4"/>
        <v>0</v>
      </c>
      <c r="W344" s="1"/>
      <c r="X344" s="1"/>
      <c r="Y344" s="1"/>
      <c r="Z344" s="1"/>
      <c r="AA344" s="1"/>
    </row>
    <row r="345">
      <c r="A345" s="2"/>
      <c r="B345" s="2"/>
      <c r="C345" s="2"/>
      <c r="D345" s="2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9">
        <f t="shared" si="4"/>
        <v>0</v>
      </c>
      <c r="W345" s="1"/>
      <c r="X345" s="1"/>
      <c r="Y345" s="1"/>
      <c r="Z345" s="1"/>
      <c r="AA345" s="1"/>
    </row>
    <row r="346">
      <c r="A346" s="2"/>
      <c r="B346" s="2"/>
      <c r="C346" s="2"/>
      <c r="D346" s="2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9">
        <f t="shared" si="4"/>
        <v>0</v>
      </c>
      <c r="W346" s="1"/>
      <c r="X346" s="1"/>
      <c r="Y346" s="1"/>
      <c r="Z346" s="1"/>
      <c r="AA346" s="1"/>
    </row>
    <row r="347">
      <c r="A347" s="2"/>
      <c r="B347" s="2"/>
      <c r="C347" s="2"/>
      <c r="D347" s="2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9">
        <f t="shared" si="4"/>
        <v>0</v>
      </c>
      <c r="W347" s="1"/>
      <c r="X347" s="1"/>
      <c r="Y347" s="1"/>
      <c r="Z347" s="1"/>
      <c r="AA347" s="1"/>
    </row>
    <row r="348">
      <c r="A348" s="2"/>
      <c r="B348" s="2"/>
      <c r="C348" s="2"/>
      <c r="D348" s="2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9">
        <f t="shared" si="4"/>
        <v>0</v>
      </c>
      <c r="W348" s="1"/>
      <c r="X348" s="1"/>
      <c r="Y348" s="1"/>
      <c r="Z348" s="1"/>
      <c r="AA348" s="1"/>
    </row>
    <row r="349">
      <c r="A349" s="2"/>
      <c r="B349" s="2"/>
      <c r="C349" s="2"/>
      <c r="D349" s="2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9">
        <f t="shared" si="4"/>
        <v>0</v>
      </c>
      <c r="W349" s="1"/>
      <c r="X349" s="1"/>
      <c r="Y349" s="1"/>
      <c r="Z349" s="1"/>
      <c r="AA349" s="1"/>
    </row>
    <row r="350">
      <c r="A350" s="2"/>
      <c r="B350" s="2"/>
      <c r="C350" s="2"/>
      <c r="D350" s="2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9">
        <f t="shared" si="4"/>
        <v>0</v>
      </c>
      <c r="W350" s="1"/>
      <c r="X350" s="1"/>
      <c r="Y350" s="1"/>
      <c r="Z350" s="1"/>
      <c r="AA350" s="1"/>
    </row>
    <row r="351">
      <c r="A351" s="2"/>
      <c r="B351" s="2"/>
      <c r="C351" s="2"/>
      <c r="D351" s="2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9">
        <f t="shared" si="4"/>
        <v>0</v>
      </c>
      <c r="W351" s="1"/>
      <c r="X351" s="1"/>
      <c r="Y351" s="1"/>
      <c r="Z351" s="1"/>
      <c r="AA351" s="1"/>
    </row>
    <row r="352">
      <c r="A352" s="2"/>
      <c r="B352" s="2"/>
      <c r="C352" s="2"/>
      <c r="D352" s="2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9">
        <f t="shared" si="4"/>
        <v>0</v>
      </c>
      <c r="W352" s="1"/>
      <c r="X352" s="1"/>
      <c r="Y352" s="1"/>
      <c r="Z352" s="1"/>
      <c r="AA352" s="1"/>
    </row>
    <row r="353">
      <c r="A353" s="2"/>
      <c r="B353" s="2"/>
      <c r="C353" s="2"/>
      <c r="D353" s="2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9">
        <f t="shared" si="4"/>
        <v>0</v>
      </c>
      <c r="W353" s="1"/>
      <c r="X353" s="1"/>
      <c r="Y353" s="1"/>
      <c r="Z353" s="1"/>
      <c r="AA353" s="1"/>
    </row>
    <row r="354">
      <c r="A354" s="2"/>
      <c r="B354" s="2"/>
      <c r="C354" s="2"/>
      <c r="D354" s="2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9">
        <f t="shared" si="4"/>
        <v>0</v>
      </c>
      <c r="W354" s="1"/>
      <c r="X354" s="1"/>
      <c r="Y354" s="1"/>
      <c r="Z354" s="1"/>
      <c r="AA354" s="1"/>
    </row>
    <row r="355">
      <c r="A355" s="2"/>
      <c r="B355" s="2"/>
      <c r="C355" s="2"/>
      <c r="D355" s="2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9">
        <f t="shared" si="4"/>
        <v>0</v>
      </c>
      <c r="W355" s="1"/>
      <c r="X355" s="1"/>
      <c r="Y355" s="1"/>
      <c r="Z355" s="1"/>
      <c r="AA355" s="1"/>
    </row>
    <row r="356">
      <c r="A356" s="2"/>
      <c r="B356" s="2"/>
      <c r="C356" s="2"/>
      <c r="D356" s="2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9">
        <f t="shared" si="4"/>
        <v>0</v>
      </c>
      <c r="W356" s="1"/>
      <c r="X356" s="1"/>
      <c r="Y356" s="1"/>
      <c r="Z356" s="1"/>
      <c r="AA356" s="1"/>
    </row>
    <row r="357">
      <c r="A357" s="2"/>
      <c r="B357" s="2"/>
      <c r="C357" s="2"/>
      <c r="D357" s="2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9">
        <f t="shared" si="4"/>
        <v>0</v>
      </c>
      <c r="W357" s="1"/>
      <c r="X357" s="1"/>
      <c r="Y357" s="1"/>
      <c r="Z357" s="1"/>
      <c r="AA357" s="1"/>
    </row>
    <row r="358">
      <c r="A358" s="2"/>
      <c r="B358" s="2"/>
      <c r="C358" s="2"/>
      <c r="D358" s="2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9">
        <f t="shared" si="4"/>
        <v>0</v>
      </c>
      <c r="W358" s="1"/>
      <c r="X358" s="1"/>
      <c r="Y358" s="1"/>
      <c r="Z358" s="1"/>
      <c r="AA358" s="1"/>
    </row>
    <row r="359">
      <c r="A359" s="2"/>
      <c r="B359" s="2"/>
      <c r="C359" s="2"/>
      <c r="D359" s="2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9">
        <f t="shared" si="4"/>
        <v>0</v>
      </c>
      <c r="W359" s="1"/>
      <c r="X359" s="1"/>
      <c r="Y359" s="1"/>
      <c r="Z359" s="1"/>
      <c r="AA359" s="1"/>
    </row>
    <row r="360">
      <c r="A360" s="2"/>
      <c r="B360" s="2"/>
      <c r="C360" s="2"/>
      <c r="D360" s="2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9">
        <f t="shared" si="4"/>
        <v>0</v>
      </c>
      <c r="W360" s="1"/>
      <c r="X360" s="1"/>
      <c r="Y360" s="1"/>
      <c r="Z360" s="1"/>
      <c r="AA360" s="1"/>
    </row>
    <row r="361">
      <c r="A361" s="2"/>
      <c r="B361" s="2"/>
      <c r="C361" s="2"/>
      <c r="D361" s="2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9">
        <f t="shared" si="4"/>
        <v>0</v>
      </c>
      <c r="W361" s="1"/>
      <c r="X361" s="1"/>
      <c r="Y361" s="1"/>
      <c r="Z361" s="1"/>
      <c r="AA361" s="1"/>
    </row>
    <row r="362">
      <c r="A362" s="2"/>
      <c r="B362" s="2"/>
      <c r="C362" s="2"/>
      <c r="D362" s="2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9">
        <f t="shared" si="4"/>
        <v>0</v>
      </c>
      <c r="W362" s="1"/>
      <c r="X362" s="1"/>
      <c r="Y362" s="1"/>
      <c r="Z362" s="1"/>
      <c r="AA362" s="1"/>
    </row>
    <row r="363">
      <c r="A363" s="2"/>
      <c r="B363" s="2"/>
      <c r="C363" s="2"/>
      <c r="D363" s="2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9">
        <f t="shared" si="4"/>
        <v>0</v>
      </c>
      <c r="W363" s="1"/>
      <c r="X363" s="1"/>
      <c r="Y363" s="1"/>
      <c r="Z363" s="1"/>
      <c r="AA363" s="1"/>
    </row>
    <row r="364">
      <c r="A364" s="2"/>
      <c r="B364" s="2"/>
      <c r="C364" s="2"/>
      <c r="D364" s="2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9">
        <f t="shared" si="4"/>
        <v>0</v>
      </c>
      <c r="W364" s="1"/>
      <c r="X364" s="1"/>
      <c r="Y364" s="1"/>
      <c r="Z364" s="1"/>
      <c r="AA364" s="1"/>
    </row>
    <row r="365">
      <c r="A365" s="2"/>
      <c r="B365" s="2"/>
      <c r="C365" s="2"/>
      <c r="D365" s="2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9">
        <f t="shared" si="4"/>
        <v>0</v>
      </c>
      <c r="W365" s="1"/>
      <c r="X365" s="1"/>
      <c r="Y365" s="1"/>
      <c r="Z365" s="1"/>
      <c r="AA365" s="1"/>
    </row>
    <row r="366">
      <c r="A366" s="2"/>
      <c r="B366" s="2"/>
      <c r="C366" s="2"/>
      <c r="D366" s="2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9">
        <f t="shared" si="4"/>
        <v>0</v>
      </c>
      <c r="W366" s="1"/>
      <c r="X366" s="1"/>
      <c r="Y366" s="1"/>
      <c r="Z366" s="1"/>
      <c r="AA366" s="1"/>
    </row>
    <row r="367">
      <c r="A367" s="2"/>
      <c r="B367" s="2"/>
      <c r="C367" s="2"/>
      <c r="D367" s="2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9">
        <f t="shared" si="4"/>
        <v>0</v>
      </c>
      <c r="W367" s="1"/>
      <c r="X367" s="1"/>
      <c r="Y367" s="1"/>
      <c r="Z367" s="1"/>
      <c r="AA367" s="1"/>
    </row>
    <row r="368">
      <c r="A368" s="2"/>
      <c r="B368" s="2"/>
      <c r="C368" s="2"/>
      <c r="D368" s="2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9">
        <f t="shared" si="4"/>
        <v>0</v>
      </c>
      <c r="W368" s="1"/>
      <c r="X368" s="1"/>
      <c r="Y368" s="1"/>
      <c r="Z368" s="1"/>
      <c r="AA368" s="1"/>
    </row>
    <row r="369">
      <c r="A369" s="2"/>
      <c r="B369" s="2"/>
      <c r="C369" s="2"/>
      <c r="D369" s="2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9">
        <f t="shared" si="4"/>
        <v>0</v>
      </c>
      <c r="W369" s="1"/>
      <c r="X369" s="1"/>
      <c r="Y369" s="1"/>
      <c r="Z369" s="1"/>
      <c r="AA369" s="1"/>
    </row>
    <row r="370">
      <c r="A370" s="2"/>
      <c r="B370" s="2"/>
      <c r="C370" s="2"/>
      <c r="D370" s="2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9">
        <f t="shared" si="4"/>
        <v>0</v>
      </c>
      <c r="W370" s="1"/>
      <c r="X370" s="1"/>
      <c r="Y370" s="1"/>
      <c r="Z370" s="1"/>
      <c r="AA370" s="1"/>
    </row>
    <row r="371">
      <c r="A371" s="2"/>
      <c r="B371" s="2"/>
      <c r="C371" s="2"/>
      <c r="D371" s="2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9">
        <f t="shared" si="4"/>
        <v>0</v>
      </c>
      <c r="W371" s="1"/>
      <c r="X371" s="1"/>
      <c r="Y371" s="1"/>
      <c r="Z371" s="1"/>
      <c r="AA371" s="1"/>
    </row>
    <row r="372">
      <c r="A372" s="2"/>
      <c r="B372" s="2"/>
      <c r="C372" s="2"/>
      <c r="D372" s="2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9">
        <f t="shared" si="4"/>
        <v>0</v>
      </c>
      <c r="W372" s="1"/>
      <c r="X372" s="1"/>
      <c r="Y372" s="1"/>
      <c r="Z372" s="1"/>
      <c r="AA372" s="1"/>
    </row>
    <row r="373">
      <c r="A373" s="2"/>
      <c r="B373" s="2"/>
      <c r="C373" s="2"/>
      <c r="D373" s="2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9">
        <f t="shared" si="4"/>
        <v>0</v>
      </c>
      <c r="W373" s="1"/>
      <c r="X373" s="1"/>
      <c r="Y373" s="1"/>
      <c r="Z373" s="1"/>
      <c r="AA373" s="1"/>
    </row>
    <row r="374">
      <c r="A374" s="2"/>
      <c r="B374" s="2"/>
      <c r="C374" s="2"/>
      <c r="D374" s="2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9">
        <f t="shared" si="4"/>
        <v>0</v>
      </c>
      <c r="W374" s="1"/>
      <c r="X374" s="1"/>
      <c r="Y374" s="1"/>
      <c r="Z374" s="1"/>
      <c r="AA374" s="1"/>
    </row>
    <row r="375">
      <c r="A375" s="2"/>
      <c r="B375" s="2"/>
      <c r="C375" s="2"/>
      <c r="D375" s="2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9">
        <f t="shared" si="4"/>
        <v>0</v>
      </c>
      <c r="W375" s="1"/>
      <c r="X375" s="1"/>
      <c r="Y375" s="1"/>
      <c r="Z375" s="1"/>
      <c r="AA375" s="1"/>
    </row>
    <row r="376">
      <c r="A376" s="2"/>
      <c r="B376" s="2"/>
      <c r="C376" s="2"/>
      <c r="D376" s="2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9">
        <f t="shared" si="4"/>
        <v>0</v>
      </c>
      <c r="W376" s="1"/>
      <c r="X376" s="1"/>
      <c r="Y376" s="1"/>
      <c r="Z376" s="1"/>
      <c r="AA376" s="1"/>
    </row>
    <row r="377">
      <c r="A377" s="2"/>
      <c r="B377" s="2"/>
      <c r="C377" s="2"/>
      <c r="D377" s="2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9">
        <f t="shared" si="4"/>
        <v>0</v>
      </c>
      <c r="W377" s="1"/>
      <c r="X377" s="1"/>
      <c r="Y377" s="1"/>
      <c r="Z377" s="1"/>
      <c r="AA377" s="1"/>
    </row>
    <row r="378">
      <c r="A378" s="2"/>
      <c r="B378" s="2"/>
      <c r="C378" s="2"/>
      <c r="D378" s="2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9">
        <f t="shared" si="4"/>
        <v>0</v>
      </c>
      <c r="W378" s="1"/>
      <c r="X378" s="1"/>
      <c r="Y378" s="1"/>
      <c r="Z378" s="1"/>
      <c r="AA378" s="1"/>
    </row>
    <row r="379">
      <c r="A379" s="2"/>
      <c r="B379" s="2"/>
      <c r="C379" s="2"/>
      <c r="D379" s="2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9">
        <f t="shared" si="4"/>
        <v>0</v>
      </c>
      <c r="W379" s="1"/>
      <c r="X379" s="1"/>
      <c r="Y379" s="1"/>
      <c r="Z379" s="1"/>
      <c r="AA379" s="1"/>
    </row>
    <row r="380">
      <c r="A380" s="2"/>
      <c r="B380" s="2"/>
      <c r="C380" s="2"/>
      <c r="D380" s="2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9">
        <f t="shared" si="4"/>
        <v>0</v>
      </c>
      <c r="W380" s="1"/>
      <c r="X380" s="1"/>
      <c r="Y380" s="1"/>
      <c r="Z380" s="1"/>
      <c r="AA380" s="1"/>
    </row>
    <row r="381">
      <c r="A381" s="2"/>
      <c r="B381" s="2"/>
      <c r="C381" s="2"/>
      <c r="D381" s="2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9">
        <f t="shared" si="4"/>
        <v>0</v>
      </c>
      <c r="W381" s="1"/>
      <c r="X381" s="1"/>
      <c r="Y381" s="1"/>
      <c r="Z381" s="1"/>
      <c r="AA381" s="1"/>
    </row>
    <row r="382">
      <c r="A382" s="2"/>
      <c r="B382" s="2"/>
      <c r="C382" s="2"/>
      <c r="D382" s="2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9">
        <f t="shared" si="4"/>
        <v>0</v>
      </c>
      <c r="W382" s="1"/>
      <c r="X382" s="1"/>
      <c r="Y382" s="1"/>
      <c r="Z382" s="1"/>
      <c r="AA382" s="1"/>
    </row>
    <row r="383">
      <c r="A383" s="2"/>
      <c r="B383" s="2"/>
      <c r="C383" s="2"/>
      <c r="D383" s="2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9">
        <f t="shared" si="4"/>
        <v>0</v>
      </c>
      <c r="W383" s="1"/>
      <c r="X383" s="1"/>
      <c r="Y383" s="1"/>
      <c r="Z383" s="1"/>
      <c r="AA383" s="1"/>
    </row>
    <row r="384">
      <c r="A384" s="2"/>
      <c r="B384" s="2"/>
      <c r="C384" s="2"/>
      <c r="D384" s="2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9">
        <f t="shared" si="4"/>
        <v>0</v>
      </c>
      <c r="W384" s="1"/>
      <c r="X384" s="1"/>
      <c r="Y384" s="1"/>
      <c r="Z384" s="1"/>
      <c r="AA384" s="1"/>
    </row>
    <row r="385">
      <c r="A385" s="2"/>
      <c r="B385" s="2"/>
      <c r="C385" s="2"/>
      <c r="D385" s="2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9">
        <f t="shared" si="4"/>
        <v>0</v>
      </c>
      <c r="W385" s="1"/>
      <c r="X385" s="1"/>
      <c r="Y385" s="1"/>
      <c r="Z385" s="1"/>
      <c r="AA385" s="1"/>
    </row>
    <row r="386">
      <c r="A386" s="2"/>
      <c r="B386" s="2"/>
      <c r="C386" s="2"/>
      <c r="D386" s="2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9">
        <f t="shared" si="4"/>
        <v>0</v>
      </c>
      <c r="W386" s="1"/>
      <c r="X386" s="1"/>
      <c r="Y386" s="1"/>
      <c r="Z386" s="1"/>
      <c r="AA386" s="1"/>
    </row>
    <row r="387">
      <c r="A387" s="2"/>
      <c r="B387" s="2"/>
      <c r="C387" s="2"/>
      <c r="D387" s="2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9">
        <f t="shared" si="4"/>
        <v>0</v>
      </c>
      <c r="W387" s="1"/>
      <c r="X387" s="1"/>
      <c r="Y387" s="1"/>
      <c r="Z387" s="1"/>
      <c r="AA387" s="1"/>
    </row>
    <row r="388">
      <c r="A388" s="2"/>
      <c r="B388" s="2"/>
      <c r="C388" s="2"/>
      <c r="D388" s="2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9">
        <f t="shared" si="4"/>
        <v>0</v>
      </c>
      <c r="W388" s="1"/>
      <c r="X388" s="1"/>
      <c r="Y388" s="1"/>
      <c r="Z388" s="1"/>
      <c r="AA388" s="1"/>
    </row>
    <row r="389">
      <c r="A389" s="2"/>
      <c r="B389" s="2"/>
      <c r="C389" s="2"/>
      <c r="D389" s="2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9">
        <f t="shared" si="4"/>
        <v>0</v>
      </c>
      <c r="W389" s="1"/>
      <c r="X389" s="1"/>
      <c r="Y389" s="1"/>
      <c r="Z389" s="1"/>
      <c r="AA389" s="1"/>
    </row>
    <row r="390">
      <c r="A390" s="2"/>
      <c r="B390" s="2"/>
      <c r="C390" s="2"/>
      <c r="D390" s="2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9">
        <f t="shared" si="4"/>
        <v>0</v>
      </c>
      <c r="W390" s="1"/>
      <c r="X390" s="1"/>
      <c r="Y390" s="1"/>
      <c r="Z390" s="1"/>
      <c r="AA390" s="1"/>
    </row>
    <row r="391">
      <c r="A391" s="2"/>
      <c r="B391" s="2"/>
      <c r="C391" s="2"/>
      <c r="D391" s="2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9">
        <f t="shared" si="4"/>
        <v>0</v>
      </c>
      <c r="W391" s="1"/>
      <c r="X391" s="1"/>
      <c r="Y391" s="1"/>
      <c r="Z391" s="1"/>
      <c r="AA391" s="1"/>
    </row>
    <row r="392">
      <c r="A392" s="2"/>
      <c r="B392" s="2"/>
      <c r="C392" s="2"/>
      <c r="D392" s="2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9">
        <f t="shared" si="4"/>
        <v>0</v>
      </c>
      <c r="W392" s="1"/>
      <c r="X392" s="1"/>
      <c r="Y392" s="1"/>
      <c r="Z392" s="1"/>
      <c r="AA392" s="1"/>
    </row>
    <row r="393">
      <c r="A393" s="2"/>
      <c r="B393" s="2"/>
      <c r="C393" s="2"/>
      <c r="D393" s="2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9">
        <f t="shared" si="4"/>
        <v>0</v>
      </c>
      <c r="W393" s="1"/>
      <c r="X393" s="1"/>
      <c r="Y393" s="1"/>
      <c r="Z393" s="1"/>
      <c r="AA393" s="1"/>
    </row>
    <row r="394">
      <c r="A394" s="2"/>
      <c r="B394" s="2"/>
      <c r="C394" s="2"/>
      <c r="D394" s="2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9">
        <f t="shared" si="4"/>
        <v>0</v>
      </c>
      <c r="W394" s="1"/>
      <c r="X394" s="1"/>
      <c r="Y394" s="1"/>
      <c r="Z394" s="1"/>
      <c r="AA394" s="1"/>
    </row>
    <row r="395">
      <c r="A395" s="2"/>
      <c r="B395" s="2"/>
      <c r="C395" s="2"/>
      <c r="D395" s="2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9">
        <f t="shared" si="4"/>
        <v>0</v>
      </c>
      <c r="W395" s="1"/>
      <c r="X395" s="1"/>
      <c r="Y395" s="1"/>
      <c r="Z395" s="1"/>
      <c r="AA395" s="1"/>
    </row>
    <row r="396">
      <c r="A396" s="2"/>
      <c r="B396" s="2"/>
      <c r="C396" s="2"/>
      <c r="D396" s="2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9">
        <f t="shared" si="4"/>
        <v>0</v>
      </c>
      <c r="W396" s="1"/>
      <c r="X396" s="1"/>
      <c r="Y396" s="1"/>
      <c r="Z396" s="1"/>
      <c r="AA396" s="1"/>
    </row>
    <row r="397">
      <c r="A397" s="2"/>
      <c r="B397" s="2"/>
      <c r="C397" s="2"/>
      <c r="D397" s="2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9">
        <f t="shared" si="4"/>
        <v>0</v>
      </c>
      <c r="W397" s="1"/>
      <c r="X397" s="1"/>
      <c r="Y397" s="1"/>
      <c r="Z397" s="1"/>
      <c r="AA397" s="1"/>
    </row>
    <row r="398">
      <c r="A398" s="2"/>
      <c r="B398" s="2"/>
      <c r="C398" s="2"/>
      <c r="D398" s="2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9">
        <f t="shared" si="4"/>
        <v>0</v>
      </c>
      <c r="W398" s="1"/>
      <c r="X398" s="1"/>
      <c r="Y398" s="1"/>
      <c r="Z398" s="1"/>
      <c r="AA398" s="1"/>
    </row>
    <row r="399">
      <c r="A399" s="2"/>
      <c r="B399" s="2"/>
      <c r="C399" s="2"/>
      <c r="D399" s="2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9">
        <f t="shared" si="4"/>
        <v>0</v>
      </c>
      <c r="W399" s="1"/>
      <c r="X399" s="1"/>
      <c r="Y399" s="1"/>
      <c r="Z399" s="1"/>
      <c r="AA399" s="1"/>
    </row>
    <row r="400">
      <c r="A400" s="2"/>
      <c r="B400" s="2"/>
      <c r="C400" s="2"/>
      <c r="D400" s="2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9">
        <f t="shared" si="4"/>
        <v>0</v>
      </c>
      <c r="W400" s="1"/>
      <c r="X400" s="1"/>
      <c r="Y400" s="1"/>
      <c r="Z400" s="1"/>
      <c r="AA400" s="1"/>
    </row>
    <row r="401">
      <c r="A401" s="2"/>
      <c r="B401" s="2"/>
      <c r="C401" s="2"/>
      <c r="D401" s="2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9">
        <f t="shared" si="4"/>
        <v>0</v>
      </c>
      <c r="W401" s="1"/>
      <c r="X401" s="1"/>
      <c r="Y401" s="1"/>
      <c r="Z401" s="1"/>
      <c r="AA401" s="1"/>
    </row>
    <row r="402">
      <c r="A402" s="2"/>
      <c r="B402" s="2"/>
      <c r="C402" s="2"/>
      <c r="D402" s="2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9">
        <f t="shared" si="4"/>
        <v>0</v>
      </c>
      <c r="W402" s="1"/>
      <c r="X402" s="1"/>
      <c r="Y402" s="1"/>
      <c r="Z402" s="1"/>
      <c r="AA402" s="1"/>
    </row>
    <row r="403">
      <c r="A403" s="2"/>
      <c r="B403" s="2"/>
      <c r="C403" s="2"/>
      <c r="D403" s="2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9">
        <f t="shared" si="4"/>
        <v>0</v>
      </c>
      <c r="W403" s="1"/>
      <c r="X403" s="1"/>
      <c r="Y403" s="1"/>
      <c r="Z403" s="1"/>
      <c r="AA403" s="1"/>
    </row>
    <row r="404">
      <c r="A404" s="2"/>
      <c r="B404" s="2"/>
      <c r="C404" s="2"/>
      <c r="D404" s="2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9">
        <f t="shared" si="4"/>
        <v>0</v>
      </c>
      <c r="W404" s="1"/>
      <c r="X404" s="1"/>
      <c r="Y404" s="1"/>
      <c r="Z404" s="1"/>
      <c r="AA404" s="1"/>
    </row>
    <row r="405">
      <c r="A405" s="2"/>
      <c r="B405" s="2"/>
      <c r="C405" s="2"/>
      <c r="D405" s="2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9">
        <f t="shared" si="4"/>
        <v>0</v>
      </c>
      <c r="W405" s="1"/>
      <c r="X405" s="1"/>
      <c r="Y405" s="1"/>
      <c r="Z405" s="1"/>
      <c r="AA405" s="1"/>
    </row>
    <row r="406">
      <c r="A406" s="2"/>
      <c r="B406" s="2"/>
      <c r="C406" s="2"/>
      <c r="D406" s="2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9">
        <f t="shared" si="4"/>
        <v>0</v>
      </c>
      <c r="W406" s="1"/>
      <c r="X406" s="1"/>
      <c r="Y406" s="1"/>
      <c r="Z406" s="1"/>
      <c r="AA406" s="1"/>
    </row>
    <row r="407">
      <c r="A407" s="2"/>
      <c r="B407" s="2"/>
      <c r="C407" s="2"/>
      <c r="D407" s="2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9">
        <f t="shared" si="4"/>
        <v>0</v>
      </c>
      <c r="W407" s="1"/>
      <c r="X407" s="1"/>
      <c r="Y407" s="1"/>
      <c r="Z407" s="1"/>
      <c r="AA407" s="1"/>
    </row>
    <row r="408">
      <c r="A408" s="2"/>
      <c r="B408" s="2"/>
      <c r="C408" s="2"/>
      <c r="D408" s="2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9">
        <f t="shared" si="4"/>
        <v>0</v>
      </c>
      <c r="W408" s="1"/>
      <c r="X408" s="1"/>
      <c r="Y408" s="1"/>
      <c r="Z408" s="1"/>
      <c r="AA408" s="1"/>
    </row>
    <row r="409">
      <c r="A409" s="2"/>
      <c r="B409" s="2"/>
      <c r="C409" s="2"/>
      <c r="D409" s="2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9">
        <f t="shared" si="4"/>
        <v>0</v>
      </c>
      <c r="W409" s="1"/>
      <c r="X409" s="1"/>
      <c r="Y409" s="1"/>
      <c r="Z409" s="1"/>
      <c r="AA409" s="1"/>
    </row>
    <row r="410">
      <c r="A410" s="2"/>
      <c r="B410" s="2"/>
      <c r="C410" s="2"/>
      <c r="D410" s="2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9">
        <f t="shared" si="4"/>
        <v>0</v>
      </c>
      <c r="W410" s="1"/>
      <c r="X410" s="1"/>
      <c r="Y410" s="1"/>
      <c r="Z410" s="1"/>
      <c r="AA410" s="1"/>
    </row>
    <row r="411">
      <c r="A411" s="2"/>
      <c r="B411" s="2"/>
      <c r="C411" s="2"/>
      <c r="D411" s="2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9">
        <f t="shared" si="4"/>
        <v>0</v>
      </c>
      <c r="W411" s="1"/>
      <c r="X411" s="1"/>
      <c r="Y411" s="1"/>
      <c r="Z411" s="1"/>
      <c r="AA411" s="1"/>
    </row>
    <row r="412">
      <c r="A412" s="2"/>
      <c r="B412" s="2"/>
      <c r="C412" s="2"/>
      <c r="D412" s="2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9">
        <f t="shared" si="4"/>
        <v>0</v>
      </c>
      <c r="W412" s="1"/>
      <c r="X412" s="1"/>
      <c r="Y412" s="1"/>
      <c r="Z412" s="1"/>
      <c r="AA412" s="1"/>
    </row>
    <row r="413">
      <c r="A413" s="2"/>
      <c r="B413" s="2"/>
      <c r="C413" s="2"/>
      <c r="D413" s="2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9">
        <f t="shared" si="4"/>
        <v>0</v>
      </c>
      <c r="W413" s="1"/>
      <c r="X413" s="1"/>
      <c r="Y413" s="1"/>
      <c r="Z413" s="1"/>
      <c r="AA413" s="1"/>
    </row>
    <row r="414">
      <c r="A414" s="2"/>
      <c r="B414" s="2"/>
      <c r="C414" s="2"/>
      <c r="D414" s="2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9">
        <f t="shared" si="4"/>
        <v>0</v>
      </c>
      <c r="W414" s="1"/>
      <c r="X414" s="1"/>
      <c r="Y414" s="1"/>
      <c r="Z414" s="1"/>
      <c r="AA414" s="1"/>
    </row>
    <row r="415">
      <c r="A415" s="2"/>
      <c r="B415" s="2"/>
      <c r="C415" s="2"/>
      <c r="D415" s="2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9">
        <f t="shared" si="4"/>
        <v>0</v>
      </c>
      <c r="W415" s="1"/>
      <c r="X415" s="1"/>
      <c r="Y415" s="1"/>
      <c r="Z415" s="1"/>
      <c r="AA415" s="1"/>
    </row>
    <row r="416">
      <c r="A416" s="2"/>
      <c r="B416" s="2"/>
      <c r="C416" s="2"/>
      <c r="D416" s="2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9">
        <f t="shared" si="4"/>
        <v>0</v>
      </c>
      <c r="W416" s="1"/>
      <c r="X416" s="1"/>
      <c r="Y416" s="1"/>
      <c r="Z416" s="1"/>
      <c r="AA416" s="1"/>
    </row>
    <row r="417">
      <c r="A417" s="2"/>
      <c r="B417" s="2"/>
      <c r="C417" s="2"/>
      <c r="D417" s="2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9">
        <f t="shared" si="4"/>
        <v>0</v>
      </c>
      <c r="W417" s="1"/>
      <c r="X417" s="1"/>
      <c r="Y417" s="1"/>
      <c r="Z417" s="1"/>
      <c r="AA417" s="1"/>
    </row>
    <row r="418">
      <c r="A418" s="2"/>
      <c r="B418" s="2"/>
      <c r="C418" s="2"/>
      <c r="D418" s="2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9">
        <f t="shared" si="4"/>
        <v>0</v>
      </c>
      <c r="W418" s="1"/>
      <c r="X418" s="1"/>
      <c r="Y418" s="1"/>
      <c r="Z418" s="1"/>
      <c r="AA418" s="1"/>
    </row>
    <row r="419">
      <c r="A419" s="2"/>
      <c r="B419" s="2"/>
      <c r="C419" s="2"/>
      <c r="D419" s="2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9">
        <f t="shared" si="4"/>
        <v>0</v>
      </c>
      <c r="W419" s="1"/>
      <c r="X419" s="1"/>
      <c r="Y419" s="1"/>
      <c r="Z419" s="1"/>
      <c r="AA419" s="1"/>
    </row>
    <row r="420">
      <c r="A420" s="2"/>
      <c r="B420" s="2"/>
      <c r="C420" s="2"/>
      <c r="D420" s="2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9">
        <f t="shared" si="4"/>
        <v>0</v>
      </c>
      <c r="W420" s="1"/>
      <c r="X420" s="1"/>
      <c r="Y420" s="1"/>
      <c r="Z420" s="1"/>
      <c r="AA420" s="1"/>
    </row>
    <row r="421">
      <c r="A421" s="2"/>
      <c r="B421" s="2"/>
      <c r="C421" s="2"/>
      <c r="D421" s="2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9">
        <f t="shared" si="4"/>
        <v>0</v>
      </c>
      <c r="W421" s="1"/>
      <c r="X421" s="1"/>
      <c r="Y421" s="1"/>
      <c r="Z421" s="1"/>
      <c r="AA421" s="1"/>
    </row>
    <row r="422">
      <c r="A422" s="2"/>
      <c r="B422" s="2"/>
      <c r="C422" s="2"/>
      <c r="D422" s="2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9">
        <f t="shared" si="4"/>
        <v>0</v>
      </c>
      <c r="W422" s="1"/>
      <c r="X422" s="1"/>
      <c r="Y422" s="1"/>
      <c r="Z422" s="1"/>
      <c r="AA422" s="1"/>
    </row>
    <row r="423">
      <c r="A423" s="2"/>
      <c r="B423" s="2"/>
      <c r="C423" s="2"/>
      <c r="D423" s="2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9">
        <f t="shared" si="4"/>
        <v>0</v>
      </c>
      <c r="W423" s="1"/>
      <c r="X423" s="1"/>
      <c r="Y423" s="1"/>
      <c r="Z423" s="1"/>
      <c r="AA423" s="1"/>
    </row>
    <row r="424">
      <c r="A424" s="2"/>
      <c r="B424" s="2"/>
      <c r="C424" s="2"/>
      <c r="D424" s="2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9">
        <f t="shared" si="4"/>
        <v>0</v>
      </c>
      <c r="W424" s="1"/>
      <c r="X424" s="1"/>
      <c r="Y424" s="1"/>
      <c r="Z424" s="1"/>
      <c r="AA424" s="1"/>
    </row>
    <row r="425">
      <c r="A425" s="2"/>
      <c r="B425" s="2"/>
      <c r="C425" s="2"/>
      <c r="D425" s="2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9">
        <f t="shared" si="4"/>
        <v>0</v>
      </c>
      <c r="W425" s="1"/>
      <c r="X425" s="1"/>
      <c r="Y425" s="1"/>
      <c r="Z425" s="1"/>
      <c r="AA425" s="1"/>
    </row>
    <row r="426">
      <c r="A426" s="2"/>
      <c r="B426" s="2"/>
      <c r="C426" s="2"/>
      <c r="D426" s="2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9">
        <f t="shared" si="4"/>
        <v>0</v>
      </c>
      <c r="W426" s="1"/>
      <c r="X426" s="1"/>
      <c r="Y426" s="1"/>
      <c r="Z426" s="1"/>
      <c r="AA426" s="1"/>
    </row>
    <row r="427">
      <c r="A427" s="2"/>
      <c r="B427" s="2"/>
      <c r="C427" s="2"/>
      <c r="D427" s="2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9">
        <f t="shared" si="4"/>
        <v>0</v>
      </c>
      <c r="W427" s="1"/>
      <c r="X427" s="1"/>
      <c r="Y427" s="1"/>
      <c r="Z427" s="1"/>
      <c r="AA427" s="1"/>
    </row>
    <row r="428">
      <c r="A428" s="2"/>
      <c r="B428" s="2"/>
      <c r="C428" s="2"/>
      <c r="D428" s="2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9">
        <f t="shared" si="4"/>
        <v>0</v>
      </c>
      <c r="W428" s="1"/>
      <c r="X428" s="1"/>
      <c r="Y428" s="1"/>
      <c r="Z428" s="1"/>
      <c r="AA428" s="1"/>
    </row>
    <row r="429">
      <c r="A429" s="2"/>
      <c r="B429" s="2"/>
      <c r="C429" s="2"/>
      <c r="D429" s="2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9">
        <f t="shared" si="4"/>
        <v>0</v>
      </c>
      <c r="W429" s="1"/>
      <c r="X429" s="1"/>
      <c r="Y429" s="1"/>
      <c r="Z429" s="1"/>
      <c r="AA429" s="1"/>
    </row>
    <row r="430">
      <c r="A430" s="2"/>
      <c r="B430" s="2"/>
      <c r="C430" s="2"/>
      <c r="D430" s="2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9">
        <f t="shared" si="4"/>
        <v>0</v>
      </c>
      <c r="W430" s="1"/>
      <c r="X430" s="1"/>
      <c r="Y430" s="1"/>
      <c r="Z430" s="1"/>
      <c r="AA430" s="1"/>
    </row>
    <row r="431">
      <c r="A431" s="2"/>
      <c r="B431" s="2"/>
      <c r="C431" s="2"/>
      <c r="D431" s="2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9">
        <f t="shared" si="4"/>
        <v>0</v>
      </c>
      <c r="W431" s="1"/>
      <c r="X431" s="1"/>
      <c r="Y431" s="1"/>
      <c r="Z431" s="1"/>
      <c r="AA431" s="1"/>
    </row>
    <row r="432">
      <c r="A432" s="2"/>
      <c r="B432" s="2"/>
      <c r="C432" s="2"/>
      <c r="D432" s="2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9">
        <f t="shared" si="4"/>
        <v>0</v>
      </c>
      <c r="W432" s="1"/>
      <c r="X432" s="1"/>
      <c r="Y432" s="1"/>
      <c r="Z432" s="1"/>
      <c r="AA432" s="1"/>
    </row>
    <row r="433">
      <c r="A433" s="2"/>
      <c r="B433" s="2"/>
      <c r="C433" s="2"/>
      <c r="D433" s="2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9">
        <f t="shared" si="4"/>
        <v>0</v>
      </c>
      <c r="W433" s="1"/>
      <c r="X433" s="1"/>
      <c r="Y433" s="1"/>
      <c r="Z433" s="1"/>
      <c r="AA433" s="1"/>
    </row>
    <row r="434">
      <c r="A434" s="2"/>
      <c r="B434" s="2"/>
      <c r="C434" s="2"/>
      <c r="D434" s="2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9">
        <f t="shared" si="4"/>
        <v>0</v>
      </c>
      <c r="W434" s="1"/>
      <c r="X434" s="1"/>
      <c r="Y434" s="1"/>
      <c r="Z434" s="1"/>
      <c r="AA434" s="1"/>
    </row>
    <row r="435">
      <c r="A435" s="2"/>
      <c r="B435" s="2"/>
      <c r="C435" s="2"/>
      <c r="D435" s="2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9">
        <f t="shared" si="4"/>
        <v>0</v>
      </c>
      <c r="W435" s="1"/>
      <c r="X435" s="1"/>
      <c r="Y435" s="1"/>
      <c r="Z435" s="1"/>
      <c r="AA435" s="1"/>
    </row>
    <row r="436">
      <c r="A436" s="2"/>
      <c r="B436" s="2"/>
      <c r="C436" s="2"/>
      <c r="D436" s="2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9">
        <f t="shared" si="4"/>
        <v>0</v>
      </c>
      <c r="W436" s="1"/>
      <c r="X436" s="1"/>
      <c r="Y436" s="1"/>
      <c r="Z436" s="1"/>
      <c r="AA436" s="1"/>
    </row>
    <row r="437">
      <c r="A437" s="2"/>
      <c r="B437" s="2"/>
      <c r="C437" s="2"/>
      <c r="D437" s="2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9">
        <f t="shared" si="4"/>
        <v>0</v>
      </c>
      <c r="W437" s="1"/>
      <c r="X437" s="1"/>
      <c r="Y437" s="1"/>
      <c r="Z437" s="1"/>
      <c r="AA437" s="1"/>
    </row>
    <row r="438">
      <c r="A438" s="2"/>
      <c r="B438" s="2"/>
      <c r="C438" s="2"/>
      <c r="D438" s="2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9">
        <f t="shared" si="4"/>
        <v>0</v>
      </c>
      <c r="W438" s="1"/>
      <c r="X438" s="1"/>
      <c r="Y438" s="1"/>
      <c r="Z438" s="1"/>
      <c r="AA438" s="1"/>
    </row>
    <row r="439">
      <c r="A439" s="2"/>
      <c r="B439" s="2"/>
      <c r="C439" s="2"/>
      <c r="D439" s="2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9">
        <f t="shared" si="4"/>
        <v>0</v>
      </c>
      <c r="W439" s="1"/>
      <c r="X439" s="1"/>
      <c r="Y439" s="1"/>
      <c r="Z439" s="1"/>
      <c r="AA439" s="1"/>
    </row>
    <row r="440">
      <c r="A440" s="2"/>
      <c r="B440" s="2"/>
      <c r="C440" s="2"/>
      <c r="D440" s="2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9">
        <f t="shared" si="4"/>
        <v>0</v>
      </c>
      <c r="W440" s="1"/>
      <c r="X440" s="1"/>
      <c r="Y440" s="1"/>
      <c r="Z440" s="1"/>
      <c r="AA440" s="1"/>
    </row>
    <row r="441">
      <c r="A441" s="2"/>
      <c r="B441" s="2"/>
      <c r="C441" s="2"/>
      <c r="D441" s="2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9">
        <f t="shared" si="4"/>
        <v>0</v>
      </c>
      <c r="W441" s="1"/>
      <c r="X441" s="1"/>
      <c r="Y441" s="1"/>
      <c r="Z441" s="1"/>
      <c r="AA441" s="1"/>
    </row>
    <row r="442">
      <c r="A442" s="2"/>
      <c r="B442" s="2"/>
      <c r="C442" s="2"/>
      <c r="D442" s="2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9">
        <f t="shared" si="4"/>
        <v>0</v>
      </c>
      <c r="W442" s="1"/>
      <c r="X442" s="1"/>
      <c r="Y442" s="1"/>
      <c r="Z442" s="1"/>
      <c r="AA442" s="1"/>
    </row>
    <row r="443">
      <c r="A443" s="2"/>
      <c r="B443" s="2"/>
      <c r="C443" s="2"/>
      <c r="D443" s="2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9">
        <f t="shared" si="4"/>
        <v>0</v>
      </c>
      <c r="W443" s="1"/>
      <c r="X443" s="1"/>
      <c r="Y443" s="1"/>
      <c r="Z443" s="1"/>
      <c r="AA443" s="1"/>
    </row>
    <row r="444">
      <c r="A444" s="2"/>
      <c r="B444" s="2"/>
      <c r="C444" s="2"/>
      <c r="D444" s="2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9">
        <f t="shared" si="4"/>
        <v>0</v>
      </c>
      <c r="W444" s="1"/>
      <c r="X444" s="1"/>
      <c r="Y444" s="1"/>
      <c r="Z444" s="1"/>
      <c r="AA444" s="1"/>
    </row>
    <row r="445">
      <c r="A445" s="2"/>
      <c r="B445" s="2"/>
      <c r="C445" s="2"/>
      <c r="D445" s="2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9">
        <f t="shared" si="4"/>
        <v>0</v>
      </c>
      <c r="W445" s="1"/>
      <c r="X445" s="1"/>
      <c r="Y445" s="1"/>
      <c r="Z445" s="1"/>
      <c r="AA445" s="1"/>
    </row>
    <row r="446">
      <c r="A446" s="2"/>
      <c r="B446" s="2"/>
      <c r="C446" s="2"/>
      <c r="D446" s="2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9">
        <f t="shared" si="4"/>
        <v>0</v>
      </c>
      <c r="W446" s="1"/>
      <c r="X446" s="1"/>
      <c r="Y446" s="1"/>
      <c r="Z446" s="1"/>
      <c r="AA446" s="1"/>
    </row>
    <row r="447">
      <c r="A447" s="2"/>
      <c r="B447" s="2"/>
      <c r="C447" s="2"/>
      <c r="D447" s="2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9">
        <f t="shared" si="4"/>
        <v>0</v>
      </c>
      <c r="W447" s="1"/>
      <c r="X447" s="1"/>
      <c r="Y447" s="1"/>
      <c r="Z447" s="1"/>
      <c r="AA447" s="1"/>
    </row>
    <row r="448">
      <c r="A448" s="2"/>
      <c r="B448" s="2"/>
      <c r="C448" s="2"/>
      <c r="D448" s="2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9">
        <f t="shared" si="4"/>
        <v>0</v>
      </c>
      <c r="W448" s="1"/>
      <c r="X448" s="1"/>
      <c r="Y448" s="1"/>
      <c r="Z448" s="1"/>
      <c r="AA448" s="1"/>
    </row>
    <row r="449">
      <c r="A449" s="2"/>
      <c r="B449" s="2"/>
      <c r="C449" s="2"/>
      <c r="D449" s="2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9">
        <f t="shared" si="4"/>
        <v>0</v>
      </c>
      <c r="W449" s="1"/>
      <c r="X449" s="1"/>
      <c r="Y449" s="1"/>
      <c r="Z449" s="1"/>
      <c r="AA449" s="1"/>
    </row>
    <row r="450">
      <c r="A450" s="2"/>
      <c r="B450" s="2"/>
      <c r="C450" s="2"/>
      <c r="D450" s="2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9">
        <f t="shared" si="4"/>
        <v>0</v>
      </c>
      <c r="W450" s="1"/>
      <c r="X450" s="1"/>
      <c r="Y450" s="1"/>
      <c r="Z450" s="1"/>
      <c r="AA450" s="1"/>
    </row>
    <row r="451">
      <c r="A451" s="2"/>
      <c r="B451" s="2"/>
      <c r="C451" s="2"/>
      <c r="D451" s="2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9">
        <f t="shared" si="4"/>
        <v>0</v>
      </c>
      <c r="W451" s="1"/>
      <c r="X451" s="1"/>
      <c r="Y451" s="1"/>
      <c r="Z451" s="1"/>
      <c r="AA451" s="1"/>
    </row>
    <row r="452">
      <c r="A452" s="2"/>
      <c r="B452" s="2"/>
      <c r="C452" s="2"/>
      <c r="D452" s="2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9">
        <f t="shared" si="4"/>
        <v>0</v>
      </c>
      <c r="W452" s="1"/>
      <c r="X452" s="1"/>
      <c r="Y452" s="1"/>
      <c r="Z452" s="1"/>
      <c r="AA452" s="1"/>
    </row>
    <row r="453">
      <c r="A453" s="2"/>
      <c r="B453" s="2"/>
      <c r="C453" s="2"/>
      <c r="D453" s="2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9">
        <f t="shared" si="4"/>
        <v>0</v>
      </c>
      <c r="W453" s="1"/>
      <c r="X453" s="1"/>
      <c r="Y453" s="1"/>
      <c r="Z453" s="1"/>
      <c r="AA453" s="1"/>
    </row>
    <row r="454">
      <c r="A454" s="2"/>
      <c r="B454" s="2"/>
      <c r="C454" s="2"/>
      <c r="D454" s="2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9">
        <f t="shared" si="4"/>
        <v>0</v>
      </c>
      <c r="W454" s="1"/>
      <c r="X454" s="1"/>
      <c r="Y454" s="1"/>
      <c r="Z454" s="1"/>
      <c r="AA454" s="1"/>
    </row>
    <row r="455">
      <c r="A455" s="2"/>
      <c r="B455" s="2"/>
      <c r="C455" s="2"/>
      <c r="D455" s="2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9">
        <f t="shared" si="4"/>
        <v>0</v>
      </c>
      <c r="W455" s="1"/>
      <c r="X455" s="1"/>
      <c r="Y455" s="1"/>
      <c r="Z455" s="1"/>
      <c r="AA455" s="1"/>
    </row>
    <row r="456">
      <c r="A456" s="2"/>
      <c r="B456" s="2"/>
      <c r="C456" s="2"/>
      <c r="D456" s="2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9">
        <f t="shared" si="4"/>
        <v>0</v>
      </c>
      <c r="W456" s="1"/>
      <c r="X456" s="1"/>
      <c r="Y456" s="1"/>
      <c r="Z456" s="1"/>
      <c r="AA456" s="1"/>
    </row>
    <row r="457">
      <c r="A457" s="2"/>
      <c r="B457" s="2"/>
      <c r="C457" s="2"/>
      <c r="D457" s="2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9">
        <f t="shared" si="4"/>
        <v>0</v>
      </c>
      <c r="W457" s="1"/>
      <c r="X457" s="1"/>
      <c r="Y457" s="1"/>
      <c r="Z457" s="1"/>
      <c r="AA457" s="1"/>
    </row>
    <row r="458">
      <c r="A458" s="2"/>
      <c r="B458" s="2"/>
      <c r="C458" s="2"/>
      <c r="D458" s="2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9">
        <f t="shared" si="4"/>
        <v>0</v>
      </c>
      <c r="W458" s="1"/>
      <c r="X458" s="1"/>
      <c r="Y458" s="1"/>
      <c r="Z458" s="1"/>
      <c r="AA458" s="1"/>
    </row>
    <row r="459">
      <c r="A459" s="2"/>
      <c r="B459" s="2"/>
      <c r="C459" s="2"/>
      <c r="D459" s="2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9">
        <f t="shared" si="4"/>
        <v>0</v>
      </c>
      <c r="W459" s="1"/>
      <c r="X459" s="1"/>
      <c r="Y459" s="1"/>
      <c r="Z459" s="1"/>
      <c r="AA459" s="1"/>
    </row>
    <row r="460">
      <c r="A460" s="2"/>
      <c r="B460" s="2"/>
      <c r="C460" s="2"/>
      <c r="D460" s="2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9">
        <f t="shared" si="4"/>
        <v>0</v>
      </c>
      <c r="W460" s="1"/>
      <c r="X460" s="1"/>
      <c r="Y460" s="1"/>
      <c r="Z460" s="1"/>
      <c r="AA460" s="1"/>
    </row>
    <row r="461">
      <c r="A461" s="2"/>
      <c r="B461" s="2"/>
      <c r="C461" s="2"/>
      <c r="D461" s="2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9">
        <f t="shared" si="4"/>
        <v>0</v>
      </c>
      <c r="W461" s="1"/>
      <c r="X461" s="1"/>
      <c r="Y461" s="1"/>
      <c r="Z461" s="1"/>
      <c r="AA461" s="1"/>
    </row>
    <row r="462">
      <c r="A462" s="2"/>
      <c r="B462" s="2"/>
      <c r="C462" s="2"/>
      <c r="D462" s="2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9">
        <f t="shared" si="4"/>
        <v>0</v>
      </c>
      <c r="W462" s="1"/>
      <c r="X462" s="1"/>
      <c r="Y462" s="1"/>
      <c r="Z462" s="1"/>
      <c r="AA462" s="1"/>
    </row>
    <row r="463">
      <c r="A463" s="2"/>
      <c r="B463" s="2"/>
      <c r="C463" s="2"/>
      <c r="D463" s="2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9">
        <f t="shared" si="4"/>
        <v>0</v>
      </c>
      <c r="W463" s="1"/>
      <c r="X463" s="1"/>
      <c r="Y463" s="1"/>
      <c r="Z463" s="1"/>
      <c r="AA463" s="1"/>
    </row>
    <row r="464">
      <c r="A464" s="2"/>
      <c r="B464" s="2"/>
      <c r="C464" s="2"/>
      <c r="D464" s="2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9">
        <f t="shared" si="4"/>
        <v>0</v>
      </c>
      <c r="W464" s="1"/>
      <c r="X464" s="1"/>
      <c r="Y464" s="1"/>
      <c r="Z464" s="1"/>
      <c r="AA464" s="1"/>
    </row>
    <row r="465">
      <c r="A465" s="2"/>
      <c r="B465" s="2"/>
      <c r="C465" s="2"/>
      <c r="D465" s="2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9">
        <f t="shared" si="4"/>
        <v>0</v>
      </c>
      <c r="W465" s="1"/>
      <c r="X465" s="1"/>
      <c r="Y465" s="1"/>
      <c r="Z465" s="1"/>
      <c r="AA465" s="1"/>
    </row>
    <row r="466">
      <c r="A466" s="2"/>
      <c r="B466" s="2"/>
      <c r="C466" s="2"/>
      <c r="D466" s="2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9">
        <f t="shared" si="4"/>
        <v>0</v>
      </c>
      <c r="W466" s="1"/>
      <c r="X466" s="1"/>
      <c r="Y466" s="1"/>
      <c r="Z466" s="1"/>
      <c r="AA466" s="1"/>
    </row>
    <row r="467">
      <c r="A467" s="2"/>
      <c r="B467" s="2"/>
      <c r="C467" s="2"/>
      <c r="D467" s="2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9">
        <f t="shared" si="4"/>
        <v>0</v>
      </c>
      <c r="W467" s="1"/>
      <c r="X467" s="1"/>
      <c r="Y467" s="1"/>
      <c r="Z467" s="1"/>
      <c r="AA467" s="1"/>
    </row>
    <row r="468">
      <c r="A468" s="2"/>
      <c r="B468" s="2"/>
      <c r="C468" s="2"/>
      <c r="D468" s="2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9">
        <f t="shared" si="4"/>
        <v>0</v>
      </c>
      <c r="W468" s="1"/>
      <c r="X468" s="1"/>
      <c r="Y468" s="1"/>
      <c r="Z468" s="1"/>
      <c r="AA468" s="1"/>
    </row>
    <row r="469">
      <c r="A469" s="2"/>
      <c r="B469" s="2"/>
      <c r="C469" s="2"/>
      <c r="D469" s="2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9">
        <f t="shared" si="4"/>
        <v>0</v>
      </c>
      <c r="W469" s="1"/>
      <c r="X469" s="1"/>
      <c r="Y469" s="1"/>
      <c r="Z469" s="1"/>
      <c r="AA469" s="1"/>
    </row>
    <row r="470">
      <c r="A470" s="2"/>
      <c r="B470" s="2"/>
      <c r="C470" s="2"/>
      <c r="D470" s="2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9">
        <f t="shared" si="4"/>
        <v>0</v>
      </c>
      <c r="W470" s="1"/>
      <c r="X470" s="1"/>
      <c r="Y470" s="1"/>
      <c r="Z470" s="1"/>
      <c r="AA470" s="1"/>
    </row>
    <row r="471">
      <c r="A471" s="2"/>
      <c r="B471" s="2"/>
      <c r="C471" s="2"/>
      <c r="D471" s="2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9">
        <f t="shared" si="4"/>
        <v>0</v>
      </c>
      <c r="W471" s="1"/>
      <c r="X471" s="1"/>
      <c r="Y471" s="1"/>
      <c r="Z471" s="1"/>
      <c r="AA471" s="1"/>
    </row>
    <row r="472">
      <c r="A472" s="2"/>
      <c r="B472" s="2"/>
      <c r="C472" s="2"/>
      <c r="D472" s="2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9">
        <f t="shared" si="4"/>
        <v>0</v>
      </c>
      <c r="W472" s="1"/>
      <c r="X472" s="1"/>
      <c r="Y472" s="1"/>
      <c r="Z472" s="1"/>
      <c r="AA472" s="1"/>
    </row>
    <row r="473">
      <c r="A473" s="2"/>
      <c r="B473" s="2"/>
      <c r="C473" s="2"/>
      <c r="D473" s="2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9">
        <f t="shared" si="4"/>
        <v>0</v>
      </c>
      <c r="W473" s="1"/>
      <c r="X473" s="1"/>
      <c r="Y473" s="1"/>
      <c r="Z473" s="1"/>
      <c r="AA473" s="1"/>
    </row>
    <row r="474">
      <c r="A474" s="2"/>
      <c r="B474" s="2"/>
      <c r="C474" s="2"/>
      <c r="D474" s="2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9">
        <f t="shared" si="4"/>
        <v>0</v>
      </c>
      <c r="W474" s="1"/>
      <c r="X474" s="1"/>
      <c r="Y474" s="1"/>
      <c r="Z474" s="1"/>
      <c r="AA474" s="1"/>
    </row>
    <row r="475">
      <c r="A475" s="2"/>
      <c r="B475" s="2"/>
      <c r="C475" s="2"/>
      <c r="D475" s="2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9">
        <f t="shared" si="4"/>
        <v>0</v>
      </c>
      <c r="W475" s="1"/>
      <c r="X475" s="1"/>
      <c r="Y475" s="1"/>
      <c r="Z475" s="1"/>
      <c r="AA475" s="1"/>
    </row>
    <row r="476">
      <c r="A476" s="2"/>
      <c r="B476" s="2"/>
      <c r="C476" s="2"/>
      <c r="D476" s="2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9">
        <f t="shared" si="4"/>
        <v>0</v>
      </c>
      <c r="W476" s="1"/>
      <c r="X476" s="1"/>
      <c r="Y476" s="1"/>
      <c r="Z476" s="1"/>
      <c r="AA476" s="1"/>
    </row>
    <row r="477">
      <c r="A477" s="2"/>
      <c r="B477" s="2"/>
      <c r="C477" s="2"/>
      <c r="D477" s="2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9">
        <f t="shared" si="4"/>
        <v>0</v>
      </c>
      <c r="W477" s="1"/>
      <c r="X477" s="1"/>
      <c r="Y477" s="1"/>
      <c r="Z477" s="1"/>
      <c r="AA477" s="1"/>
    </row>
    <row r="478">
      <c r="A478" s="2"/>
      <c r="B478" s="2"/>
      <c r="C478" s="2"/>
      <c r="D478" s="2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9">
        <f t="shared" si="4"/>
        <v>0</v>
      </c>
      <c r="W478" s="1"/>
      <c r="X478" s="1"/>
      <c r="Y478" s="1"/>
      <c r="Z478" s="1"/>
      <c r="AA478" s="1"/>
    </row>
    <row r="479">
      <c r="A479" s="2"/>
      <c r="B479" s="2"/>
      <c r="C479" s="2"/>
      <c r="D479" s="2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9">
        <f t="shared" si="4"/>
        <v>0</v>
      </c>
      <c r="W479" s="1"/>
      <c r="X479" s="1"/>
      <c r="Y479" s="1"/>
      <c r="Z479" s="1"/>
      <c r="AA479" s="1"/>
    </row>
    <row r="480">
      <c r="A480" s="2"/>
      <c r="B480" s="2"/>
      <c r="C480" s="2"/>
      <c r="D480" s="2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9">
        <f t="shared" si="4"/>
        <v>0</v>
      </c>
      <c r="W480" s="1"/>
      <c r="X480" s="1"/>
      <c r="Y480" s="1"/>
      <c r="Z480" s="1"/>
      <c r="AA480" s="1"/>
    </row>
    <row r="481">
      <c r="A481" s="2"/>
      <c r="B481" s="2"/>
      <c r="C481" s="2"/>
      <c r="D481" s="2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9">
        <f t="shared" si="4"/>
        <v>0</v>
      </c>
      <c r="W481" s="1"/>
      <c r="X481" s="1"/>
      <c r="Y481" s="1"/>
      <c r="Z481" s="1"/>
      <c r="AA481" s="1"/>
    </row>
    <row r="482">
      <c r="A482" s="2"/>
      <c r="B482" s="2"/>
      <c r="C482" s="2"/>
      <c r="D482" s="2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9">
        <f t="shared" si="4"/>
        <v>0</v>
      </c>
      <c r="W482" s="1"/>
      <c r="X482" s="1"/>
      <c r="Y482" s="1"/>
      <c r="Z482" s="1"/>
      <c r="AA482" s="1"/>
    </row>
    <row r="483">
      <c r="A483" s="2"/>
      <c r="B483" s="2"/>
      <c r="C483" s="2"/>
      <c r="D483" s="2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9">
        <f t="shared" si="4"/>
        <v>0</v>
      </c>
      <c r="W483" s="1"/>
      <c r="X483" s="1"/>
      <c r="Y483" s="1"/>
      <c r="Z483" s="1"/>
      <c r="AA483" s="1"/>
    </row>
    <row r="484">
      <c r="A484" s="2"/>
      <c r="B484" s="2"/>
      <c r="C484" s="2"/>
      <c r="D484" s="2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9">
        <f t="shared" si="4"/>
        <v>0</v>
      </c>
      <c r="W484" s="1"/>
      <c r="X484" s="1"/>
      <c r="Y484" s="1"/>
      <c r="Z484" s="1"/>
      <c r="AA484" s="1"/>
    </row>
    <row r="485">
      <c r="A485" s="2"/>
      <c r="B485" s="2"/>
      <c r="C485" s="2"/>
      <c r="D485" s="2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9">
        <f t="shared" si="4"/>
        <v>0</v>
      </c>
      <c r="W485" s="1"/>
      <c r="X485" s="1"/>
      <c r="Y485" s="1"/>
      <c r="Z485" s="1"/>
      <c r="AA485" s="1"/>
    </row>
    <row r="486">
      <c r="A486" s="2"/>
      <c r="B486" s="2"/>
      <c r="C486" s="2"/>
      <c r="D486" s="2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9">
        <f t="shared" si="4"/>
        <v>0</v>
      </c>
      <c r="W486" s="1"/>
      <c r="X486" s="1"/>
      <c r="Y486" s="1"/>
      <c r="Z486" s="1"/>
      <c r="AA486" s="1"/>
    </row>
    <row r="487">
      <c r="A487" s="2"/>
      <c r="B487" s="2"/>
      <c r="C487" s="2"/>
      <c r="D487" s="2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9">
        <f t="shared" si="4"/>
        <v>0</v>
      </c>
      <c r="W487" s="1"/>
      <c r="X487" s="1"/>
      <c r="Y487" s="1"/>
      <c r="Z487" s="1"/>
      <c r="AA487" s="1"/>
    </row>
    <row r="488">
      <c r="A488" s="2"/>
      <c r="B488" s="2"/>
      <c r="C488" s="2"/>
      <c r="D488" s="2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9">
        <f t="shared" si="4"/>
        <v>0</v>
      </c>
      <c r="W488" s="1"/>
      <c r="X488" s="1"/>
      <c r="Y488" s="1"/>
      <c r="Z488" s="1"/>
      <c r="AA488" s="1"/>
    </row>
    <row r="489">
      <c r="A489" s="2"/>
      <c r="B489" s="2"/>
      <c r="C489" s="2"/>
      <c r="D489" s="2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9">
        <f t="shared" si="4"/>
        <v>0</v>
      </c>
      <c r="W489" s="1"/>
      <c r="X489" s="1"/>
      <c r="Y489" s="1"/>
      <c r="Z489" s="1"/>
      <c r="AA489" s="1"/>
    </row>
    <row r="490">
      <c r="A490" s="2"/>
      <c r="B490" s="2"/>
      <c r="C490" s="2"/>
      <c r="D490" s="2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9">
        <f t="shared" si="4"/>
        <v>0</v>
      </c>
      <c r="W490" s="1"/>
      <c r="X490" s="1"/>
      <c r="Y490" s="1"/>
      <c r="Z490" s="1"/>
      <c r="AA490" s="1"/>
    </row>
    <row r="491">
      <c r="A491" s="2"/>
      <c r="B491" s="2"/>
      <c r="C491" s="2"/>
      <c r="D491" s="2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9">
        <f t="shared" si="4"/>
        <v>0</v>
      </c>
      <c r="W491" s="1"/>
      <c r="X491" s="1"/>
      <c r="Y491" s="1"/>
      <c r="Z491" s="1"/>
      <c r="AA491" s="1"/>
    </row>
    <row r="492">
      <c r="A492" s="2"/>
      <c r="B492" s="2"/>
      <c r="C492" s="2"/>
      <c r="D492" s="2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9">
        <f t="shared" si="4"/>
        <v>0</v>
      </c>
      <c r="W492" s="1"/>
      <c r="X492" s="1"/>
      <c r="Y492" s="1"/>
      <c r="Z492" s="1"/>
      <c r="AA492" s="1"/>
    </row>
    <row r="493">
      <c r="A493" s="2"/>
      <c r="B493" s="2"/>
      <c r="C493" s="2"/>
      <c r="D493" s="2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9">
        <f t="shared" si="4"/>
        <v>0</v>
      </c>
      <c r="W493" s="1"/>
      <c r="X493" s="1"/>
      <c r="Y493" s="1"/>
      <c r="Z493" s="1"/>
      <c r="AA493" s="1"/>
    </row>
    <row r="494">
      <c r="A494" s="2"/>
      <c r="B494" s="2"/>
      <c r="C494" s="2"/>
      <c r="D494" s="2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9">
        <f t="shared" si="4"/>
        <v>0</v>
      </c>
      <c r="W494" s="1"/>
      <c r="X494" s="1"/>
      <c r="Y494" s="1"/>
      <c r="Z494" s="1"/>
      <c r="AA494" s="1"/>
    </row>
    <row r="495">
      <c r="A495" s="2"/>
      <c r="B495" s="2"/>
      <c r="C495" s="2"/>
      <c r="D495" s="2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9">
        <f t="shared" si="4"/>
        <v>0</v>
      </c>
      <c r="W495" s="1"/>
      <c r="X495" s="1"/>
      <c r="Y495" s="1"/>
      <c r="Z495" s="1"/>
      <c r="AA495" s="1"/>
    </row>
    <row r="496">
      <c r="A496" s="2"/>
      <c r="B496" s="2"/>
      <c r="C496" s="2"/>
      <c r="D496" s="2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9">
        <f t="shared" si="4"/>
        <v>0</v>
      </c>
      <c r="W496" s="1"/>
      <c r="X496" s="1"/>
      <c r="Y496" s="1"/>
      <c r="Z496" s="1"/>
      <c r="AA496" s="1"/>
    </row>
    <row r="497">
      <c r="A497" s="2"/>
      <c r="B497" s="2"/>
      <c r="C497" s="2"/>
      <c r="D497" s="2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9">
        <f t="shared" si="4"/>
        <v>0</v>
      </c>
      <c r="W497" s="1"/>
      <c r="X497" s="1"/>
      <c r="Y497" s="1"/>
      <c r="Z497" s="1"/>
      <c r="AA497" s="1"/>
    </row>
    <row r="498">
      <c r="A498" s="2"/>
      <c r="B498" s="2"/>
      <c r="C498" s="2"/>
      <c r="D498" s="2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9">
        <f t="shared" si="4"/>
        <v>0</v>
      </c>
      <c r="W498" s="1"/>
      <c r="X498" s="1"/>
      <c r="Y498" s="1"/>
      <c r="Z498" s="1"/>
      <c r="AA498" s="1"/>
    </row>
    <row r="499">
      <c r="A499" s="2"/>
      <c r="B499" s="2"/>
      <c r="C499" s="2"/>
      <c r="D499" s="2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9">
        <f t="shared" si="4"/>
        <v>0</v>
      </c>
      <c r="W499" s="1"/>
      <c r="X499" s="1"/>
      <c r="Y499" s="1"/>
      <c r="Z499" s="1"/>
      <c r="AA499" s="1"/>
    </row>
    <row r="500">
      <c r="A500" s="2"/>
      <c r="B500" s="2"/>
      <c r="C500" s="2"/>
      <c r="D500" s="2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9">
        <f t="shared" si="4"/>
        <v>0</v>
      </c>
      <c r="W500" s="1"/>
      <c r="X500" s="1"/>
      <c r="Y500" s="1"/>
      <c r="Z500" s="1"/>
      <c r="AA500" s="1"/>
    </row>
    <row r="501">
      <c r="A501" s="2"/>
      <c r="B501" s="2"/>
      <c r="C501" s="2"/>
      <c r="D501" s="2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9">
        <f t="shared" si="4"/>
        <v>0</v>
      </c>
      <c r="W501" s="1"/>
      <c r="X501" s="1"/>
      <c r="Y501" s="1"/>
      <c r="Z501" s="1"/>
      <c r="AA501" s="1"/>
    </row>
    <row r="502">
      <c r="A502" s="2"/>
      <c r="B502" s="2"/>
      <c r="C502" s="2"/>
      <c r="D502" s="2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9">
        <f t="shared" si="4"/>
        <v>0</v>
      </c>
      <c r="W502" s="1"/>
      <c r="X502" s="1"/>
      <c r="Y502" s="1"/>
      <c r="Z502" s="1"/>
      <c r="AA502" s="1"/>
    </row>
    <row r="503">
      <c r="A503" s="2"/>
      <c r="B503" s="2"/>
      <c r="C503" s="2"/>
      <c r="D503" s="2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9">
        <f t="shared" si="4"/>
        <v>0</v>
      </c>
      <c r="W503" s="1"/>
      <c r="X503" s="1"/>
      <c r="Y503" s="1"/>
      <c r="Z503" s="1"/>
      <c r="AA503" s="1"/>
    </row>
    <row r="504">
      <c r="A504" s="2"/>
      <c r="B504" s="2"/>
      <c r="C504" s="2"/>
      <c r="D504" s="2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9">
        <f t="shared" si="4"/>
        <v>0</v>
      </c>
      <c r="W504" s="1"/>
      <c r="X504" s="1"/>
      <c r="Y504" s="1"/>
      <c r="Z504" s="1"/>
      <c r="AA504" s="1"/>
    </row>
    <row r="505">
      <c r="A505" s="2"/>
      <c r="B505" s="2"/>
      <c r="C505" s="2"/>
      <c r="D505" s="2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9">
        <f t="shared" si="4"/>
        <v>0</v>
      </c>
      <c r="W505" s="1"/>
      <c r="X505" s="1"/>
      <c r="Y505" s="1"/>
      <c r="Z505" s="1"/>
      <c r="AA505" s="1"/>
    </row>
    <row r="506">
      <c r="A506" s="2"/>
      <c r="B506" s="2"/>
      <c r="C506" s="2"/>
      <c r="D506" s="2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9">
        <f t="shared" si="4"/>
        <v>0</v>
      </c>
      <c r="W506" s="1"/>
      <c r="X506" s="1"/>
      <c r="Y506" s="1"/>
      <c r="Z506" s="1"/>
      <c r="AA506" s="1"/>
    </row>
    <row r="507">
      <c r="A507" s="2"/>
      <c r="B507" s="2"/>
      <c r="C507" s="2"/>
      <c r="D507" s="2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9">
        <f t="shared" si="4"/>
        <v>0</v>
      </c>
      <c r="W507" s="1"/>
      <c r="X507" s="1"/>
      <c r="Y507" s="1"/>
      <c r="Z507" s="1"/>
      <c r="AA507" s="1"/>
    </row>
    <row r="508">
      <c r="A508" s="2"/>
      <c r="B508" s="2"/>
      <c r="C508" s="2"/>
      <c r="D508" s="2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9">
        <f t="shared" si="4"/>
        <v>0</v>
      </c>
      <c r="W508" s="1"/>
      <c r="X508" s="1"/>
      <c r="Y508" s="1"/>
      <c r="Z508" s="1"/>
      <c r="AA508" s="1"/>
    </row>
    <row r="509">
      <c r="A509" s="2"/>
      <c r="B509" s="2"/>
      <c r="C509" s="2"/>
      <c r="D509" s="2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9">
        <f t="shared" si="4"/>
        <v>0</v>
      </c>
      <c r="W509" s="1"/>
      <c r="X509" s="1"/>
      <c r="Y509" s="1"/>
      <c r="Z509" s="1"/>
      <c r="AA509" s="1"/>
    </row>
    <row r="510">
      <c r="A510" s="2"/>
      <c r="B510" s="2"/>
      <c r="C510" s="2"/>
      <c r="D510" s="2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9">
        <f t="shared" si="4"/>
        <v>0</v>
      </c>
      <c r="W510" s="1"/>
      <c r="X510" s="1"/>
      <c r="Y510" s="1"/>
      <c r="Z510" s="1"/>
      <c r="AA510" s="1"/>
    </row>
    <row r="511">
      <c r="A511" s="2"/>
      <c r="B511" s="2"/>
      <c r="C511" s="2"/>
      <c r="D511" s="2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9">
        <f t="shared" si="4"/>
        <v>0</v>
      </c>
      <c r="W511" s="1"/>
      <c r="X511" s="1"/>
      <c r="Y511" s="1"/>
      <c r="Z511" s="1"/>
      <c r="AA511" s="1"/>
    </row>
    <row r="512">
      <c r="A512" s="2"/>
      <c r="B512" s="2"/>
      <c r="C512" s="2"/>
      <c r="D512" s="2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9">
        <f t="shared" si="4"/>
        <v>0</v>
      </c>
      <c r="W512" s="1"/>
      <c r="X512" s="1"/>
      <c r="Y512" s="1"/>
      <c r="Z512" s="1"/>
      <c r="AA512" s="1"/>
    </row>
    <row r="513">
      <c r="A513" s="2"/>
      <c r="B513" s="2"/>
      <c r="C513" s="2"/>
      <c r="D513" s="2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9">
        <f t="shared" si="4"/>
        <v>0</v>
      </c>
      <c r="W513" s="1"/>
      <c r="X513" s="1"/>
      <c r="Y513" s="1"/>
      <c r="Z513" s="1"/>
      <c r="AA513" s="1"/>
    </row>
    <row r="514">
      <c r="A514" s="2"/>
      <c r="B514" s="2"/>
      <c r="C514" s="2"/>
      <c r="D514" s="2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9">
        <f t="shared" si="4"/>
        <v>0</v>
      </c>
      <c r="W514" s="1"/>
      <c r="X514" s="1"/>
      <c r="Y514" s="1"/>
      <c r="Z514" s="1"/>
      <c r="AA514" s="1"/>
    </row>
    <row r="515">
      <c r="A515" s="2"/>
      <c r="B515" s="2"/>
      <c r="C515" s="2"/>
      <c r="D515" s="2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9">
        <f t="shared" si="4"/>
        <v>0</v>
      </c>
      <c r="W515" s="1"/>
      <c r="X515" s="1"/>
      <c r="Y515" s="1"/>
      <c r="Z515" s="1"/>
      <c r="AA515" s="1"/>
    </row>
    <row r="516">
      <c r="A516" s="2"/>
      <c r="B516" s="2"/>
      <c r="C516" s="2"/>
      <c r="D516" s="2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9">
        <f t="shared" si="4"/>
        <v>0</v>
      </c>
      <c r="W516" s="1"/>
      <c r="X516" s="1"/>
      <c r="Y516" s="1"/>
      <c r="Z516" s="1"/>
      <c r="AA516" s="1"/>
    </row>
    <row r="517">
      <c r="A517" s="2"/>
      <c r="B517" s="2"/>
      <c r="C517" s="2"/>
      <c r="D517" s="2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9">
        <f t="shared" si="4"/>
        <v>0</v>
      </c>
      <c r="W517" s="1"/>
      <c r="X517" s="1"/>
      <c r="Y517" s="1"/>
      <c r="Z517" s="1"/>
      <c r="AA517" s="1"/>
    </row>
    <row r="518">
      <c r="A518" s="2"/>
      <c r="B518" s="2"/>
      <c r="C518" s="2"/>
      <c r="D518" s="2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9">
        <f t="shared" si="4"/>
        <v>0</v>
      </c>
      <c r="W518" s="1"/>
      <c r="X518" s="1"/>
      <c r="Y518" s="1"/>
      <c r="Z518" s="1"/>
      <c r="AA518" s="1"/>
    </row>
    <row r="519">
      <c r="A519" s="2"/>
      <c r="B519" s="2"/>
      <c r="C519" s="2"/>
      <c r="D519" s="2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9">
        <f t="shared" si="4"/>
        <v>0</v>
      </c>
      <c r="W519" s="1"/>
      <c r="X519" s="1"/>
      <c r="Y519" s="1"/>
      <c r="Z519" s="1"/>
      <c r="AA519" s="1"/>
    </row>
    <row r="520">
      <c r="A520" s="2"/>
      <c r="B520" s="2"/>
      <c r="C520" s="2"/>
      <c r="D520" s="2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9">
        <f t="shared" si="4"/>
        <v>0</v>
      </c>
      <c r="W520" s="1"/>
      <c r="X520" s="1"/>
      <c r="Y520" s="1"/>
      <c r="Z520" s="1"/>
      <c r="AA520" s="1"/>
    </row>
    <row r="521">
      <c r="A521" s="2"/>
      <c r="B521" s="2"/>
      <c r="C521" s="2"/>
      <c r="D521" s="2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9">
        <f t="shared" si="4"/>
        <v>0</v>
      </c>
      <c r="W521" s="1"/>
      <c r="X521" s="1"/>
      <c r="Y521" s="1"/>
      <c r="Z521" s="1"/>
      <c r="AA521" s="1"/>
    </row>
    <row r="522">
      <c r="A522" s="2"/>
      <c r="B522" s="2"/>
      <c r="C522" s="2"/>
      <c r="D522" s="2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9">
        <f t="shared" si="4"/>
        <v>0</v>
      </c>
      <c r="W522" s="1"/>
      <c r="X522" s="1"/>
      <c r="Y522" s="1"/>
      <c r="Z522" s="1"/>
      <c r="AA522" s="1"/>
    </row>
    <row r="523">
      <c r="A523" s="2"/>
      <c r="B523" s="2"/>
      <c r="C523" s="2"/>
      <c r="D523" s="2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9">
        <f t="shared" si="4"/>
        <v>0</v>
      </c>
      <c r="W523" s="1"/>
      <c r="X523" s="1"/>
      <c r="Y523" s="1"/>
      <c r="Z523" s="1"/>
      <c r="AA523" s="1"/>
    </row>
    <row r="524">
      <c r="A524" s="2"/>
      <c r="B524" s="2"/>
      <c r="C524" s="2"/>
      <c r="D524" s="2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9">
        <f t="shared" si="4"/>
        <v>0</v>
      </c>
      <c r="W524" s="1"/>
      <c r="X524" s="1"/>
      <c r="Y524" s="1"/>
      <c r="Z524" s="1"/>
      <c r="AA524" s="1"/>
    </row>
    <row r="525">
      <c r="A525" s="2"/>
      <c r="B525" s="2"/>
      <c r="C525" s="2"/>
      <c r="D525" s="2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9">
        <f t="shared" si="4"/>
        <v>0</v>
      </c>
      <c r="W525" s="1"/>
      <c r="X525" s="1"/>
      <c r="Y525" s="1"/>
      <c r="Z525" s="1"/>
      <c r="AA525" s="1"/>
    </row>
    <row r="526">
      <c r="A526" s="2"/>
      <c r="B526" s="2"/>
      <c r="C526" s="2"/>
      <c r="D526" s="2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9">
        <f t="shared" si="4"/>
        <v>0</v>
      </c>
      <c r="W526" s="1"/>
      <c r="X526" s="1"/>
      <c r="Y526" s="1"/>
      <c r="Z526" s="1"/>
      <c r="AA526" s="1"/>
    </row>
    <row r="527">
      <c r="A527" s="2"/>
      <c r="B527" s="2"/>
      <c r="C527" s="2"/>
      <c r="D527" s="2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9">
        <f t="shared" si="4"/>
        <v>0</v>
      </c>
      <c r="W527" s="1"/>
      <c r="X527" s="1"/>
      <c r="Y527" s="1"/>
      <c r="Z527" s="1"/>
      <c r="AA527" s="1"/>
    </row>
    <row r="528">
      <c r="A528" s="2"/>
      <c r="B528" s="2"/>
      <c r="C528" s="2"/>
      <c r="D528" s="2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9">
        <f t="shared" si="4"/>
        <v>0</v>
      </c>
      <c r="W528" s="1"/>
      <c r="X528" s="1"/>
      <c r="Y528" s="1"/>
      <c r="Z528" s="1"/>
      <c r="AA528" s="1"/>
    </row>
    <row r="529">
      <c r="A529" s="2"/>
      <c r="B529" s="2"/>
      <c r="C529" s="2"/>
      <c r="D529" s="2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9">
        <f t="shared" si="4"/>
        <v>0</v>
      </c>
      <c r="W529" s="1"/>
      <c r="X529" s="1"/>
      <c r="Y529" s="1"/>
      <c r="Z529" s="1"/>
      <c r="AA529" s="1"/>
    </row>
    <row r="530">
      <c r="A530" s="2"/>
      <c r="B530" s="2"/>
      <c r="C530" s="2"/>
      <c r="D530" s="2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si="4"/>
        <v>0</v>
      </c>
      <c r="W530" s="1"/>
      <c r="X530" s="1"/>
      <c r="Y530" s="1"/>
      <c r="Z530" s="1"/>
      <c r="AA530" s="1"/>
    </row>
    <row r="531">
      <c r="A531" s="2"/>
      <c r="B531" s="2"/>
      <c r="C531" s="2"/>
      <c r="D531" s="2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9">
        <f t="shared" si="4"/>
        <v>0</v>
      </c>
      <c r="W531" s="1"/>
      <c r="X531" s="1"/>
      <c r="Y531" s="1"/>
      <c r="Z531" s="1"/>
      <c r="AA531" s="1"/>
    </row>
    <row r="532">
      <c r="A532" s="2"/>
      <c r="B532" s="2"/>
      <c r="C532" s="2"/>
      <c r="D532" s="2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9">
        <f t="shared" si="4"/>
        <v>0</v>
      </c>
      <c r="W532" s="1"/>
      <c r="X532" s="1"/>
      <c r="Y532" s="1"/>
      <c r="Z532" s="1"/>
      <c r="AA532" s="1"/>
    </row>
    <row r="533">
      <c r="A533" s="2"/>
      <c r="B533" s="2"/>
      <c r="C533" s="2"/>
      <c r="D533" s="2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9">
        <f t="shared" si="4"/>
        <v>0</v>
      </c>
      <c r="W533" s="1"/>
      <c r="X533" s="1"/>
      <c r="Y533" s="1"/>
      <c r="Z533" s="1"/>
      <c r="AA533" s="1"/>
    </row>
    <row r="534">
      <c r="A534" s="2"/>
      <c r="B534" s="2"/>
      <c r="C534" s="2"/>
      <c r="D534" s="2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9">
        <f t="shared" si="4"/>
        <v>0</v>
      </c>
      <c r="W534" s="1"/>
      <c r="X534" s="1"/>
      <c r="Y534" s="1"/>
      <c r="Z534" s="1"/>
      <c r="AA534" s="1"/>
    </row>
    <row r="535">
      <c r="A535" s="2"/>
      <c r="B535" s="2"/>
      <c r="C535" s="2"/>
      <c r="D535" s="2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9">
        <f t="shared" si="4"/>
        <v>0</v>
      </c>
      <c r="W535" s="1"/>
      <c r="X535" s="1"/>
      <c r="Y535" s="1"/>
      <c r="Z535" s="1"/>
      <c r="AA535" s="1"/>
    </row>
    <row r="536">
      <c r="A536" s="2"/>
      <c r="B536" s="2"/>
      <c r="C536" s="2"/>
      <c r="D536" s="2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9">
        <f t="shared" si="4"/>
        <v>0</v>
      </c>
      <c r="W536" s="1"/>
      <c r="X536" s="1"/>
      <c r="Y536" s="1"/>
      <c r="Z536" s="1"/>
      <c r="AA536" s="1"/>
    </row>
    <row r="537">
      <c r="A537" s="2"/>
      <c r="B537" s="2"/>
      <c r="C537" s="2"/>
      <c r="D537" s="2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9">
        <f t="shared" si="4"/>
        <v>0</v>
      </c>
      <c r="W537" s="1"/>
      <c r="X537" s="1"/>
      <c r="Y537" s="1"/>
      <c r="Z537" s="1"/>
      <c r="AA537" s="1"/>
    </row>
    <row r="538">
      <c r="A538" s="2"/>
      <c r="B538" s="2"/>
      <c r="C538" s="2"/>
      <c r="D538" s="2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9">
        <f t="shared" si="4"/>
        <v>0</v>
      </c>
      <c r="W538" s="1"/>
      <c r="X538" s="1"/>
      <c r="Y538" s="1"/>
      <c r="Z538" s="1"/>
      <c r="AA538" s="1"/>
    </row>
    <row r="539">
      <c r="A539" s="2"/>
      <c r="B539" s="2"/>
      <c r="C539" s="2"/>
      <c r="D539" s="2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9">
        <f t="shared" si="4"/>
        <v>0</v>
      </c>
      <c r="W539" s="1"/>
      <c r="X539" s="1"/>
      <c r="Y539" s="1"/>
      <c r="Z539" s="1"/>
      <c r="AA539" s="1"/>
    </row>
    <row r="540">
      <c r="A540" s="2"/>
      <c r="B540" s="2"/>
      <c r="C540" s="2"/>
      <c r="D540" s="2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9">
        <f t="shared" si="4"/>
        <v>0</v>
      </c>
      <c r="W540" s="1"/>
      <c r="X540" s="1"/>
      <c r="Y540" s="1"/>
      <c r="Z540" s="1"/>
      <c r="AA540" s="1"/>
    </row>
    <row r="541">
      <c r="A541" s="2"/>
      <c r="B541" s="2"/>
      <c r="C541" s="2"/>
      <c r="D541" s="2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9">
        <f t="shared" si="4"/>
        <v>0</v>
      </c>
      <c r="W541" s="1"/>
      <c r="X541" s="1"/>
      <c r="Y541" s="1"/>
      <c r="Z541" s="1"/>
      <c r="AA541" s="1"/>
    </row>
    <row r="542">
      <c r="A542" s="2"/>
      <c r="B542" s="2"/>
      <c r="C542" s="2"/>
      <c r="D542" s="2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9">
        <f t="shared" si="4"/>
        <v>0</v>
      </c>
      <c r="W542" s="1"/>
      <c r="X542" s="1"/>
      <c r="Y542" s="1"/>
      <c r="Z542" s="1"/>
      <c r="AA542" s="1"/>
    </row>
    <row r="543">
      <c r="A543" s="2"/>
      <c r="B543" s="2"/>
      <c r="C543" s="2"/>
      <c r="D543" s="2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9">
        <f t="shared" si="4"/>
        <v>0</v>
      </c>
      <c r="W543" s="1"/>
      <c r="X543" s="1"/>
      <c r="Y543" s="1"/>
      <c r="Z543" s="1"/>
      <c r="AA543" s="1"/>
    </row>
    <row r="544">
      <c r="A544" s="2"/>
      <c r="B544" s="2"/>
      <c r="C544" s="2"/>
      <c r="D544" s="2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9">
        <f t="shared" si="4"/>
        <v>0</v>
      </c>
      <c r="W544" s="1"/>
      <c r="X544" s="1"/>
      <c r="Y544" s="1"/>
      <c r="Z544" s="1"/>
      <c r="AA544" s="1"/>
    </row>
    <row r="545">
      <c r="A545" s="2"/>
      <c r="B545" s="2"/>
      <c r="C545" s="2"/>
      <c r="D545" s="2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9">
        <f t="shared" si="4"/>
        <v>0</v>
      </c>
      <c r="W545" s="1"/>
      <c r="X545" s="1"/>
      <c r="Y545" s="1"/>
      <c r="Z545" s="1"/>
      <c r="AA545" s="1"/>
    </row>
    <row r="546">
      <c r="A546" s="2"/>
      <c r="B546" s="2"/>
      <c r="C546" s="2"/>
      <c r="D546" s="2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9">
        <f t="shared" si="4"/>
        <v>0</v>
      </c>
      <c r="W546" s="1"/>
      <c r="X546" s="1"/>
      <c r="Y546" s="1"/>
      <c r="Z546" s="1"/>
      <c r="AA546" s="1"/>
    </row>
    <row r="547">
      <c r="A547" s="2"/>
      <c r="B547" s="2"/>
      <c r="C547" s="2"/>
      <c r="D547" s="2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9">
        <f t="shared" si="4"/>
        <v>0</v>
      </c>
      <c r="W547" s="1"/>
      <c r="X547" s="1"/>
      <c r="Y547" s="1"/>
      <c r="Z547" s="1"/>
      <c r="AA547" s="1"/>
    </row>
    <row r="548">
      <c r="A548" s="2"/>
      <c r="B548" s="2"/>
      <c r="C548" s="2"/>
      <c r="D548" s="2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9">
        <f t="shared" si="4"/>
        <v>0</v>
      </c>
      <c r="W548" s="1"/>
      <c r="X548" s="1"/>
      <c r="Y548" s="1"/>
      <c r="Z548" s="1"/>
      <c r="AA548" s="1"/>
    </row>
    <row r="549">
      <c r="A549" s="2"/>
      <c r="B549" s="2"/>
      <c r="C549" s="2"/>
      <c r="D549" s="2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9">
        <f t="shared" si="4"/>
        <v>0</v>
      </c>
      <c r="W549" s="1"/>
      <c r="X549" s="1"/>
      <c r="Y549" s="1"/>
      <c r="Z549" s="1"/>
      <c r="AA549" s="1"/>
    </row>
    <row r="550">
      <c r="A550" s="2"/>
      <c r="B550" s="2"/>
      <c r="C550" s="2"/>
      <c r="D550" s="2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9">
        <f t="shared" si="4"/>
        <v>0</v>
      </c>
      <c r="W550" s="1"/>
      <c r="X550" s="1"/>
      <c r="Y550" s="1"/>
      <c r="Z550" s="1"/>
      <c r="AA550" s="1"/>
    </row>
    <row r="551">
      <c r="A551" s="2"/>
      <c r="B551" s="2"/>
      <c r="C551" s="2"/>
      <c r="D551" s="2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9">
        <f t="shared" si="4"/>
        <v>0</v>
      </c>
      <c r="W551" s="1"/>
      <c r="X551" s="1"/>
      <c r="Y551" s="1"/>
      <c r="Z551" s="1"/>
      <c r="AA551" s="1"/>
    </row>
    <row r="552">
      <c r="A552" s="2"/>
      <c r="B552" s="2"/>
      <c r="C552" s="2"/>
      <c r="D552" s="2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9">
        <f t="shared" si="4"/>
        <v>0</v>
      </c>
      <c r="W552" s="1"/>
      <c r="X552" s="1"/>
      <c r="Y552" s="1"/>
      <c r="Z552" s="1"/>
      <c r="AA552" s="1"/>
    </row>
    <row r="553">
      <c r="A553" s="2"/>
      <c r="B553" s="2"/>
      <c r="C553" s="2"/>
      <c r="D553" s="2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9">
        <f t="shared" si="4"/>
        <v>0</v>
      </c>
      <c r="W553" s="1"/>
      <c r="X553" s="1"/>
      <c r="Y553" s="1"/>
      <c r="Z553" s="1"/>
      <c r="AA553" s="1"/>
    </row>
    <row r="554">
      <c r="A554" s="2"/>
      <c r="B554" s="2"/>
      <c r="C554" s="2"/>
      <c r="D554" s="2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9">
        <f t="shared" si="4"/>
        <v>0</v>
      </c>
      <c r="W554" s="1"/>
      <c r="X554" s="1"/>
      <c r="Y554" s="1"/>
      <c r="Z554" s="1"/>
      <c r="AA554" s="1"/>
    </row>
    <row r="555">
      <c r="A555" s="2"/>
      <c r="B555" s="2"/>
      <c r="C555" s="2"/>
      <c r="D555" s="2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9">
        <f t="shared" si="4"/>
        <v>0</v>
      </c>
      <c r="W555" s="1"/>
      <c r="X555" s="1"/>
      <c r="Y555" s="1"/>
      <c r="Z555" s="1"/>
      <c r="AA555" s="1"/>
    </row>
    <row r="556">
      <c r="A556" s="2"/>
      <c r="B556" s="2"/>
      <c r="C556" s="2"/>
      <c r="D556" s="2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9">
        <f t="shared" si="4"/>
        <v>0</v>
      </c>
      <c r="W556" s="1"/>
      <c r="X556" s="1"/>
      <c r="Y556" s="1"/>
      <c r="Z556" s="1"/>
      <c r="AA556" s="1"/>
    </row>
    <row r="557">
      <c r="A557" s="2"/>
      <c r="B557" s="2"/>
      <c r="C557" s="2"/>
      <c r="D557" s="2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9">
        <f t="shared" si="4"/>
        <v>0</v>
      </c>
      <c r="W557" s="1"/>
      <c r="X557" s="1"/>
      <c r="Y557" s="1"/>
      <c r="Z557" s="1"/>
      <c r="AA557" s="1"/>
    </row>
    <row r="558">
      <c r="A558" s="2"/>
      <c r="B558" s="2"/>
      <c r="C558" s="2"/>
      <c r="D558" s="2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9">
        <f t="shared" si="4"/>
        <v>0</v>
      </c>
      <c r="W558" s="1"/>
      <c r="X558" s="1"/>
      <c r="Y558" s="1"/>
      <c r="Z558" s="1"/>
      <c r="AA558" s="1"/>
    </row>
    <row r="559">
      <c r="A559" s="2"/>
      <c r="B559" s="2"/>
      <c r="C559" s="2"/>
      <c r="D559" s="2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9">
        <f t="shared" si="4"/>
        <v>0</v>
      </c>
      <c r="W559" s="1"/>
      <c r="X559" s="1"/>
      <c r="Y559" s="1"/>
      <c r="Z559" s="1"/>
      <c r="AA559" s="1"/>
    </row>
    <row r="560">
      <c r="A560" s="2"/>
      <c r="B560" s="2"/>
      <c r="C560" s="2"/>
      <c r="D560" s="2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9">
        <f t="shared" si="4"/>
        <v>0</v>
      </c>
      <c r="W560" s="1"/>
      <c r="X560" s="1"/>
      <c r="Y560" s="1"/>
      <c r="Z560" s="1"/>
      <c r="AA560" s="1"/>
    </row>
    <row r="561">
      <c r="A561" s="2"/>
      <c r="B561" s="2"/>
      <c r="C561" s="2"/>
      <c r="D561" s="2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9">
        <f t="shared" si="4"/>
        <v>0</v>
      </c>
      <c r="W561" s="1"/>
      <c r="X561" s="1"/>
      <c r="Y561" s="1"/>
      <c r="Z561" s="1"/>
      <c r="AA561" s="1"/>
    </row>
    <row r="562">
      <c r="A562" s="2"/>
      <c r="B562" s="2"/>
      <c r="C562" s="2"/>
      <c r="D562" s="2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9">
        <f t="shared" si="4"/>
        <v>0</v>
      </c>
      <c r="W562" s="1"/>
      <c r="X562" s="1"/>
      <c r="Y562" s="1"/>
      <c r="Z562" s="1"/>
      <c r="AA562" s="1"/>
    </row>
    <row r="563">
      <c r="A563" s="2"/>
      <c r="B563" s="2"/>
      <c r="C563" s="2"/>
      <c r="D563" s="2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9">
        <f t="shared" si="4"/>
        <v>0</v>
      </c>
      <c r="W563" s="1"/>
      <c r="X563" s="1"/>
      <c r="Y563" s="1"/>
      <c r="Z563" s="1"/>
      <c r="AA563" s="1"/>
    </row>
    <row r="564">
      <c r="A564" s="2"/>
      <c r="B564" s="2"/>
      <c r="C564" s="2"/>
      <c r="D564" s="2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9">
        <f t="shared" si="4"/>
        <v>0</v>
      </c>
      <c r="W564" s="1"/>
      <c r="X564" s="1"/>
      <c r="Y564" s="1"/>
      <c r="Z564" s="1"/>
      <c r="AA564" s="1"/>
    </row>
    <row r="565">
      <c r="A565" s="2"/>
      <c r="B565" s="2"/>
      <c r="C565" s="2"/>
      <c r="D565" s="2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9">
        <f t="shared" si="4"/>
        <v>0</v>
      </c>
      <c r="W565" s="1"/>
      <c r="X565" s="1"/>
      <c r="Y565" s="1"/>
      <c r="Z565" s="1"/>
      <c r="AA565" s="1"/>
    </row>
    <row r="566">
      <c r="A566" s="2"/>
      <c r="B566" s="2"/>
      <c r="C566" s="2"/>
      <c r="D566" s="2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9">
        <f t="shared" si="4"/>
        <v>0</v>
      </c>
      <c r="W566" s="1"/>
      <c r="X566" s="1"/>
      <c r="Y566" s="1"/>
      <c r="Z566" s="1"/>
      <c r="AA566" s="1"/>
    </row>
    <row r="567">
      <c r="A567" s="2"/>
      <c r="B567" s="2"/>
      <c r="C567" s="2"/>
      <c r="D567" s="2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9">
        <f t="shared" si="4"/>
        <v>0</v>
      </c>
      <c r="W567" s="1"/>
      <c r="X567" s="1"/>
      <c r="Y567" s="1"/>
      <c r="Z567" s="1"/>
      <c r="AA567" s="1"/>
    </row>
    <row r="568">
      <c r="A568" s="2"/>
      <c r="B568" s="2"/>
      <c r="C568" s="2"/>
      <c r="D568" s="2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9">
        <f t="shared" si="4"/>
        <v>0</v>
      </c>
      <c r="W568" s="1"/>
      <c r="X568" s="1"/>
      <c r="Y568" s="1"/>
      <c r="Z568" s="1"/>
      <c r="AA568" s="1"/>
    </row>
    <row r="569">
      <c r="A569" s="2"/>
      <c r="B569" s="2"/>
      <c r="C569" s="2"/>
      <c r="D569" s="2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9">
        <f t="shared" si="4"/>
        <v>0</v>
      </c>
      <c r="W569" s="1"/>
      <c r="X569" s="1"/>
      <c r="Y569" s="1"/>
      <c r="Z569" s="1"/>
      <c r="AA569" s="1"/>
    </row>
    <row r="570">
      <c r="A570" s="2"/>
      <c r="B570" s="2"/>
      <c r="C570" s="2"/>
      <c r="D570" s="2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9">
        <f t="shared" si="4"/>
        <v>0</v>
      </c>
      <c r="W570" s="1"/>
      <c r="X570" s="1"/>
      <c r="Y570" s="1"/>
      <c r="Z570" s="1"/>
      <c r="AA570" s="1"/>
    </row>
    <row r="571">
      <c r="A571" s="2"/>
      <c r="B571" s="2"/>
      <c r="C571" s="2"/>
      <c r="D571" s="2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9">
        <f t="shared" si="4"/>
        <v>0</v>
      </c>
      <c r="W571" s="1"/>
      <c r="X571" s="1"/>
      <c r="Y571" s="1"/>
      <c r="Z571" s="1"/>
      <c r="AA571" s="1"/>
    </row>
    <row r="572">
      <c r="A572" s="2"/>
      <c r="B572" s="2"/>
      <c r="C572" s="2"/>
      <c r="D572" s="2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9">
        <f t="shared" si="4"/>
        <v>0</v>
      </c>
      <c r="W572" s="1"/>
      <c r="X572" s="1"/>
      <c r="Y572" s="1"/>
      <c r="Z572" s="1"/>
      <c r="AA572" s="1"/>
    </row>
    <row r="573">
      <c r="A573" s="2"/>
      <c r="B573" s="2"/>
      <c r="C573" s="2"/>
      <c r="D573" s="2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9">
        <f t="shared" si="4"/>
        <v>0</v>
      </c>
      <c r="W573" s="1"/>
      <c r="X573" s="1"/>
      <c r="Y573" s="1"/>
      <c r="Z573" s="1"/>
      <c r="AA573" s="1"/>
    </row>
    <row r="574">
      <c r="A574" s="2"/>
      <c r="B574" s="2"/>
      <c r="C574" s="2"/>
      <c r="D574" s="2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9">
        <f t="shared" si="4"/>
        <v>0</v>
      </c>
      <c r="W574" s="1"/>
      <c r="X574" s="1"/>
      <c r="Y574" s="1"/>
      <c r="Z574" s="1"/>
      <c r="AA574" s="1"/>
    </row>
    <row r="575">
      <c r="A575" s="2"/>
      <c r="B575" s="2"/>
      <c r="C575" s="2"/>
      <c r="D575" s="2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9">
        <f t="shared" si="4"/>
        <v>0</v>
      </c>
      <c r="W575" s="1"/>
      <c r="X575" s="1"/>
      <c r="Y575" s="1"/>
      <c r="Z575" s="1"/>
      <c r="AA575" s="1"/>
    </row>
    <row r="576">
      <c r="A576" s="2"/>
      <c r="B576" s="2"/>
      <c r="C576" s="2"/>
      <c r="D576" s="2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9">
        <f t="shared" si="4"/>
        <v>0</v>
      </c>
      <c r="W576" s="1"/>
      <c r="X576" s="1"/>
      <c r="Y576" s="1"/>
      <c r="Z576" s="1"/>
      <c r="AA576" s="1"/>
    </row>
    <row r="577">
      <c r="A577" s="2"/>
      <c r="B577" s="2"/>
      <c r="C577" s="2"/>
      <c r="D577" s="2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9">
        <f t="shared" si="4"/>
        <v>0</v>
      </c>
      <c r="W577" s="1"/>
      <c r="X577" s="1"/>
      <c r="Y577" s="1"/>
      <c r="Z577" s="1"/>
      <c r="AA577" s="1"/>
    </row>
    <row r="578">
      <c r="A578" s="2"/>
      <c r="B578" s="2"/>
      <c r="C578" s="2"/>
      <c r="D578" s="2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9">
        <f t="shared" si="4"/>
        <v>0</v>
      </c>
      <c r="W578" s="1"/>
      <c r="X578" s="1"/>
      <c r="Y578" s="1"/>
      <c r="Z578" s="1"/>
      <c r="AA578" s="1"/>
    </row>
    <row r="579">
      <c r="A579" s="2"/>
      <c r="B579" s="2"/>
      <c r="C579" s="2"/>
      <c r="D579" s="2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9">
        <f t="shared" si="4"/>
        <v>0</v>
      </c>
      <c r="W579" s="1"/>
      <c r="X579" s="1"/>
      <c r="Y579" s="1"/>
      <c r="Z579" s="1"/>
      <c r="AA579" s="1"/>
    </row>
    <row r="580">
      <c r="A580" s="2"/>
      <c r="B580" s="2"/>
      <c r="C580" s="2"/>
      <c r="D580" s="2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9">
        <f t="shared" si="4"/>
        <v>0</v>
      </c>
      <c r="W580" s="1"/>
      <c r="X580" s="1"/>
      <c r="Y580" s="1"/>
      <c r="Z580" s="1"/>
      <c r="AA580" s="1"/>
    </row>
    <row r="581">
      <c r="A581" s="2"/>
      <c r="B581" s="2"/>
      <c r="C581" s="2"/>
      <c r="D581" s="2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9">
        <f t="shared" si="4"/>
        <v>0</v>
      </c>
      <c r="W581" s="1"/>
      <c r="X581" s="1"/>
      <c r="Y581" s="1"/>
      <c r="Z581" s="1"/>
      <c r="AA581" s="1"/>
    </row>
    <row r="582">
      <c r="A582" s="2"/>
      <c r="B582" s="2"/>
      <c r="C582" s="2"/>
      <c r="D582" s="2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9">
        <f t="shared" si="4"/>
        <v>0</v>
      </c>
      <c r="W582" s="1"/>
      <c r="X582" s="1"/>
      <c r="Y582" s="1"/>
      <c r="Z582" s="1"/>
      <c r="AA582" s="1"/>
    </row>
    <row r="583">
      <c r="A583" s="2"/>
      <c r="B583" s="2"/>
      <c r="C583" s="2"/>
      <c r="D583" s="2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9">
        <f t="shared" si="4"/>
        <v>0</v>
      </c>
      <c r="W583" s="1"/>
      <c r="X583" s="1"/>
      <c r="Y583" s="1"/>
      <c r="Z583" s="1"/>
      <c r="AA583" s="1"/>
    </row>
    <row r="584">
      <c r="A584" s="2"/>
      <c r="B584" s="2"/>
      <c r="C584" s="2"/>
      <c r="D584" s="2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9">
        <f t="shared" si="4"/>
        <v>0</v>
      </c>
      <c r="W584" s="1"/>
      <c r="X584" s="1"/>
      <c r="Y584" s="1"/>
      <c r="Z584" s="1"/>
      <c r="AA584" s="1"/>
    </row>
    <row r="585">
      <c r="A585" s="2"/>
      <c r="B585" s="2"/>
      <c r="C585" s="2"/>
      <c r="D585" s="2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9">
        <f t="shared" si="4"/>
        <v>0</v>
      </c>
      <c r="W585" s="1"/>
      <c r="X585" s="1"/>
      <c r="Y585" s="1"/>
      <c r="Z585" s="1"/>
      <c r="AA585" s="1"/>
    </row>
    <row r="586">
      <c r="A586" s="2"/>
      <c r="B586" s="2"/>
      <c r="C586" s="2"/>
      <c r="D586" s="2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9">
        <f t="shared" si="4"/>
        <v>0</v>
      </c>
      <c r="W586" s="1"/>
      <c r="X586" s="1"/>
      <c r="Y586" s="1"/>
      <c r="Z586" s="1"/>
      <c r="AA586" s="1"/>
    </row>
    <row r="587">
      <c r="A587" s="2"/>
      <c r="B587" s="2"/>
      <c r="C587" s="2"/>
      <c r="D587" s="2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9">
        <f t="shared" si="4"/>
        <v>0</v>
      </c>
      <c r="W587" s="1"/>
      <c r="X587" s="1"/>
      <c r="Y587" s="1"/>
      <c r="Z587" s="1"/>
      <c r="AA587" s="1"/>
    </row>
    <row r="588">
      <c r="A588" s="2"/>
      <c r="B588" s="2"/>
      <c r="C588" s="2"/>
      <c r="D588" s="2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9">
        <f t="shared" si="4"/>
        <v>0</v>
      </c>
      <c r="W588" s="1"/>
      <c r="X588" s="1"/>
      <c r="Y588" s="1"/>
      <c r="Z588" s="1"/>
      <c r="AA588" s="1"/>
    </row>
    <row r="589">
      <c r="A589" s="2"/>
      <c r="B589" s="2"/>
      <c r="C589" s="2"/>
      <c r="D589" s="2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9">
        <f t="shared" si="4"/>
        <v>0</v>
      </c>
      <c r="W589" s="1"/>
      <c r="X589" s="1"/>
      <c r="Y589" s="1"/>
      <c r="Z589" s="1"/>
      <c r="AA589" s="1"/>
    </row>
    <row r="590">
      <c r="A590" s="2"/>
      <c r="B590" s="2"/>
      <c r="C590" s="2"/>
      <c r="D590" s="2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9">
        <f t="shared" si="4"/>
        <v>0</v>
      </c>
      <c r="W590" s="1"/>
      <c r="X590" s="1"/>
      <c r="Y590" s="1"/>
      <c r="Z590" s="1"/>
      <c r="AA590" s="1"/>
    </row>
    <row r="591">
      <c r="A591" s="2"/>
      <c r="B591" s="2"/>
      <c r="C591" s="2"/>
      <c r="D591" s="2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9">
        <f t="shared" si="4"/>
        <v>0</v>
      </c>
      <c r="W591" s="1"/>
      <c r="X591" s="1"/>
      <c r="Y591" s="1"/>
      <c r="Z591" s="1"/>
      <c r="AA591" s="1"/>
    </row>
    <row r="592">
      <c r="A592" s="2"/>
      <c r="B592" s="2"/>
      <c r="C592" s="2"/>
      <c r="D592" s="2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9">
        <f t="shared" si="4"/>
        <v>0</v>
      </c>
      <c r="W592" s="1"/>
      <c r="X592" s="1"/>
      <c r="Y592" s="1"/>
      <c r="Z592" s="1"/>
      <c r="AA592" s="1"/>
    </row>
    <row r="593">
      <c r="A593" s="2"/>
      <c r="B593" s="2"/>
      <c r="C593" s="2"/>
      <c r="D593" s="2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9">
        <f t="shared" si="4"/>
        <v>0</v>
      </c>
      <c r="W593" s="1"/>
      <c r="X593" s="1"/>
      <c r="Y593" s="1"/>
      <c r="Z593" s="1"/>
      <c r="AA593" s="1"/>
    </row>
    <row r="594">
      <c r="A594" s="2"/>
      <c r="B594" s="2"/>
      <c r="C594" s="2"/>
      <c r="D594" s="2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9">
        <f t="shared" si="4"/>
        <v>0</v>
      </c>
      <c r="W594" s="1"/>
      <c r="X594" s="1"/>
      <c r="Y594" s="1"/>
      <c r="Z594" s="1"/>
      <c r="AA594" s="1"/>
    </row>
    <row r="595">
      <c r="A595" s="2"/>
      <c r="B595" s="2"/>
      <c r="C595" s="2"/>
      <c r="D595" s="2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9">
        <f t="shared" si="4"/>
        <v>0</v>
      </c>
      <c r="W595" s="1"/>
      <c r="X595" s="1"/>
      <c r="Y595" s="1"/>
      <c r="Z595" s="1"/>
      <c r="AA595" s="1"/>
    </row>
    <row r="596">
      <c r="A596" s="2"/>
      <c r="B596" s="2"/>
      <c r="C596" s="2"/>
      <c r="D596" s="2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9">
        <f t="shared" si="4"/>
        <v>0</v>
      </c>
      <c r="W596" s="1"/>
      <c r="X596" s="1"/>
      <c r="Y596" s="1"/>
      <c r="Z596" s="1"/>
      <c r="AA596" s="1"/>
    </row>
    <row r="597">
      <c r="A597" s="2"/>
      <c r="B597" s="2"/>
      <c r="C597" s="2"/>
      <c r="D597" s="2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9">
        <f t="shared" si="4"/>
        <v>0</v>
      </c>
      <c r="W597" s="1"/>
      <c r="X597" s="1"/>
      <c r="Y597" s="1"/>
      <c r="Z597" s="1"/>
      <c r="AA597" s="1"/>
    </row>
    <row r="598">
      <c r="A598" s="2"/>
      <c r="B598" s="2"/>
      <c r="C598" s="2"/>
      <c r="D598" s="2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9">
        <f t="shared" si="4"/>
        <v>0</v>
      </c>
      <c r="W598" s="1"/>
      <c r="X598" s="1"/>
      <c r="Y598" s="1"/>
      <c r="Z598" s="1"/>
      <c r="AA598" s="1"/>
    </row>
    <row r="599">
      <c r="A599" s="2"/>
      <c r="B599" s="2"/>
      <c r="C599" s="2"/>
      <c r="D599" s="2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9">
        <f t="shared" si="4"/>
        <v>0</v>
      </c>
      <c r="W599" s="1"/>
      <c r="X599" s="1"/>
      <c r="Y599" s="1"/>
      <c r="Z599" s="1"/>
      <c r="AA599" s="1"/>
    </row>
    <row r="600">
      <c r="A600" s="2"/>
      <c r="B600" s="2"/>
      <c r="C600" s="2"/>
      <c r="D600" s="2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9">
        <f t="shared" si="4"/>
        <v>0</v>
      </c>
      <c r="W600" s="1"/>
      <c r="X600" s="1"/>
      <c r="Y600" s="1"/>
      <c r="Z600" s="1"/>
      <c r="AA600" s="1"/>
    </row>
    <row r="601">
      <c r="A601" s="2"/>
      <c r="B601" s="2"/>
      <c r="C601" s="2"/>
      <c r="D601" s="2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9">
        <f t="shared" si="4"/>
        <v>0</v>
      </c>
      <c r="W601" s="1"/>
      <c r="X601" s="1"/>
      <c r="Y601" s="1"/>
      <c r="Z601" s="1"/>
      <c r="AA601" s="1"/>
    </row>
    <row r="602">
      <c r="A602" s="2"/>
      <c r="B602" s="2"/>
      <c r="C602" s="2"/>
      <c r="D602" s="2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9">
        <f t="shared" si="4"/>
        <v>0</v>
      </c>
      <c r="W602" s="1"/>
      <c r="X602" s="1"/>
      <c r="Y602" s="1"/>
      <c r="Z602" s="1"/>
      <c r="AA602" s="1"/>
    </row>
    <row r="603">
      <c r="A603" s="2"/>
      <c r="B603" s="2"/>
      <c r="C603" s="2"/>
      <c r="D603" s="2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9">
        <f t="shared" si="4"/>
        <v>0</v>
      </c>
      <c r="W603" s="1"/>
      <c r="X603" s="1"/>
      <c r="Y603" s="1"/>
      <c r="Z603" s="1"/>
      <c r="AA603" s="1"/>
    </row>
    <row r="604">
      <c r="A604" s="2"/>
      <c r="B604" s="2"/>
      <c r="C604" s="2"/>
      <c r="D604" s="2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9">
        <f t="shared" si="4"/>
        <v>0</v>
      </c>
      <c r="W604" s="1"/>
      <c r="X604" s="1"/>
      <c r="Y604" s="1"/>
      <c r="Z604" s="1"/>
      <c r="AA604" s="1"/>
    </row>
    <row r="605">
      <c r="A605" s="2"/>
      <c r="B605" s="2"/>
      <c r="C605" s="2"/>
      <c r="D605" s="2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9">
        <f t="shared" si="4"/>
        <v>0</v>
      </c>
      <c r="W605" s="1"/>
      <c r="X605" s="1"/>
      <c r="Y605" s="1"/>
      <c r="Z605" s="1"/>
      <c r="AA605" s="1"/>
    </row>
    <row r="606">
      <c r="A606" s="2"/>
      <c r="B606" s="2"/>
      <c r="C606" s="2"/>
      <c r="D606" s="2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9">
        <f t="shared" si="4"/>
        <v>0</v>
      </c>
      <c r="W606" s="1"/>
      <c r="X606" s="1"/>
      <c r="Y606" s="1"/>
      <c r="Z606" s="1"/>
      <c r="AA606" s="1"/>
    </row>
    <row r="607">
      <c r="A607" s="2"/>
      <c r="B607" s="2"/>
      <c r="C607" s="2"/>
      <c r="D607" s="2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9">
        <f t="shared" si="4"/>
        <v>0</v>
      </c>
      <c r="W607" s="1"/>
      <c r="X607" s="1"/>
      <c r="Y607" s="1"/>
      <c r="Z607" s="1"/>
      <c r="AA607" s="1"/>
    </row>
    <row r="608">
      <c r="A608" s="2"/>
      <c r="B608" s="2"/>
      <c r="C608" s="2"/>
      <c r="D608" s="2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9">
        <f t="shared" si="4"/>
        <v>0</v>
      </c>
      <c r="W608" s="1"/>
      <c r="X608" s="1"/>
      <c r="Y608" s="1"/>
      <c r="Z608" s="1"/>
      <c r="AA608" s="1"/>
    </row>
    <row r="609">
      <c r="A609" s="2"/>
      <c r="B609" s="2"/>
      <c r="C609" s="2"/>
      <c r="D609" s="2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9">
        <f t="shared" si="4"/>
        <v>0</v>
      </c>
      <c r="W609" s="1"/>
      <c r="X609" s="1"/>
      <c r="Y609" s="1"/>
      <c r="Z609" s="1"/>
      <c r="AA609" s="1"/>
    </row>
    <row r="610">
      <c r="A610" s="2"/>
      <c r="B610" s="2"/>
      <c r="C610" s="2"/>
      <c r="D610" s="2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9">
        <f t="shared" si="4"/>
        <v>0</v>
      </c>
      <c r="W610" s="1"/>
      <c r="X610" s="1"/>
      <c r="Y610" s="1"/>
      <c r="Z610" s="1"/>
      <c r="AA610" s="1"/>
    </row>
    <row r="611">
      <c r="A611" s="2"/>
      <c r="B611" s="2"/>
      <c r="C611" s="2"/>
      <c r="D611" s="2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9">
        <f t="shared" si="4"/>
        <v>0</v>
      </c>
      <c r="W611" s="1"/>
      <c r="X611" s="1"/>
      <c r="Y611" s="1"/>
      <c r="Z611" s="1"/>
      <c r="AA611" s="1"/>
    </row>
    <row r="612">
      <c r="A612" s="2"/>
      <c r="B612" s="2"/>
      <c r="C612" s="2"/>
      <c r="D612" s="2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9">
        <f t="shared" si="4"/>
        <v>0</v>
      </c>
      <c r="W612" s="1"/>
      <c r="X612" s="1"/>
      <c r="Y612" s="1"/>
      <c r="Z612" s="1"/>
      <c r="AA612" s="1"/>
    </row>
    <row r="613">
      <c r="A613" s="2"/>
      <c r="B613" s="2"/>
      <c r="C613" s="2"/>
      <c r="D613" s="2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9">
        <f t="shared" si="4"/>
        <v>0</v>
      </c>
      <c r="W613" s="1"/>
      <c r="X613" s="1"/>
      <c r="Y613" s="1"/>
      <c r="Z613" s="1"/>
      <c r="AA613" s="1"/>
    </row>
    <row r="614">
      <c r="A614" s="2"/>
      <c r="B614" s="2"/>
      <c r="C614" s="2"/>
      <c r="D614" s="2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9">
        <f t="shared" si="4"/>
        <v>0</v>
      </c>
      <c r="W614" s="1"/>
      <c r="X614" s="1"/>
      <c r="Y614" s="1"/>
      <c r="Z614" s="1"/>
      <c r="AA614" s="1"/>
    </row>
    <row r="615">
      <c r="A615" s="2"/>
      <c r="B615" s="2"/>
      <c r="C615" s="2"/>
      <c r="D615" s="2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9">
        <f t="shared" si="4"/>
        <v>0</v>
      </c>
      <c r="W615" s="1"/>
      <c r="X615" s="1"/>
      <c r="Y615" s="1"/>
      <c r="Z615" s="1"/>
      <c r="AA615" s="1"/>
    </row>
    <row r="616">
      <c r="A616" s="2"/>
      <c r="B616" s="2"/>
      <c r="C616" s="2"/>
      <c r="D616" s="2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9">
        <f t="shared" si="4"/>
        <v>0</v>
      </c>
      <c r="W616" s="1"/>
      <c r="X616" s="1"/>
      <c r="Y616" s="1"/>
      <c r="Z616" s="1"/>
      <c r="AA616" s="1"/>
    </row>
    <row r="617">
      <c r="A617" s="2"/>
      <c r="B617" s="2"/>
      <c r="C617" s="2"/>
      <c r="D617" s="2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9">
        <f t="shared" si="4"/>
        <v>0</v>
      </c>
      <c r="W617" s="1"/>
      <c r="X617" s="1"/>
      <c r="Y617" s="1"/>
      <c r="Z617" s="1"/>
      <c r="AA617" s="1"/>
    </row>
    <row r="618">
      <c r="A618" s="2"/>
      <c r="B618" s="2"/>
      <c r="C618" s="2"/>
      <c r="D618" s="2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9">
        <f t="shared" si="4"/>
        <v>0</v>
      </c>
      <c r="W618" s="1"/>
      <c r="X618" s="1"/>
      <c r="Y618" s="1"/>
      <c r="Z618" s="1"/>
      <c r="AA618" s="1"/>
    </row>
    <row r="619">
      <c r="A619" s="2"/>
      <c r="B619" s="2"/>
      <c r="C619" s="2"/>
      <c r="D619" s="2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9">
        <f t="shared" si="4"/>
        <v>0</v>
      </c>
      <c r="W619" s="1"/>
      <c r="X619" s="1"/>
      <c r="Y619" s="1"/>
      <c r="Z619" s="1"/>
      <c r="AA619" s="1"/>
    </row>
    <row r="620">
      <c r="A620" s="2"/>
      <c r="B620" s="2"/>
      <c r="C620" s="2"/>
      <c r="D620" s="2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9">
        <f t="shared" si="4"/>
        <v>0</v>
      </c>
      <c r="W620" s="1"/>
      <c r="X620" s="1"/>
      <c r="Y620" s="1"/>
      <c r="Z620" s="1"/>
      <c r="AA620" s="1"/>
    </row>
    <row r="621">
      <c r="A621" s="2"/>
      <c r="B621" s="2"/>
      <c r="C621" s="2"/>
      <c r="D621" s="2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9">
        <f t="shared" si="4"/>
        <v>0</v>
      </c>
      <c r="W621" s="1"/>
      <c r="X621" s="1"/>
      <c r="Y621" s="1"/>
      <c r="Z621" s="1"/>
      <c r="AA621" s="1"/>
    </row>
    <row r="622">
      <c r="A622" s="2"/>
      <c r="B622" s="2"/>
      <c r="C622" s="2"/>
      <c r="D622" s="2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9">
        <f t="shared" si="4"/>
        <v>0</v>
      </c>
      <c r="W622" s="1"/>
      <c r="X622" s="1"/>
      <c r="Y622" s="1"/>
      <c r="Z622" s="1"/>
      <c r="AA622" s="1"/>
    </row>
    <row r="623">
      <c r="A623" s="2"/>
      <c r="B623" s="2"/>
      <c r="C623" s="2"/>
      <c r="D623" s="2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9">
        <f t="shared" si="4"/>
        <v>0</v>
      </c>
      <c r="W623" s="1"/>
      <c r="X623" s="1"/>
      <c r="Y623" s="1"/>
      <c r="Z623" s="1"/>
      <c r="AA623" s="1"/>
    </row>
    <row r="624">
      <c r="A624" s="2"/>
      <c r="B624" s="2"/>
      <c r="C624" s="2"/>
      <c r="D624" s="2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9">
        <f t="shared" si="4"/>
        <v>0</v>
      </c>
      <c r="W624" s="1"/>
      <c r="X624" s="1"/>
      <c r="Y624" s="1"/>
      <c r="Z624" s="1"/>
      <c r="AA624" s="1"/>
    </row>
    <row r="625">
      <c r="A625" s="2"/>
      <c r="B625" s="2"/>
      <c r="C625" s="2"/>
      <c r="D625" s="2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9">
        <f t="shared" si="4"/>
        <v>0</v>
      </c>
      <c r="W625" s="1"/>
      <c r="X625" s="1"/>
      <c r="Y625" s="1"/>
      <c r="Z625" s="1"/>
      <c r="AA625" s="1"/>
    </row>
    <row r="626">
      <c r="A626" s="2"/>
      <c r="B626" s="2"/>
      <c r="C626" s="2"/>
      <c r="D626" s="2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9">
        <f t="shared" si="4"/>
        <v>0</v>
      </c>
      <c r="W626" s="1"/>
      <c r="X626" s="1"/>
      <c r="Y626" s="1"/>
      <c r="Z626" s="1"/>
      <c r="AA626" s="1"/>
    </row>
    <row r="627">
      <c r="A627" s="2"/>
      <c r="B627" s="2"/>
      <c r="C627" s="2"/>
      <c r="D627" s="2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9">
        <f t="shared" si="4"/>
        <v>0</v>
      </c>
      <c r="W627" s="1"/>
      <c r="X627" s="1"/>
      <c r="Y627" s="1"/>
      <c r="Z627" s="1"/>
      <c r="AA627" s="1"/>
    </row>
    <row r="628">
      <c r="A628" s="2"/>
      <c r="B628" s="2"/>
      <c r="C628" s="2"/>
      <c r="D628" s="2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9">
        <f t="shared" si="4"/>
        <v>0</v>
      </c>
      <c r="W628" s="1"/>
      <c r="X628" s="1"/>
      <c r="Y628" s="1"/>
      <c r="Z628" s="1"/>
      <c r="AA628" s="1"/>
    </row>
    <row r="629">
      <c r="A629" s="2"/>
      <c r="B629" s="2"/>
      <c r="C629" s="2"/>
      <c r="D629" s="2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9">
        <f t="shared" si="4"/>
        <v>0</v>
      </c>
      <c r="W629" s="1"/>
      <c r="X629" s="1"/>
      <c r="Y629" s="1"/>
      <c r="Z629" s="1"/>
      <c r="AA629" s="1"/>
    </row>
    <row r="630">
      <c r="A630" s="2"/>
      <c r="B630" s="2"/>
      <c r="C630" s="2"/>
      <c r="D630" s="2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9">
        <f t="shared" si="4"/>
        <v>0</v>
      </c>
      <c r="W630" s="1"/>
      <c r="X630" s="1"/>
      <c r="Y630" s="1"/>
      <c r="Z630" s="1"/>
      <c r="AA630" s="1"/>
    </row>
    <row r="631">
      <c r="A631" s="2"/>
      <c r="B631" s="2"/>
      <c r="C631" s="2"/>
      <c r="D631" s="2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9">
        <f t="shared" si="4"/>
        <v>0</v>
      </c>
      <c r="W631" s="1"/>
      <c r="X631" s="1"/>
      <c r="Y631" s="1"/>
      <c r="Z631" s="1"/>
      <c r="AA631" s="1"/>
    </row>
    <row r="632">
      <c r="A632" s="2"/>
      <c r="B632" s="2"/>
      <c r="C632" s="2"/>
      <c r="D632" s="2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9">
        <f t="shared" si="4"/>
        <v>0</v>
      </c>
      <c r="W632" s="1"/>
      <c r="X632" s="1"/>
      <c r="Y632" s="1"/>
      <c r="Z632" s="1"/>
      <c r="AA632" s="1"/>
    </row>
    <row r="633">
      <c r="A633" s="2"/>
      <c r="B633" s="2"/>
      <c r="C633" s="2"/>
      <c r="D633" s="2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9">
        <f t="shared" si="4"/>
        <v>0</v>
      </c>
      <c r="W633" s="1"/>
      <c r="X633" s="1"/>
      <c r="Y633" s="1"/>
      <c r="Z633" s="1"/>
      <c r="AA633" s="1"/>
    </row>
    <row r="634">
      <c r="A634" s="2"/>
      <c r="B634" s="2"/>
      <c r="C634" s="2"/>
      <c r="D634" s="2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9">
        <f t="shared" si="4"/>
        <v>0</v>
      </c>
      <c r="W634" s="1"/>
      <c r="X634" s="1"/>
      <c r="Y634" s="1"/>
      <c r="Z634" s="1"/>
      <c r="AA634" s="1"/>
    </row>
    <row r="635">
      <c r="A635" s="2"/>
      <c r="B635" s="2"/>
      <c r="C635" s="2"/>
      <c r="D635" s="2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9">
        <f t="shared" si="4"/>
        <v>0</v>
      </c>
      <c r="W635" s="1"/>
      <c r="X635" s="1"/>
      <c r="Y635" s="1"/>
      <c r="Z635" s="1"/>
      <c r="AA635" s="1"/>
    </row>
    <row r="636">
      <c r="A636" s="2"/>
      <c r="B636" s="2"/>
      <c r="C636" s="2"/>
      <c r="D636" s="2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9">
        <f t="shared" si="4"/>
        <v>0</v>
      </c>
      <c r="W636" s="1"/>
      <c r="X636" s="1"/>
      <c r="Y636" s="1"/>
      <c r="Z636" s="1"/>
      <c r="AA636" s="1"/>
    </row>
    <row r="637">
      <c r="A637" s="2"/>
      <c r="B637" s="2"/>
      <c r="C637" s="2"/>
      <c r="D637" s="2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9">
        <f t="shared" si="4"/>
        <v>0</v>
      </c>
      <c r="W637" s="1"/>
      <c r="X637" s="1"/>
      <c r="Y637" s="1"/>
      <c r="Z637" s="1"/>
      <c r="AA637" s="1"/>
    </row>
    <row r="638">
      <c r="A638" s="2"/>
      <c r="B638" s="2"/>
      <c r="C638" s="2"/>
      <c r="D638" s="2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9">
        <f t="shared" si="4"/>
        <v>0</v>
      </c>
      <c r="W638" s="1"/>
      <c r="X638" s="1"/>
      <c r="Y638" s="1"/>
      <c r="Z638" s="1"/>
      <c r="AA638" s="1"/>
    </row>
    <row r="639">
      <c r="A639" s="2"/>
      <c r="B639" s="2"/>
      <c r="C639" s="2"/>
      <c r="D639" s="2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9">
        <f t="shared" si="4"/>
        <v>0</v>
      </c>
      <c r="W639" s="1"/>
      <c r="X639" s="1"/>
      <c r="Y639" s="1"/>
      <c r="Z639" s="1"/>
      <c r="AA639" s="1"/>
    </row>
    <row r="640">
      <c r="A640" s="2"/>
      <c r="B640" s="2"/>
      <c r="C640" s="2"/>
      <c r="D640" s="2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9">
        <f t="shared" si="4"/>
        <v>0</v>
      </c>
      <c r="W640" s="1"/>
      <c r="X640" s="1"/>
      <c r="Y640" s="1"/>
      <c r="Z640" s="1"/>
      <c r="AA640" s="1"/>
    </row>
    <row r="641">
      <c r="A641" s="2"/>
      <c r="B641" s="2"/>
      <c r="C641" s="2"/>
      <c r="D641" s="2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9">
        <f t="shared" si="4"/>
        <v>0</v>
      </c>
      <c r="W641" s="1"/>
      <c r="X641" s="1"/>
      <c r="Y641" s="1"/>
      <c r="Z641" s="1"/>
      <c r="AA641" s="1"/>
    </row>
    <row r="642">
      <c r="A642" s="2"/>
      <c r="B642" s="2"/>
      <c r="C642" s="2"/>
      <c r="D642" s="2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9">
        <f t="shared" si="4"/>
        <v>0</v>
      </c>
      <c r="W642" s="1"/>
      <c r="X642" s="1"/>
      <c r="Y642" s="1"/>
      <c r="Z642" s="1"/>
      <c r="AA642" s="1"/>
    </row>
    <row r="643">
      <c r="A643" s="2"/>
      <c r="B643" s="2"/>
      <c r="C643" s="2"/>
      <c r="D643" s="2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9">
        <f t="shared" si="4"/>
        <v>0</v>
      </c>
      <c r="W643" s="1"/>
      <c r="X643" s="1"/>
      <c r="Y643" s="1"/>
      <c r="Z643" s="1"/>
      <c r="AA643" s="1"/>
    </row>
    <row r="644">
      <c r="A644" s="2"/>
      <c r="B644" s="2"/>
      <c r="C644" s="2"/>
      <c r="D644" s="2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9">
        <f t="shared" si="4"/>
        <v>0</v>
      </c>
      <c r="W644" s="1"/>
      <c r="X644" s="1"/>
      <c r="Y644" s="1"/>
      <c r="Z644" s="1"/>
      <c r="AA644" s="1"/>
    </row>
    <row r="645">
      <c r="A645" s="2"/>
      <c r="B645" s="2"/>
      <c r="C645" s="2"/>
      <c r="D645" s="2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9">
        <f t="shared" si="4"/>
        <v>0</v>
      </c>
      <c r="W645" s="1"/>
      <c r="X645" s="1"/>
      <c r="Y645" s="1"/>
      <c r="Z645" s="1"/>
      <c r="AA645" s="1"/>
    </row>
    <row r="646">
      <c r="A646" s="2"/>
      <c r="B646" s="2"/>
      <c r="C646" s="2"/>
      <c r="D646" s="2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9">
        <f t="shared" si="4"/>
        <v>0</v>
      </c>
      <c r="W646" s="1"/>
      <c r="X646" s="1"/>
      <c r="Y646" s="1"/>
      <c r="Z646" s="1"/>
      <c r="AA646" s="1"/>
    </row>
    <row r="647">
      <c r="A647" s="2"/>
      <c r="B647" s="2"/>
      <c r="C647" s="2"/>
      <c r="D647" s="2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9">
        <f t="shared" si="4"/>
        <v>0</v>
      </c>
      <c r="W647" s="1"/>
      <c r="X647" s="1"/>
      <c r="Y647" s="1"/>
      <c r="Z647" s="1"/>
      <c r="AA647" s="1"/>
    </row>
    <row r="648">
      <c r="A648" s="2"/>
      <c r="B648" s="2"/>
      <c r="C648" s="2"/>
      <c r="D648" s="2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9">
        <f t="shared" si="4"/>
        <v>0</v>
      </c>
      <c r="W648" s="1"/>
      <c r="X648" s="1"/>
      <c r="Y648" s="1"/>
      <c r="Z648" s="1"/>
      <c r="AA648" s="1"/>
    </row>
    <row r="649">
      <c r="A649" s="2"/>
      <c r="B649" s="2"/>
      <c r="C649" s="2"/>
      <c r="D649" s="2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9">
        <f t="shared" si="4"/>
        <v>0</v>
      </c>
      <c r="W649" s="1"/>
      <c r="X649" s="1"/>
      <c r="Y649" s="1"/>
      <c r="Z649" s="1"/>
      <c r="AA649" s="1"/>
    </row>
    <row r="650">
      <c r="A650" s="2"/>
      <c r="B650" s="2"/>
      <c r="C650" s="2"/>
      <c r="D650" s="2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9">
        <f t="shared" si="4"/>
        <v>0</v>
      </c>
      <c r="W650" s="1"/>
      <c r="X650" s="1"/>
      <c r="Y650" s="1"/>
      <c r="Z650" s="1"/>
      <c r="AA650" s="1"/>
    </row>
    <row r="651">
      <c r="A651" s="2"/>
      <c r="B651" s="2"/>
      <c r="C651" s="2"/>
      <c r="D651" s="2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9">
        <f t="shared" si="4"/>
        <v>0</v>
      </c>
      <c r="W651" s="1"/>
      <c r="X651" s="1"/>
      <c r="Y651" s="1"/>
      <c r="Z651" s="1"/>
      <c r="AA651" s="1"/>
    </row>
    <row r="652">
      <c r="A652" s="2"/>
      <c r="B652" s="2"/>
      <c r="C652" s="2"/>
      <c r="D652" s="2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9">
        <f t="shared" si="4"/>
        <v>0</v>
      </c>
      <c r="W652" s="1"/>
      <c r="X652" s="1"/>
      <c r="Y652" s="1"/>
      <c r="Z652" s="1"/>
      <c r="AA652" s="1"/>
    </row>
    <row r="653">
      <c r="A653" s="2"/>
      <c r="B653" s="2"/>
      <c r="C653" s="2"/>
      <c r="D653" s="2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9">
        <f t="shared" si="4"/>
        <v>0</v>
      </c>
      <c r="W653" s="1"/>
      <c r="X653" s="1"/>
      <c r="Y653" s="1"/>
      <c r="Z653" s="1"/>
      <c r="AA653" s="1"/>
    </row>
    <row r="654">
      <c r="A654" s="2"/>
      <c r="B654" s="2"/>
      <c r="C654" s="2"/>
      <c r="D654" s="2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9">
        <f t="shared" si="4"/>
        <v>0</v>
      </c>
      <c r="W654" s="1"/>
      <c r="X654" s="1"/>
      <c r="Y654" s="1"/>
      <c r="Z654" s="1"/>
      <c r="AA654" s="1"/>
    </row>
    <row r="655">
      <c r="A655" s="2"/>
      <c r="B655" s="2"/>
      <c r="C655" s="2"/>
      <c r="D655" s="2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9">
        <f t="shared" si="4"/>
        <v>0</v>
      </c>
      <c r="W655" s="1"/>
      <c r="X655" s="1"/>
      <c r="Y655" s="1"/>
      <c r="Z655" s="1"/>
      <c r="AA655" s="1"/>
    </row>
    <row r="656">
      <c r="A656" s="2"/>
      <c r="B656" s="2"/>
      <c r="C656" s="2"/>
      <c r="D656" s="2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9">
        <f t="shared" si="4"/>
        <v>0</v>
      </c>
      <c r="W656" s="1"/>
      <c r="X656" s="1"/>
      <c r="Y656" s="1"/>
      <c r="Z656" s="1"/>
      <c r="AA656" s="1"/>
    </row>
    <row r="657">
      <c r="A657" s="2"/>
      <c r="B657" s="2"/>
      <c r="C657" s="2"/>
      <c r="D657" s="2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9">
        <f t="shared" si="4"/>
        <v>0</v>
      </c>
      <c r="W657" s="1"/>
      <c r="X657" s="1"/>
      <c r="Y657" s="1"/>
      <c r="Z657" s="1"/>
      <c r="AA657" s="1"/>
    </row>
    <row r="658">
      <c r="A658" s="2"/>
      <c r="B658" s="2"/>
      <c r="C658" s="2"/>
      <c r="D658" s="2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9">
        <f t="shared" si="4"/>
        <v>0</v>
      </c>
      <c r="W658" s="1"/>
      <c r="X658" s="1"/>
      <c r="Y658" s="1"/>
      <c r="Z658" s="1"/>
      <c r="AA658" s="1"/>
    </row>
    <row r="659">
      <c r="A659" s="2"/>
      <c r="B659" s="2"/>
      <c r="C659" s="2"/>
      <c r="D659" s="2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9">
        <f t="shared" si="4"/>
        <v>0</v>
      </c>
      <c r="W659" s="1"/>
      <c r="X659" s="1"/>
      <c r="Y659" s="1"/>
      <c r="Z659" s="1"/>
      <c r="AA659" s="1"/>
    </row>
    <row r="660">
      <c r="A660" s="2"/>
      <c r="B660" s="2"/>
      <c r="C660" s="2"/>
      <c r="D660" s="2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9">
        <f t="shared" si="4"/>
        <v>0</v>
      </c>
      <c r="W660" s="1"/>
      <c r="X660" s="1"/>
      <c r="Y660" s="1"/>
      <c r="Z660" s="1"/>
      <c r="AA660" s="1"/>
    </row>
    <row r="661">
      <c r="A661" s="2"/>
      <c r="B661" s="2"/>
      <c r="C661" s="2"/>
      <c r="D661" s="2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9">
        <f t="shared" si="4"/>
        <v>0</v>
      </c>
      <c r="W661" s="1"/>
      <c r="X661" s="1"/>
      <c r="Y661" s="1"/>
      <c r="Z661" s="1"/>
      <c r="AA661" s="1"/>
    </row>
    <row r="662">
      <c r="A662" s="2"/>
      <c r="B662" s="2"/>
      <c r="C662" s="2"/>
      <c r="D662" s="2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9">
        <f t="shared" si="4"/>
        <v>0</v>
      </c>
      <c r="W662" s="1"/>
      <c r="X662" s="1"/>
      <c r="Y662" s="1"/>
      <c r="Z662" s="1"/>
      <c r="AA662" s="1"/>
    </row>
    <row r="663">
      <c r="A663" s="2"/>
      <c r="B663" s="2"/>
      <c r="C663" s="2"/>
      <c r="D663" s="2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9">
        <f t="shared" si="4"/>
        <v>0</v>
      </c>
      <c r="W663" s="1"/>
      <c r="X663" s="1"/>
      <c r="Y663" s="1"/>
      <c r="Z663" s="1"/>
      <c r="AA663" s="1"/>
    </row>
    <row r="664">
      <c r="A664" s="2"/>
      <c r="B664" s="2"/>
      <c r="C664" s="2"/>
      <c r="D664" s="2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9">
        <f t="shared" si="4"/>
        <v>0</v>
      </c>
      <c r="W664" s="1"/>
      <c r="X664" s="1"/>
      <c r="Y664" s="1"/>
      <c r="Z664" s="1"/>
      <c r="AA664" s="1"/>
    </row>
    <row r="665">
      <c r="A665" s="2"/>
      <c r="B665" s="2"/>
      <c r="C665" s="2"/>
      <c r="D665" s="2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9">
        <f t="shared" si="4"/>
        <v>0</v>
      </c>
      <c r="W665" s="1"/>
      <c r="X665" s="1"/>
      <c r="Y665" s="1"/>
      <c r="Z665" s="1"/>
      <c r="AA665" s="1"/>
    </row>
    <row r="666">
      <c r="A666" s="2"/>
      <c r="B666" s="2"/>
      <c r="C666" s="2"/>
      <c r="D666" s="2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9">
        <f t="shared" si="4"/>
        <v>0</v>
      </c>
      <c r="W666" s="1"/>
      <c r="X666" s="1"/>
      <c r="Y666" s="1"/>
      <c r="Z666" s="1"/>
      <c r="AA666" s="1"/>
    </row>
    <row r="667">
      <c r="A667" s="2"/>
      <c r="B667" s="2"/>
      <c r="C667" s="2"/>
      <c r="D667" s="2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9">
        <f t="shared" si="4"/>
        <v>0</v>
      </c>
      <c r="W667" s="1"/>
      <c r="X667" s="1"/>
      <c r="Y667" s="1"/>
      <c r="Z667" s="1"/>
      <c r="AA667" s="1"/>
    </row>
    <row r="668">
      <c r="A668" s="2"/>
      <c r="B668" s="2"/>
      <c r="C668" s="2"/>
      <c r="D668" s="2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9">
        <f t="shared" si="4"/>
        <v>0</v>
      </c>
      <c r="W668" s="1"/>
      <c r="X668" s="1"/>
      <c r="Y668" s="1"/>
      <c r="Z668" s="1"/>
      <c r="AA668" s="1"/>
    </row>
    <row r="669">
      <c r="A669" s="2"/>
      <c r="B669" s="2"/>
      <c r="C669" s="2"/>
      <c r="D669" s="2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9">
        <f t="shared" si="4"/>
        <v>0</v>
      </c>
      <c r="W669" s="1"/>
      <c r="X669" s="1"/>
      <c r="Y669" s="1"/>
      <c r="Z669" s="1"/>
      <c r="AA669" s="1"/>
    </row>
    <row r="670">
      <c r="A670" s="2"/>
      <c r="B670" s="2"/>
      <c r="C670" s="2"/>
      <c r="D670" s="2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9">
        <f t="shared" si="4"/>
        <v>0</v>
      </c>
      <c r="W670" s="1"/>
      <c r="X670" s="1"/>
      <c r="Y670" s="1"/>
      <c r="Z670" s="1"/>
      <c r="AA670" s="1"/>
    </row>
    <row r="671">
      <c r="A671" s="2"/>
      <c r="B671" s="2"/>
      <c r="C671" s="2"/>
      <c r="D671" s="2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9">
        <f t="shared" si="4"/>
        <v>0</v>
      </c>
      <c r="W671" s="1"/>
      <c r="X671" s="1"/>
      <c r="Y671" s="1"/>
      <c r="Z671" s="1"/>
      <c r="AA671" s="1"/>
    </row>
    <row r="672">
      <c r="A672" s="2"/>
      <c r="B672" s="2"/>
      <c r="C672" s="2"/>
      <c r="D672" s="2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9">
        <f t="shared" si="4"/>
        <v>0</v>
      </c>
      <c r="W672" s="1"/>
      <c r="X672" s="1"/>
      <c r="Y672" s="1"/>
      <c r="Z672" s="1"/>
      <c r="AA672" s="1"/>
    </row>
    <row r="673">
      <c r="A673" s="2"/>
      <c r="B673" s="2"/>
      <c r="C673" s="2"/>
      <c r="D673" s="2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9">
        <f t="shared" si="4"/>
        <v>0</v>
      </c>
      <c r="W673" s="1"/>
      <c r="X673" s="1"/>
      <c r="Y673" s="1"/>
      <c r="Z673" s="1"/>
      <c r="AA673" s="1"/>
    </row>
    <row r="674">
      <c r="A674" s="2"/>
      <c r="B674" s="2"/>
      <c r="C674" s="2"/>
      <c r="D674" s="2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9">
        <f t="shared" si="4"/>
        <v>0</v>
      </c>
      <c r="W674" s="1"/>
      <c r="X674" s="1"/>
      <c r="Y674" s="1"/>
      <c r="Z674" s="1"/>
      <c r="AA674" s="1"/>
    </row>
    <row r="675">
      <c r="A675" s="2"/>
      <c r="B675" s="2"/>
      <c r="C675" s="2"/>
      <c r="D675" s="2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9">
        <f t="shared" si="4"/>
        <v>0</v>
      </c>
      <c r="W675" s="1"/>
      <c r="X675" s="1"/>
      <c r="Y675" s="1"/>
      <c r="Z675" s="1"/>
      <c r="AA675" s="1"/>
    </row>
    <row r="676">
      <c r="A676" s="2"/>
      <c r="B676" s="2"/>
      <c r="C676" s="2"/>
      <c r="D676" s="2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9">
        <f t="shared" si="4"/>
        <v>0</v>
      </c>
      <c r="W676" s="1"/>
      <c r="X676" s="1"/>
      <c r="Y676" s="1"/>
      <c r="Z676" s="1"/>
      <c r="AA676" s="1"/>
    </row>
    <row r="677">
      <c r="A677" s="2"/>
      <c r="B677" s="2"/>
      <c r="C677" s="2"/>
      <c r="D677" s="2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9">
        <f t="shared" si="4"/>
        <v>0</v>
      </c>
      <c r="W677" s="1"/>
      <c r="X677" s="1"/>
      <c r="Y677" s="1"/>
      <c r="Z677" s="1"/>
      <c r="AA677" s="1"/>
    </row>
    <row r="678">
      <c r="A678" s="2"/>
      <c r="B678" s="2"/>
      <c r="C678" s="2"/>
      <c r="D678" s="2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9">
        <f t="shared" si="4"/>
        <v>0</v>
      </c>
      <c r="W678" s="1"/>
      <c r="X678" s="1"/>
      <c r="Y678" s="1"/>
      <c r="Z678" s="1"/>
      <c r="AA678" s="1"/>
    </row>
    <row r="679">
      <c r="A679" s="2"/>
      <c r="B679" s="2"/>
      <c r="C679" s="2"/>
      <c r="D679" s="2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9">
        <f t="shared" si="4"/>
        <v>0</v>
      </c>
      <c r="W679" s="1"/>
      <c r="X679" s="1"/>
      <c r="Y679" s="1"/>
      <c r="Z679" s="1"/>
      <c r="AA679" s="1"/>
    </row>
    <row r="680">
      <c r="A680" s="2"/>
      <c r="B680" s="2"/>
      <c r="C680" s="2"/>
      <c r="D680" s="2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9">
        <f t="shared" si="4"/>
        <v>0</v>
      </c>
      <c r="W680" s="1"/>
      <c r="X680" s="1"/>
      <c r="Y680" s="1"/>
      <c r="Z680" s="1"/>
      <c r="AA680" s="1"/>
    </row>
    <row r="681">
      <c r="A681" s="2"/>
      <c r="B681" s="2"/>
      <c r="C681" s="2"/>
      <c r="D681" s="2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9">
        <f t="shared" si="4"/>
        <v>0</v>
      </c>
      <c r="W681" s="1"/>
      <c r="X681" s="1"/>
      <c r="Y681" s="1"/>
      <c r="Z681" s="1"/>
      <c r="AA681" s="1"/>
    </row>
    <row r="682">
      <c r="A682" s="2"/>
      <c r="B682" s="2"/>
      <c r="C682" s="2"/>
      <c r="D682" s="2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9">
        <f t="shared" si="4"/>
        <v>0</v>
      </c>
      <c r="W682" s="1"/>
      <c r="X682" s="1"/>
      <c r="Y682" s="1"/>
      <c r="Z682" s="1"/>
      <c r="AA682" s="1"/>
    </row>
    <row r="683">
      <c r="A683" s="2"/>
      <c r="B683" s="2"/>
      <c r="C683" s="2"/>
      <c r="D683" s="2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9">
        <f t="shared" si="4"/>
        <v>0</v>
      </c>
      <c r="W683" s="1"/>
      <c r="X683" s="1"/>
      <c r="Y683" s="1"/>
      <c r="Z683" s="1"/>
      <c r="AA683" s="1"/>
    </row>
    <row r="684">
      <c r="A684" s="2"/>
      <c r="B684" s="2"/>
      <c r="C684" s="2"/>
      <c r="D684" s="2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9">
        <f t="shared" si="4"/>
        <v>0</v>
      </c>
      <c r="W684" s="1"/>
      <c r="X684" s="1"/>
      <c r="Y684" s="1"/>
      <c r="Z684" s="1"/>
      <c r="AA684" s="1"/>
    </row>
    <row r="685">
      <c r="A685" s="2"/>
      <c r="B685" s="2"/>
      <c r="C685" s="2"/>
      <c r="D685" s="2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9">
        <f t="shared" si="4"/>
        <v>0</v>
      </c>
      <c r="W685" s="1"/>
      <c r="X685" s="1"/>
      <c r="Y685" s="1"/>
      <c r="Z685" s="1"/>
      <c r="AA685" s="1"/>
    </row>
    <row r="686">
      <c r="A686" s="2"/>
      <c r="B686" s="2"/>
      <c r="C686" s="2"/>
      <c r="D686" s="2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9">
        <f t="shared" si="4"/>
        <v>0</v>
      </c>
      <c r="W686" s="1"/>
      <c r="X686" s="1"/>
      <c r="Y686" s="1"/>
      <c r="Z686" s="1"/>
      <c r="AA686" s="1"/>
    </row>
    <row r="687">
      <c r="A687" s="2"/>
      <c r="B687" s="2"/>
      <c r="C687" s="2"/>
      <c r="D687" s="2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9">
        <f t="shared" si="4"/>
        <v>0</v>
      </c>
      <c r="W687" s="1"/>
      <c r="X687" s="1"/>
      <c r="Y687" s="1"/>
      <c r="Z687" s="1"/>
      <c r="AA687" s="1"/>
    </row>
    <row r="688">
      <c r="A688" s="2"/>
      <c r="B688" s="2"/>
      <c r="C688" s="2"/>
      <c r="D688" s="2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9">
        <f t="shared" si="4"/>
        <v>0</v>
      </c>
      <c r="W688" s="1"/>
      <c r="X688" s="1"/>
      <c r="Y688" s="1"/>
      <c r="Z688" s="1"/>
      <c r="AA688" s="1"/>
    </row>
    <row r="689">
      <c r="A689" s="2"/>
      <c r="B689" s="2"/>
      <c r="C689" s="2"/>
      <c r="D689" s="2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9">
        <f t="shared" si="4"/>
        <v>0</v>
      </c>
      <c r="W689" s="1"/>
      <c r="X689" s="1"/>
      <c r="Y689" s="1"/>
      <c r="Z689" s="1"/>
      <c r="AA689" s="1"/>
    </row>
    <row r="690">
      <c r="A690" s="2"/>
      <c r="B690" s="2"/>
      <c r="C690" s="2"/>
      <c r="D690" s="2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9">
        <f t="shared" si="4"/>
        <v>0</v>
      </c>
      <c r="W690" s="1"/>
      <c r="X690" s="1"/>
      <c r="Y690" s="1"/>
      <c r="Z690" s="1"/>
      <c r="AA690" s="1"/>
    </row>
    <row r="691">
      <c r="A691" s="2"/>
      <c r="B691" s="2"/>
      <c r="C691" s="2"/>
      <c r="D691" s="2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9">
        <f t="shared" si="4"/>
        <v>0</v>
      </c>
      <c r="W691" s="1"/>
      <c r="X691" s="1"/>
      <c r="Y691" s="1"/>
      <c r="Z691" s="1"/>
      <c r="AA691" s="1"/>
    </row>
    <row r="692">
      <c r="A692" s="2"/>
      <c r="B692" s="2"/>
      <c r="C692" s="2"/>
      <c r="D692" s="2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9">
        <f t="shared" si="4"/>
        <v>0</v>
      </c>
      <c r="W692" s="1"/>
      <c r="X692" s="1"/>
      <c r="Y692" s="1"/>
      <c r="Z692" s="1"/>
      <c r="AA692" s="1"/>
    </row>
    <row r="693">
      <c r="A693" s="2"/>
      <c r="B693" s="2"/>
      <c r="C693" s="2"/>
      <c r="D693" s="2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9">
        <f t="shared" si="4"/>
        <v>0</v>
      </c>
      <c r="W693" s="1"/>
      <c r="X693" s="1"/>
      <c r="Y693" s="1"/>
      <c r="Z693" s="1"/>
      <c r="AA693" s="1"/>
    </row>
    <row r="694">
      <c r="A694" s="2"/>
      <c r="B694" s="2"/>
      <c r="C694" s="2"/>
      <c r="D694" s="2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9">
        <f t="shared" si="4"/>
        <v>0</v>
      </c>
      <c r="W694" s="1"/>
      <c r="X694" s="1"/>
      <c r="Y694" s="1"/>
      <c r="Z694" s="1"/>
      <c r="AA694" s="1"/>
    </row>
    <row r="695">
      <c r="A695" s="2"/>
      <c r="B695" s="2"/>
      <c r="C695" s="2"/>
      <c r="D695" s="2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9">
        <f t="shared" si="4"/>
        <v>0</v>
      </c>
      <c r="W695" s="1"/>
      <c r="X695" s="1"/>
      <c r="Y695" s="1"/>
      <c r="Z695" s="1"/>
      <c r="AA695" s="1"/>
    </row>
    <row r="696">
      <c r="A696" s="2"/>
      <c r="B696" s="2"/>
      <c r="C696" s="2"/>
      <c r="D696" s="2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9">
        <f t="shared" si="4"/>
        <v>0</v>
      </c>
      <c r="W696" s="1"/>
      <c r="X696" s="1"/>
      <c r="Y696" s="1"/>
      <c r="Z696" s="1"/>
      <c r="AA696" s="1"/>
    </row>
    <row r="697">
      <c r="A697" s="2"/>
      <c r="B697" s="2"/>
      <c r="C697" s="2"/>
      <c r="D697" s="2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9">
        <f t="shared" si="4"/>
        <v>0</v>
      </c>
      <c r="W697" s="1"/>
      <c r="X697" s="1"/>
      <c r="Y697" s="1"/>
      <c r="Z697" s="1"/>
      <c r="AA697" s="1"/>
    </row>
    <row r="698">
      <c r="A698" s="2"/>
      <c r="B698" s="2"/>
      <c r="C698" s="2"/>
      <c r="D698" s="2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9">
        <f t="shared" si="4"/>
        <v>0</v>
      </c>
      <c r="W698" s="1"/>
      <c r="X698" s="1"/>
      <c r="Y698" s="1"/>
      <c r="Z698" s="1"/>
      <c r="AA698" s="1"/>
    </row>
    <row r="699">
      <c r="A699" s="2"/>
      <c r="B699" s="2"/>
      <c r="C699" s="2"/>
      <c r="D699" s="2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9">
        <f t="shared" si="4"/>
        <v>0</v>
      </c>
      <c r="W699" s="1"/>
      <c r="X699" s="1"/>
      <c r="Y699" s="1"/>
      <c r="Z699" s="1"/>
      <c r="AA699" s="1"/>
    </row>
    <row r="700">
      <c r="A700" s="2"/>
      <c r="B700" s="2"/>
      <c r="C700" s="2"/>
      <c r="D700" s="2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9">
        <f t="shared" si="4"/>
        <v>0</v>
      </c>
      <c r="W700" s="1"/>
      <c r="X700" s="1"/>
      <c r="Y700" s="1"/>
      <c r="Z700" s="1"/>
      <c r="AA700" s="1"/>
    </row>
    <row r="701">
      <c r="A701" s="2"/>
      <c r="B701" s="2"/>
      <c r="C701" s="2"/>
      <c r="D701" s="2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9">
        <f t="shared" si="4"/>
        <v>0</v>
      </c>
      <c r="W701" s="1"/>
      <c r="X701" s="1"/>
      <c r="Y701" s="1"/>
      <c r="Z701" s="1"/>
      <c r="AA701" s="1"/>
    </row>
    <row r="702">
      <c r="A702" s="2"/>
      <c r="B702" s="2"/>
      <c r="C702" s="2"/>
      <c r="D702" s="2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9">
        <f t="shared" si="4"/>
        <v>0</v>
      </c>
      <c r="W702" s="1"/>
      <c r="X702" s="1"/>
      <c r="Y702" s="1"/>
      <c r="Z702" s="1"/>
      <c r="AA702" s="1"/>
    </row>
    <row r="703">
      <c r="A703" s="2"/>
      <c r="B703" s="2"/>
      <c r="C703" s="2"/>
      <c r="D703" s="2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9">
        <f t="shared" si="4"/>
        <v>0</v>
      </c>
      <c r="W703" s="1"/>
      <c r="X703" s="1"/>
      <c r="Y703" s="1"/>
      <c r="Z703" s="1"/>
      <c r="AA703" s="1"/>
    </row>
    <row r="704">
      <c r="A704" s="2"/>
      <c r="B704" s="2"/>
      <c r="C704" s="2"/>
      <c r="D704" s="2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9">
        <f t="shared" si="4"/>
        <v>0</v>
      </c>
      <c r="W704" s="1"/>
      <c r="X704" s="1"/>
      <c r="Y704" s="1"/>
      <c r="Z704" s="1"/>
      <c r="AA704" s="1"/>
    </row>
    <row r="705">
      <c r="A705" s="2"/>
      <c r="B705" s="2"/>
      <c r="C705" s="2"/>
      <c r="D705" s="2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9">
        <f t="shared" si="4"/>
        <v>0</v>
      </c>
      <c r="W705" s="1"/>
      <c r="X705" s="1"/>
      <c r="Y705" s="1"/>
      <c r="Z705" s="1"/>
      <c r="AA705" s="1"/>
    </row>
    <row r="706">
      <c r="A706" s="2"/>
      <c r="B706" s="2"/>
      <c r="C706" s="2"/>
      <c r="D706" s="2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9">
        <f t="shared" si="4"/>
        <v>0</v>
      </c>
      <c r="W706" s="1"/>
      <c r="X706" s="1"/>
      <c r="Y706" s="1"/>
      <c r="Z706" s="1"/>
      <c r="AA706" s="1"/>
    </row>
    <row r="707">
      <c r="A707" s="2"/>
      <c r="B707" s="2"/>
      <c r="C707" s="2"/>
      <c r="D707" s="2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9">
        <f t="shared" si="4"/>
        <v>0</v>
      </c>
      <c r="W707" s="1"/>
      <c r="X707" s="1"/>
      <c r="Y707" s="1"/>
      <c r="Z707" s="1"/>
      <c r="AA707" s="1"/>
    </row>
    <row r="708">
      <c r="A708" s="2"/>
      <c r="B708" s="2"/>
      <c r="C708" s="2"/>
      <c r="D708" s="2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9">
        <f t="shared" si="4"/>
        <v>0</v>
      </c>
      <c r="W708" s="1"/>
      <c r="X708" s="1"/>
      <c r="Y708" s="1"/>
      <c r="Z708" s="1"/>
      <c r="AA708" s="1"/>
    </row>
    <row r="709">
      <c r="A709" s="2"/>
      <c r="B709" s="2"/>
      <c r="C709" s="2"/>
      <c r="D709" s="2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9">
        <f t="shared" si="4"/>
        <v>0</v>
      </c>
      <c r="W709" s="1"/>
      <c r="X709" s="1"/>
      <c r="Y709" s="1"/>
      <c r="Z709" s="1"/>
      <c r="AA709" s="1"/>
    </row>
    <row r="710">
      <c r="A710" s="2"/>
      <c r="B710" s="2"/>
      <c r="C710" s="2"/>
      <c r="D710" s="2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9">
        <f t="shared" si="4"/>
        <v>0</v>
      </c>
      <c r="W710" s="1"/>
      <c r="X710" s="1"/>
      <c r="Y710" s="1"/>
      <c r="Z710" s="1"/>
      <c r="AA710" s="1"/>
    </row>
    <row r="711">
      <c r="A711" s="2"/>
      <c r="B711" s="2"/>
      <c r="C711" s="2"/>
      <c r="D711" s="2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9">
        <f t="shared" si="4"/>
        <v>0</v>
      </c>
      <c r="W711" s="1"/>
      <c r="X711" s="1"/>
      <c r="Y711" s="1"/>
      <c r="Z711" s="1"/>
      <c r="AA711" s="1"/>
    </row>
    <row r="712">
      <c r="A712" s="2"/>
      <c r="B712" s="2"/>
      <c r="C712" s="2"/>
      <c r="D712" s="2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9">
        <f t="shared" si="4"/>
        <v>0</v>
      </c>
      <c r="W712" s="1"/>
      <c r="X712" s="1"/>
      <c r="Y712" s="1"/>
      <c r="Z712" s="1"/>
      <c r="AA712" s="1"/>
    </row>
    <row r="713">
      <c r="A713" s="2"/>
      <c r="B713" s="2"/>
      <c r="C713" s="2"/>
      <c r="D713" s="2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9">
        <f t="shared" si="4"/>
        <v>0</v>
      </c>
      <c r="W713" s="1"/>
      <c r="X713" s="1"/>
      <c r="Y713" s="1"/>
      <c r="Z713" s="1"/>
      <c r="AA713" s="1"/>
    </row>
    <row r="714">
      <c r="A714" s="2"/>
      <c r="B714" s="2"/>
      <c r="C714" s="2"/>
      <c r="D714" s="2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9">
        <f t="shared" si="4"/>
        <v>0</v>
      </c>
      <c r="W714" s="1"/>
      <c r="X714" s="1"/>
      <c r="Y714" s="1"/>
      <c r="Z714" s="1"/>
      <c r="AA714" s="1"/>
    </row>
    <row r="715">
      <c r="A715" s="2"/>
      <c r="B715" s="2"/>
      <c r="C715" s="2"/>
      <c r="D715" s="2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9">
        <f t="shared" si="4"/>
        <v>0</v>
      </c>
      <c r="W715" s="1"/>
      <c r="X715" s="1"/>
      <c r="Y715" s="1"/>
      <c r="Z715" s="1"/>
      <c r="AA715" s="1"/>
    </row>
    <row r="716">
      <c r="A716" s="2"/>
      <c r="B716" s="2"/>
      <c r="C716" s="2"/>
      <c r="D716" s="2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9">
        <f t="shared" si="4"/>
        <v>0</v>
      </c>
      <c r="W716" s="1"/>
      <c r="X716" s="1"/>
      <c r="Y716" s="1"/>
      <c r="Z716" s="1"/>
      <c r="AA716" s="1"/>
    </row>
    <row r="717">
      <c r="A717" s="2"/>
      <c r="B717" s="2"/>
      <c r="C717" s="2"/>
      <c r="D717" s="2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9">
        <f t="shared" si="4"/>
        <v>0</v>
      </c>
      <c r="W717" s="1"/>
      <c r="X717" s="1"/>
      <c r="Y717" s="1"/>
      <c r="Z717" s="1"/>
      <c r="AA717" s="1"/>
    </row>
    <row r="718">
      <c r="A718" s="2"/>
      <c r="B718" s="2"/>
      <c r="C718" s="2"/>
      <c r="D718" s="2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9">
        <f t="shared" si="4"/>
        <v>0</v>
      </c>
      <c r="W718" s="1"/>
      <c r="X718" s="1"/>
      <c r="Y718" s="1"/>
      <c r="Z718" s="1"/>
      <c r="AA718" s="1"/>
    </row>
    <row r="719">
      <c r="A719" s="2"/>
      <c r="B719" s="2"/>
      <c r="C719" s="2"/>
      <c r="D719" s="2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9">
        <f t="shared" si="4"/>
        <v>0</v>
      </c>
      <c r="W719" s="1"/>
      <c r="X719" s="1"/>
      <c r="Y719" s="1"/>
      <c r="Z719" s="1"/>
      <c r="AA719" s="1"/>
    </row>
    <row r="720">
      <c r="A720" s="2"/>
      <c r="B720" s="2"/>
      <c r="C720" s="2"/>
      <c r="D720" s="2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9">
        <f t="shared" si="4"/>
        <v>0</v>
      </c>
      <c r="W720" s="1"/>
      <c r="X720" s="1"/>
      <c r="Y720" s="1"/>
      <c r="Z720" s="1"/>
      <c r="AA720" s="1"/>
    </row>
    <row r="721">
      <c r="A721" s="2"/>
      <c r="B721" s="2"/>
      <c r="C721" s="2"/>
      <c r="D721" s="2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9">
        <f t="shared" si="4"/>
        <v>0</v>
      </c>
      <c r="W721" s="1"/>
      <c r="X721" s="1"/>
      <c r="Y721" s="1"/>
      <c r="Z721" s="1"/>
      <c r="AA721" s="1"/>
    </row>
    <row r="722">
      <c r="A722" s="2"/>
      <c r="B722" s="2"/>
      <c r="C722" s="2"/>
      <c r="D722" s="2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9">
        <f t="shared" si="4"/>
        <v>0</v>
      </c>
      <c r="W722" s="1"/>
      <c r="X722" s="1"/>
      <c r="Y722" s="1"/>
      <c r="Z722" s="1"/>
      <c r="AA722" s="1"/>
    </row>
    <row r="723">
      <c r="A723" s="2"/>
      <c r="B723" s="2"/>
      <c r="C723" s="2"/>
      <c r="D723" s="2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9">
        <f t="shared" si="4"/>
        <v>0</v>
      </c>
      <c r="W723" s="1"/>
      <c r="X723" s="1"/>
      <c r="Y723" s="1"/>
      <c r="Z723" s="1"/>
      <c r="AA723" s="1"/>
    </row>
    <row r="724">
      <c r="A724" s="2"/>
      <c r="B724" s="2"/>
      <c r="C724" s="2"/>
      <c r="D724" s="2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9">
        <f t="shared" si="4"/>
        <v>0</v>
      </c>
      <c r="W724" s="1"/>
      <c r="X724" s="1"/>
      <c r="Y724" s="1"/>
      <c r="Z724" s="1"/>
      <c r="AA724" s="1"/>
    </row>
    <row r="725">
      <c r="A725" s="2"/>
      <c r="B725" s="2"/>
      <c r="C725" s="2"/>
      <c r="D725" s="2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9">
        <f t="shared" si="4"/>
        <v>0</v>
      </c>
      <c r="W725" s="1"/>
      <c r="X725" s="1"/>
      <c r="Y725" s="1"/>
      <c r="Z725" s="1"/>
      <c r="AA725" s="1"/>
    </row>
    <row r="726">
      <c r="A726" s="2"/>
      <c r="B726" s="2"/>
      <c r="C726" s="2"/>
      <c r="D726" s="2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9">
        <f t="shared" si="4"/>
        <v>0</v>
      </c>
      <c r="W726" s="1"/>
      <c r="X726" s="1"/>
      <c r="Y726" s="1"/>
      <c r="Z726" s="1"/>
      <c r="AA726" s="1"/>
    </row>
    <row r="727">
      <c r="A727" s="2"/>
      <c r="B727" s="2"/>
      <c r="C727" s="2"/>
      <c r="D727" s="2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9">
        <f t="shared" si="4"/>
        <v>0</v>
      </c>
      <c r="W727" s="1"/>
      <c r="X727" s="1"/>
      <c r="Y727" s="1"/>
      <c r="Z727" s="1"/>
      <c r="AA727" s="1"/>
    </row>
    <row r="728">
      <c r="A728" s="2"/>
      <c r="B728" s="2"/>
      <c r="C728" s="2"/>
      <c r="D728" s="2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9">
        <f t="shared" si="4"/>
        <v>0</v>
      </c>
      <c r="W728" s="1"/>
      <c r="X728" s="1"/>
      <c r="Y728" s="1"/>
      <c r="Z728" s="1"/>
      <c r="AA728" s="1"/>
    </row>
    <row r="729">
      <c r="A729" s="2"/>
      <c r="B729" s="2"/>
      <c r="C729" s="2"/>
      <c r="D729" s="2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9">
        <f t="shared" si="4"/>
        <v>0</v>
      </c>
      <c r="W729" s="1"/>
      <c r="X729" s="1"/>
      <c r="Y729" s="1"/>
      <c r="Z729" s="1"/>
      <c r="AA729" s="1"/>
    </row>
    <row r="730">
      <c r="A730" s="2"/>
      <c r="B730" s="2"/>
      <c r="C730" s="2"/>
      <c r="D730" s="2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9">
        <f t="shared" si="4"/>
        <v>0</v>
      </c>
      <c r="W730" s="1"/>
      <c r="X730" s="1"/>
      <c r="Y730" s="1"/>
      <c r="Z730" s="1"/>
      <c r="AA730" s="1"/>
    </row>
    <row r="731">
      <c r="A731" s="2"/>
      <c r="B731" s="2"/>
      <c r="C731" s="2"/>
      <c r="D731" s="2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9">
        <f t="shared" si="4"/>
        <v>0</v>
      </c>
      <c r="W731" s="1"/>
      <c r="X731" s="1"/>
      <c r="Y731" s="1"/>
      <c r="Z731" s="1"/>
      <c r="AA731" s="1"/>
    </row>
    <row r="732">
      <c r="A732" s="2"/>
      <c r="B732" s="2"/>
      <c r="C732" s="2"/>
      <c r="D732" s="2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9">
        <f t="shared" si="4"/>
        <v>0</v>
      </c>
      <c r="W732" s="1"/>
      <c r="X732" s="1"/>
      <c r="Y732" s="1"/>
      <c r="Z732" s="1"/>
      <c r="AA732" s="1"/>
    </row>
    <row r="733">
      <c r="A733" s="2"/>
      <c r="B733" s="2"/>
      <c r="C733" s="2"/>
      <c r="D733" s="2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9">
        <f t="shared" si="4"/>
        <v>0</v>
      </c>
      <c r="W733" s="1"/>
      <c r="X733" s="1"/>
      <c r="Y733" s="1"/>
      <c r="Z733" s="1"/>
      <c r="AA733" s="1"/>
    </row>
    <row r="734">
      <c r="A734" s="2"/>
      <c r="B734" s="2"/>
      <c r="C734" s="2"/>
      <c r="D734" s="2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9">
        <f t="shared" si="4"/>
        <v>0</v>
      </c>
      <c r="W734" s="1"/>
      <c r="X734" s="1"/>
      <c r="Y734" s="1"/>
      <c r="Z734" s="1"/>
      <c r="AA734" s="1"/>
    </row>
    <row r="735">
      <c r="A735" s="2"/>
      <c r="B735" s="2"/>
      <c r="C735" s="2"/>
      <c r="D735" s="2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9">
        <f t="shared" si="4"/>
        <v>0</v>
      </c>
      <c r="W735" s="1"/>
      <c r="X735" s="1"/>
      <c r="Y735" s="1"/>
      <c r="Z735" s="1"/>
      <c r="AA735" s="1"/>
    </row>
    <row r="736">
      <c r="A736" s="2"/>
      <c r="B736" s="2"/>
      <c r="C736" s="2"/>
      <c r="D736" s="2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9">
        <f t="shared" si="4"/>
        <v>0</v>
      </c>
      <c r="W736" s="1"/>
      <c r="X736" s="1"/>
      <c r="Y736" s="1"/>
      <c r="Z736" s="1"/>
      <c r="AA736" s="1"/>
    </row>
    <row r="737">
      <c r="A737" s="2"/>
      <c r="B737" s="2"/>
      <c r="C737" s="2"/>
      <c r="D737" s="2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9">
        <f t="shared" si="4"/>
        <v>0</v>
      </c>
      <c r="W737" s="1"/>
      <c r="X737" s="1"/>
      <c r="Y737" s="1"/>
      <c r="Z737" s="1"/>
      <c r="AA737" s="1"/>
    </row>
    <row r="738">
      <c r="A738" s="2"/>
      <c r="B738" s="2"/>
      <c r="C738" s="2"/>
      <c r="D738" s="2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9">
        <f t="shared" si="4"/>
        <v>0</v>
      </c>
      <c r="W738" s="1"/>
      <c r="X738" s="1"/>
      <c r="Y738" s="1"/>
      <c r="Z738" s="1"/>
      <c r="AA738" s="1"/>
    </row>
    <row r="739">
      <c r="A739" s="2"/>
      <c r="B739" s="2"/>
      <c r="C739" s="2"/>
      <c r="D739" s="2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9">
        <f t="shared" si="4"/>
        <v>0</v>
      </c>
      <c r="W739" s="1"/>
      <c r="X739" s="1"/>
      <c r="Y739" s="1"/>
      <c r="Z739" s="1"/>
      <c r="AA739" s="1"/>
    </row>
    <row r="740">
      <c r="A740" s="2"/>
      <c r="B740" s="2"/>
      <c r="C740" s="2"/>
      <c r="D740" s="2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9">
        <f t="shared" si="4"/>
        <v>0</v>
      </c>
      <c r="W740" s="1"/>
      <c r="X740" s="1"/>
      <c r="Y740" s="1"/>
      <c r="Z740" s="1"/>
      <c r="AA740" s="1"/>
    </row>
    <row r="741">
      <c r="A741" s="2"/>
      <c r="B741" s="2"/>
      <c r="C741" s="2"/>
      <c r="D741" s="2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9">
        <f t="shared" si="4"/>
        <v>0</v>
      </c>
      <c r="W741" s="1"/>
      <c r="X741" s="1"/>
      <c r="Y741" s="1"/>
      <c r="Z741" s="1"/>
      <c r="AA741" s="1"/>
    </row>
    <row r="742">
      <c r="A742" s="2"/>
      <c r="B742" s="2"/>
      <c r="C742" s="2"/>
      <c r="D742" s="2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9">
        <f t="shared" si="4"/>
        <v>0</v>
      </c>
      <c r="W742" s="1"/>
      <c r="X742" s="1"/>
      <c r="Y742" s="1"/>
      <c r="Z742" s="1"/>
      <c r="AA742" s="1"/>
    </row>
    <row r="743">
      <c r="A743" s="2"/>
      <c r="B743" s="2"/>
      <c r="C743" s="2"/>
      <c r="D743" s="2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9">
        <f t="shared" si="4"/>
        <v>0</v>
      </c>
      <c r="W743" s="1"/>
      <c r="X743" s="1"/>
      <c r="Y743" s="1"/>
      <c r="Z743" s="1"/>
      <c r="AA743" s="1"/>
    </row>
    <row r="744">
      <c r="A744" s="2"/>
      <c r="B744" s="2"/>
      <c r="C744" s="2"/>
      <c r="D744" s="2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9">
        <f t="shared" si="4"/>
        <v>0</v>
      </c>
      <c r="W744" s="1"/>
      <c r="X744" s="1"/>
      <c r="Y744" s="1"/>
      <c r="Z744" s="1"/>
      <c r="AA744" s="1"/>
    </row>
    <row r="745">
      <c r="A745" s="2"/>
      <c r="B745" s="2"/>
      <c r="C745" s="2"/>
      <c r="D745" s="2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9">
        <f t="shared" si="4"/>
        <v>0</v>
      </c>
      <c r="W745" s="1"/>
      <c r="X745" s="1"/>
      <c r="Y745" s="1"/>
      <c r="Z745" s="1"/>
      <c r="AA745" s="1"/>
    </row>
    <row r="746">
      <c r="A746" s="2"/>
      <c r="B746" s="2"/>
      <c r="C746" s="2"/>
      <c r="D746" s="2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9">
        <f t="shared" si="4"/>
        <v>0</v>
      </c>
      <c r="W746" s="1"/>
      <c r="X746" s="1"/>
      <c r="Y746" s="1"/>
      <c r="Z746" s="1"/>
      <c r="AA746" s="1"/>
    </row>
    <row r="747">
      <c r="A747" s="2"/>
      <c r="B747" s="2"/>
      <c r="C747" s="2"/>
      <c r="D747" s="2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9">
        <f t="shared" si="4"/>
        <v>0</v>
      </c>
      <c r="W747" s="1"/>
      <c r="X747" s="1"/>
      <c r="Y747" s="1"/>
      <c r="Z747" s="1"/>
      <c r="AA747" s="1"/>
    </row>
    <row r="748">
      <c r="A748" s="2"/>
      <c r="B748" s="2"/>
      <c r="C748" s="2"/>
      <c r="D748" s="2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9">
        <f t="shared" si="4"/>
        <v>0</v>
      </c>
      <c r="W748" s="1"/>
      <c r="X748" s="1"/>
      <c r="Y748" s="1"/>
      <c r="Z748" s="1"/>
      <c r="AA748" s="1"/>
    </row>
    <row r="749">
      <c r="A749" s="2"/>
      <c r="B749" s="2"/>
      <c r="C749" s="2"/>
      <c r="D749" s="2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9">
        <f t="shared" si="4"/>
        <v>0</v>
      </c>
      <c r="W749" s="1"/>
      <c r="X749" s="1"/>
      <c r="Y749" s="1"/>
      <c r="Z749" s="1"/>
      <c r="AA749" s="1"/>
    </row>
    <row r="750">
      <c r="A750" s="2"/>
      <c r="B750" s="2"/>
      <c r="C750" s="2"/>
      <c r="D750" s="2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9">
        <f t="shared" si="4"/>
        <v>0</v>
      </c>
      <c r="W750" s="1"/>
      <c r="X750" s="1"/>
      <c r="Y750" s="1"/>
      <c r="Z750" s="1"/>
      <c r="AA750" s="1"/>
    </row>
    <row r="751">
      <c r="A751" s="2"/>
      <c r="B751" s="2"/>
      <c r="C751" s="2"/>
      <c r="D751" s="2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9">
        <f t="shared" si="4"/>
        <v>0</v>
      </c>
      <c r="W751" s="1"/>
      <c r="X751" s="1"/>
      <c r="Y751" s="1"/>
      <c r="Z751" s="1"/>
      <c r="AA751" s="1"/>
    </row>
    <row r="752">
      <c r="A752" s="2"/>
      <c r="B752" s="2"/>
      <c r="C752" s="2"/>
      <c r="D752" s="2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9">
        <f t="shared" si="4"/>
        <v>0</v>
      </c>
      <c r="W752" s="1"/>
      <c r="X752" s="1"/>
      <c r="Y752" s="1"/>
      <c r="Z752" s="1"/>
      <c r="AA752" s="1"/>
    </row>
    <row r="753">
      <c r="A753" s="2"/>
      <c r="B753" s="2"/>
      <c r="C753" s="2"/>
      <c r="D753" s="2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9">
        <f t="shared" si="4"/>
        <v>0</v>
      </c>
      <c r="W753" s="1"/>
      <c r="X753" s="1"/>
      <c r="Y753" s="1"/>
      <c r="Z753" s="1"/>
      <c r="AA753" s="1"/>
    </row>
    <row r="754">
      <c r="A754" s="2"/>
      <c r="B754" s="2"/>
      <c r="C754" s="2"/>
      <c r="D754" s="2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9">
        <f t="shared" si="4"/>
        <v>0</v>
      </c>
      <c r="W754" s="1"/>
      <c r="X754" s="1"/>
      <c r="Y754" s="1"/>
      <c r="Z754" s="1"/>
      <c r="AA754" s="1"/>
    </row>
    <row r="755">
      <c r="A755" s="2"/>
      <c r="B755" s="2"/>
      <c r="C755" s="2"/>
      <c r="D755" s="2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9">
        <f t="shared" si="4"/>
        <v>0</v>
      </c>
      <c r="W755" s="1"/>
      <c r="X755" s="1"/>
      <c r="Y755" s="1"/>
      <c r="Z755" s="1"/>
      <c r="AA755" s="1"/>
    </row>
    <row r="756">
      <c r="A756" s="2"/>
      <c r="B756" s="2"/>
      <c r="C756" s="2"/>
      <c r="D756" s="2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9">
        <f t="shared" si="4"/>
        <v>0</v>
      </c>
      <c r="W756" s="1"/>
      <c r="X756" s="1"/>
      <c r="Y756" s="1"/>
      <c r="Z756" s="1"/>
      <c r="AA756" s="1"/>
    </row>
    <row r="757">
      <c r="A757" s="2"/>
      <c r="B757" s="2"/>
      <c r="C757" s="2"/>
      <c r="D757" s="2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9">
        <f t="shared" si="4"/>
        <v>0</v>
      </c>
      <c r="W757" s="1"/>
      <c r="X757" s="1"/>
      <c r="Y757" s="1"/>
      <c r="Z757" s="1"/>
      <c r="AA757" s="1"/>
    </row>
    <row r="758">
      <c r="A758" s="2"/>
      <c r="B758" s="2"/>
      <c r="C758" s="2"/>
      <c r="D758" s="2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9">
        <f t="shared" si="4"/>
        <v>0</v>
      </c>
      <c r="W758" s="1"/>
      <c r="X758" s="1"/>
      <c r="Y758" s="1"/>
      <c r="Z758" s="1"/>
      <c r="AA758" s="1"/>
    </row>
    <row r="759">
      <c r="A759" s="2"/>
      <c r="B759" s="2"/>
      <c r="C759" s="2"/>
      <c r="D759" s="2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9">
        <f t="shared" si="4"/>
        <v>0</v>
      </c>
      <c r="W759" s="1"/>
      <c r="X759" s="1"/>
      <c r="Y759" s="1"/>
      <c r="Z759" s="1"/>
      <c r="AA759" s="1"/>
    </row>
    <row r="760">
      <c r="A760" s="2"/>
      <c r="B760" s="2"/>
      <c r="C760" s="2"/>
      <c r="D760" s="2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9">
        <f t="shared" si="4"/>
        <v>0</v>
      </c>
      <c r="W760" s="1"/>
      <c r="X760" s="1"/>
      <c r="Y760" s="1"/>
      <c r="Z760" s="1"/>
      <c r="AA760" s="1"/>
    </row>
    <row r="761">
      <c r="A761" s="2"/>
      <c r="B761" s="2"/>
      <c r="C761" s="2"/>
      <c r="D761" s="2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9">
        <f t="shared" si="4"/>
        <v>0</v>
      </c>
      <c r="W761" s="1"/>
      <c r="X761" s="1"/>
      <c r="Y761" s="1"/>
      <c r="Z761" s="1"/>
      <c r="AA761" s="1"/>
    </row>
    <row r="762">
      <c r="A762" s="2"/>
      <c r="B762" s="2"/>
      <c r="C762" s="2"/>
      <c r="D762" s="2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9">
        <f t="shared" si="4"/>
        <v>0</v>
      </c>
      <c r="W762" s="1"/>
      <c r="X762" s="1"/>
      <c r="Y762" s="1"/>
      <c r="Z762" s="1"/>
      <c r="AA762" s="1"/>
    </row>
    <row r="763">
      <c r="A763" s="2"/>
      <c r="B763" s="2"/>
      <c r="C763" s="2"/>
      <c r="D763" s="2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9">
        <f t="shared" si="4"/>
        <v>0</v>
      </c>
      <c r="W763" s="1"/>
      <c r="X763" s="1"/>
      <c r="Y763" s="1"/>
      <c r="Z763" s="1"/>
      <c r="AA763" s="1"/>
    </row>
    <row r="764">
      <c r="A764" s="2"/>
      <c r="B764" s="2"/>
      <c r="C764" s="2"/>
      <c r="D764" s="2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9">
        <f t="shared" si="4"/>
        <v>0</v>
      </c>
      <c r="W764" s="1"/>
      <c r="X764" s="1"/>
      <c r="Y764" s="1"/>
      <c r="Z764" s="1"/>
      <c r="AA764" s="1"/>
    </row>
    <row r="765">
      <c r="A765" s="2"/>
      <c r="B765" s="2"/>
      <c r="C765" s="2"/>
      <c r="D765" s="2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9">
        <f t="shared" si="4"/>
        <v>0</v>
      </c>
      <c r="W765" s="1"/>
      <c r="X765" s="1"/>
      <c r="Y765" s="1"/>
      <c r="Z765" s="1"/>
      <c r="AA765" s="1"/>
    </row>
    <row r="766">
      <c r="A766" s="2"/>
      <c r="B766" s="2"/>
      <c r="C766" s="2"/>
      <c r="D766" s="2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9">
        <f t="shared" si="4"/>
        <v>0</v>
      </c>
      <c r="W766" s="1"/>
      <c r="X766" s="1"/>
      <c r="Y766" s="1"/>
      <c r="Z766" s="1"/>
      <c r="AA766" s="1"/>
    </row>
    <row r="767">
      <c r="A767" s="2"/>
      <c r="B767" s="2"/>
      <c r="C767" s="2"/>
      <c r="D767" s="2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9">
        <f t="shared" si="4"/>
        <v>0</v>
      </c>
      <c r="W767" s="1"/>
      <c r="X767" s="1"/>
      <c r="Y767" s="1"/>
      <c r="Z767" s="1"/>
      <c r="AA767" s="1"/>
    </row>
    <row r="768">
      <c r="A768" s="2"/>
      <c r="B768" s="2"/>
      <c r="C768" s="2"/>
      <c r="D768" s="2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9">
        <f t="shared" si="4"/>
        <v>0</v>
      </c>
      <c r="W768" s="1"/>
      <c r="X768" s="1"/>
      <c r="Y768" s="1"/>
      <c r="Z768" s="1"/>
      <c r="AA768" s="1"/>
    </row>
    <row r="769">
      <c r="A769" s="2"/>
      <c r="B769" s="2"/>
      <c r="C769" s="2"/>
      <c r="D769" s="2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9">
        <f t="shared" si="4"/>
        <v>0</v>
      </c>
      <c r="W769" s="1"/>
      <c r="X769" s="1"/>
      <c r="Y769" s="1"/>
      <c r="Z769" s="1"/>
      <c r="AA769" s="1"/>
    </row>
    <row r="770">
      <c r="A770" s="2"/>
      <c r="B770" s="2"/>
      <c r="C770" s="2"/>
      <c r="D770" s="2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9">
        <f t="shared" si="4"/>
        <v>0</v>
      </c>
      <c r="W770" s="1"/>
      <c r="X770" s="1"/>
      <c r="Y770" s="1"/>
      <c r="Z770" s="1"/>
      <c r="AA770" s="1"/>
    </row>
    <row r="771">
      <c r="A771" s="2"/>
      <c r="B771" s="2"/>
      <c r="C771" s="2"/>
      <c r="D771" s="2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9">
        <f t="shared" si="4"/>
        <v>0</v>
      </c>
      <c r="W771" s="1"/>
      <c r="X771" s="1"/>
      <c r="Y771" s="1"/>
      <c r="Z771" s="1"/>
      <c r="AA771" s="1"/>
    </row>
    <row r="772">
      <c r="A772" s="2"/>
      <c r="B772" s="2"/>
      <c r="C772" s="2"/>
      <c r="D772" s="2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9">
        <f t="shared" si="4"/>
        <v>0</v>
      </c>
      <c r="W772" s="1"/>
      <c r="X772" s="1"/>
      <c r="Y772" s="1"/>
      <c r="Z772" s="1"/>
      <c r="AA772" s="1"/>
    </row>
    <row r="773">
      <c r="A773" s="2"/>
      <c r="B773" s="2"/>
      <c r="C773" s="2"/>
      <c r="D773" s="2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9">
        <f t="shared" si="4"/>
        <v>0</v>
      </c>
      <c r="W773" s="1"/>
      <c r="X773" s="1"/>
      <c r="Y773" s="1"/>
      <c r="Z773" s="1"/>
      <c r="AA773" s="1"/>
    </row>
    <row r="774">
      <c r="A774" s="2"/>
      <c r="B774" s="2"/>
      <c r="C774" s="2"/>
      <c r="D774" s="2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9">
        <f t="shared" si="4"/>
        <v>0</v>
      </c>
      <c r="W774" s="1"/>
      <c r="X774" s="1"/>
      <c r="Y774" s="1"/>
      <c r="Z774" s="1"/>
      <c r="AA774" s="1"/>
    </row>
    <row r="775">
      <c r="A775" s="2"/>
      <c r="B775" s="2"/>
      <c r="C775" s="2"/>
      <c r="D775" s="2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9">
        <f t="shared" si="4"/>
        <v>0</v>
      </c>
      <c r="W775" s="1"/>
      <c r="X775" s="1"/>
      <c r="Y775" s="1"/>
      <c r="Z775" s="1"/>
      <c r="AA775" s="1"/>
    </row>
    <row r="776">
      <c r="A776" s="2"/>
      <c r="B776" s="2"/>
      <c r="C776" s="2"/>
      <c r="D776" s="2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9">
        <f t="shared" si="4"/>
        <v>0</v>
      </c>
      <c r="W776" s="1"/>
      <c r="X776" s="1"/>
      <c r="Y776" s="1"/>
      <c r="Z776" s="1"/>
      <c r="AA776" s="1"/>
    </row>
    <row r="777">
      <c r="A777" s="2"/>
      <c r="B777" s="2"/>
      <c r="C777" s="2"/>
      <c r="D777" s="2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9">
        <f t="shared" si="4"/>
        <v>0</v>
      </c>
      <c r="W777" s="1"/>
      <c r="X777" s="1"/>
      <c r="Y777" s="1"/>
      <c r="Z777" s="1"/>
      <c r="AA777" s="1"/>
    </row>
    <row r="778">
      <c r="A778" s="2"/>
      <c r="B778" s="2"/>
      <c r="C778" s="2"/>
      <c r="D778" s="2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9">
        <f t="shared" si="4"/>
        <v>0</v>
      </c>
      <c r="W778" s="1"/>
      <c r="X778" s="1"/>
      <c r="Y778" s="1"/>
      <c r="Z778" s="1"/>
      <c r="AA778" s="1"/>
    </row>
    <row r="779">
      <c r="A779" s="2"/>
      <c r="B779" s="2"/>
      <c r="C779" s="2"/>
      <c r="D779" s="2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9">
        <f t="shared" si="4"/>
        <v>0</v>
      </c>
      <c r="W779" s="1"/>
      <c r="X779" s="1"/>
      <c r="Y779" s="1"/>
      <c r="Z779" s="1"/>
      <c r="AA779" s="1"/>
    </row>
    <row r="780">
      <c r="A780" s="2"/>
      <c r="B780" s="2"/>
      <c r="C780" s="2"/>
      <c r="D780" s="2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9">
        <f t="shared" si="4"/>
        <v>0</v>
      </c>
      <c r="W780" s="1"/>
      <c r="X780" s="1"/>
      <c r="Y780" s="1"/>
      <c r="Z780" s="1"/>
      <c r="AA780" s="1"/>
    </row>
    <row r="781">
      <c r="A781" s="2"/>
      <c r="B781" s="2"/>
      <c r="C781" s="2"/>
      <c r="D781" s="2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9">
        <f t="shared" si="4"/>
        <v>0</v>
      </c>
      <c r="W781" s="1"/>
      <c r="X781" s="1"/>
      <c r="Y781" s="1"/>
      <c r="Z781" s="1"/>
      <c r="AA781" s="1"/>
    </row>
    <row r="782">
      <c r="A782" s="2"/>
      <c r="B782" s="2"/>
      <c r="C782" s="2"/>
      <c r="D782" s="2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9">
        <f t="shared" si="4"/>
        <v>0</v>
      </c>
      <c r="W782" s="1"/>
      <c r="X782" s="1"/>
      <c r="Y782" s="1"/>
      <c r="Z782" s="1"/>
      <c r="AA782" s="1"/>
    </row>
    <row r="783">
      <c r="A783" s="2"/>
      <c r="B783" s="2"/>
      <c r="C783" s="2"/>
      <c r="D783" s="2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9">
        <f t="shared" si="4"/>
        <v>0</v>
      </c>
      <c r="W783" s="1"/>
      <c r="X783" s="1"/>
      <c r="Y783" s="1"/>
      <c r="Z783" s="1"/>
      <c r="AA783" s="1"/>
    </row>
    <row r="784">
      <c r="A784" s="2"/>
      <c r="B784" s="2"/>
      <c r="C784" s="2"/>
      <c r="D784" s="2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9">
        <f t="shared" si="4"/>
        <v>0</v>
      </c>
      <c r="W784" s="1"/>
      <c r="X784" s="1"/>
      <c r="Y784" s="1"/>
      <c r="Z784" s="1"/>
      <c r="AA784" s="1"/>
    </row>
    <row r="785">
      <c r="A785" s="2"/>
      <c r="B785" s="2"/>
      <c r="C785" s="2"/>
      <c r="D785" s="2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9">
        <f t="shared" si="4"/>
        <v>0</v>
      </c>
      <c r="W785" s="1"/>
      <c r="X785" s="1"/>
      <c r="Y785" s="1"/>
      <c r="Z785" s="1"/>
      <c r="AA785" s="1"/>
    </row>
    <row r="786">
      <c r="A786" s="2"/>
      <c r="B786" s="2"/>
      <c r="C786" s="2"/>
      <c r="D786" s="2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9">
        <f t="shared" si="4"/>
        <v>0</v>
      </c>
      <c r="W786" s="1"/>
      <c r="X786" s="1"/>
      <c r="Y786" s="1"/>
      <c r="Z786" s="1"/>
      <c r="AA786" s="1"/>
    </row>
    <row r="787">
      <c r="A787" s="2"/>
      <c r="B787" s="2"/>
      <c r="C787" s="2"/>
      <c r="D787" s="2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9">
        <f t="shared" si="4"/>
        <v>0</v>
      </c>
      <c r="W787" s="1"/>
      <c r="X787" s="1"/>
      <c r="Y787" s="1"/>
      <c r="Z787" s="1"/>
      <c r="AA787" s="1"/>
    </row>
    <row r="788">
      <c r="A788" s="2"/>
      <c r="B788" s="2"/>
      <c r="C788" s="2"/>
      <c r="D788" s="2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9">
        <f t="shared" si="4"/>
        <v>0</v>
      </c>
      <c r="W788" s="1"/>
      <c r="X788" s="1"/>
      <c r="Y788" s="1"/>
      <c r="Z788" s="1"/>
      <c r="AA788" s="1"/>
    </row>
    <row r="789">
      <c r="A789" s="2"/>
      <c r="B789" s="2"/>
      <c r="C789" s="2"/>
      <c r="D789" s="2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9">
        <f t="shared" si="4"/>
        <v>0</v>
      </c>
      <c r="W789" s="1"/>
      <c r="X789" s="1"/>
      <c r="Y789" s="1"/>
      <c r="Z789" s="1"/>
      <c r="AA789" s="1"/>
    </row>
    <row r="790">
      <c r="A790" s="2"/>
      <c r="B790" s="2"/>
      <c r="C790" s="2"/>
      <c r="D790" s="2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9">
        <f t="shared" si="4"/>
        <v>0</v>
      </c>
      <c r="W790" s="1"/>
      <c r="X790" s="1"/>
      <c r="Y790" s="1"/>
      <c r="Z790" s="1"/>
      <c r="AA790" s="1"/>
    </row>
    <row r="791">
      <c r="A791" s="2"/>
      <c r="B791" s="2"/>
      <c r="C791" s="2"/>
      <c r="D791" s="2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9">
        <f t="shared" si="4"/>
        <v>0</v>
      </c>
      <c r="W791" s="1"/>
      <c r="X791" s="1"/>
      <c r="Y791" s="1"/>
      <c r="Z791" s="1"/>
      <c r="AA791" s="1"/>
    </row>
    <row r="792">
      <c r="A792" s="2"/>
      <c r="B792" s="2"/>
      <c r="C792" s="2"/>
      <c r="D792" s="2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9">
        <f t="shared" si="4"/>
        <v>0</v>
      </c>
      <c r="W792" s="1"/>
      <c r="X792" s="1"/>
      <c r="Y792" s="1"/>
      <c r="Z792" s="1"/>
      <c r="AA792" s="1"/>
    </row>
    <row r="793">
      <c r="A793" s="2"/>
      <c r="B793" s="2"/>
      <c r="C793" s="2"/>
      <c r="D793" s="2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9">
        <f t="shared" si="4"/>
        <v>0</v>
      </c>
      <c r="W793" s="1"/>
      <c r="X793" s="1"/>
      <c r="Y793" s="1"/>
      <c r="Z793" s="1"/>
      <c r="AA793" s="1"/>
    </row>
    <row r="794">
      <c r="A794" s="2"/>
      <c r="B794" s="2"/>
      <c r="C794" s="2"/>
      <c r="D794" s="2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9">
        <f t="shared" si="4"/>
        <v>0</v>
      </c>
      <c r="W794" s="1"/>
      <c r="X794" s="1"/>
      <c r="Y794" s="1"/>
      <c r="Z794" s="1"/>
      <c r="AA794" s="1"/>
    </row>
    <row r="795">
      <c r="A795" s="2"/>
      <c r="B795" s="2"/>
      <c r="C795" s="2"/>
      <c r="D795" s="2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9">
        <f t="shared" si="4"/>
        <v>0</v>
      </c>
      <c r="W795" s="1"/>
      <c r="X795" s="1"/>
      <c r="Y795" s="1"/>
      <c r="Z795" s="1"/>
      <c r="AA795" s="1"/>
    </row>
    <row r="796">
      <c r="A796" s="2"/>
      <c r="B796" s="2"/>
      <c r="C796" s="2"/>
      <c r="D796" s="2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9">
        <f t="shared" si="4"/>
        <v>0</v>
      </c>
      <c r="W796" s="1"/>
      <c r="X796" s="1"/>
      <c r="Y796" s="1"/>
      <c r="Z796" s="1"/>
      <c r="AA796" s="1"/>
    </row>
    <row r="797">
      <c r="A797" s="2"/>
      <c r="B797" s="2"/>
      <c r="C797" s="2"/>
      <c r="D797" s="2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9">
        <f t="shared" si="4"/>
        <v>0</v>
      </c>
      <c r="W797" s="1"/>
      <c r="X797" s="1"/>
      <c r="Y797" s="1"/>
      <c r="Z797" s="1"/>
      <c r="AA797" s="1"/>
    </row>
    <row r="798">
      <c r="A798" s="2"/>
      <c r="B798" s="2"/>
      <c r="C798" s="2"/>
      <c r="D798" s="2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9">
        <f t="shared" si="4"/>
        <v>0</v>
      </c>
      <c r="W798" s="1"/>
      <c r="X798" s="1"/>
      <c r="Y798" s="1"/>
      <c r="Z798" s="1"/>
      <c r="AA798" s="1"/>
    </row>
    <row r="799">
      <c r="A799" s="2"/>
      <c r="B799" s="2"/>
      <c r="C799" s="2"/>
      <c r="D799" s="2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9">
        <f t="shared" si="4"/>
        <v>0</v>
      </c>
      <c r="W799" s="1"/>
      <c r="X799" s="1"/>
      <c r="Y799" s="1"/>
      <c r="Z799" s="1"/>
      <c r="AA799" s="1"/>
    </row>
    <row r="800">
      <c r="A800" s="2"/>
      <c r="B800" s="2"/>
      <c r="C800" s="2"/>
      <c r="D800" s="2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9">
        <f t="shared" si="4"/>
        <v>0</v>
      </c>
      <c r="W800" s="1"/>
      <c r="X800" s="1"/>
      <c r="Y800" s="1"/>
      <c r="Z800" s="1"/>
      <c r="AA800" s="1"/>
    </row>
    <row r="801">
      <c r="A801" s="2"/>
      <c r="B801" s="2"/>
      <c r="C801" s="2"/>
      <c r="D801" s="2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9">
        <f t="shared" si="4"/>
        <v>0</v>
      </c>
      <c r="W801" s="1"/>
      <c r="X801" s="1"/>
      <c r="Y801" s="1"/>
      <c r="Z801" s="1"/>
      <c r="AA801" s="1"/>
    </row>
    <row r="802">
      <c r="A802" s="2"/>
      <c r="B802" s="2"/>
      <c r="C802" s="2"/>
      <c r="D802" s="2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9">
        <f t="shared" si="4"/>
        <v>0</v>
      </c>
      <c r="W802" s="1"/>
      <c r="X802" s="1"/>
      <c r="Y802" s="1"/>
      <c r="Z802" s="1"/>
      <c r="AA802" s="1"/>
    </row>
    <row r="803">
      <c r="A803" s="2"/>
      <c r="B803" s="2"/>
      <c r="C803" s="2"/>
      <c r="D803" s="2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9">
        <f t="shared" si="4"/>
        <v>0</v>
      </c>
      <c r="W803" s="1"/>
      <c r="X803" s="1"/>
      <c r="Y803" s="1"/>
      <c r="Z803" s="1"/>
      <c r="AA803" s="1"/>
    </row>
    <row r="804">
      <c r="A804" s="2"/>
      <c r="B804" s="2"/>
      <c r="C804" s="2"/>
      <c r="D804" s="2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9">
        <f t="shared" si="4"/>
        <v>0</v>
      </c>
      <c r="W804" s="1"/>
      <c r="X804" s="1"/>
      <c r="Y804" s="1"/>
      <c r="Z804" s="1"/>
      <c r="AA804" s="1"/>
    </row>
    <row r="805">
      <c r="A805" s="2"/>
      <c r="B805" s="2"/>
      <c r="C805" s="2"/>
      <c r="D805" s="2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9">
        <f t="shared" si="4"/>
        <v>0</v>
      </c>
      <c r="W805" s="1"/>
      <c r="X805" s="1"/>
      <c r="Y805" s="1"/>
      <c r="Z805" s="1"/>
      <c r="AA805" s="1"/>
    </row>
    <row r="806">
      <c r="A806" s="2"/>
      <c r="B806" s="2"/>
      <c r="C806" s="2"/>
      <c r="D806" s="2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9">
        <f t="shared" si="4"/>
        <v>0</v>
      </c>
      <c r="W806" s="1"/>
      <c r="X806" s="1"/>
      <c r="Y806" s="1"/>
      <c r="Z806" s="1"/>
      <c r="AA806" s="1"/>
    </row>
    <row r="807">
      <c r="A807" s="2"/>
      <c r="B807" s="2"/>
      <c r="C807" s="2"/>
      <c r="D807" s="2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9">
        <f t="shared" si="4"/>
        <v>0</v>
      </c>
      <c r="W807" s="1"/>
      <c r="X807" s="1"/>
      <c r="Y807" s="1"/>
      <c r="Z807" s="1"/>
      <c r="AA807" s="1"/>
    </row>
    <row r="808">
      <c r="A808" s="2"/>
      <c r="B808" s="2"/>
      <c r="C808" s="2"/>
      <c r="D808" s="2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9">
        <f t="shared" si="4"/>
        <v>0</v>
      </c>
      <c r="W808" s="1"/>
      <c r="X808" s="1"/>
      <c r="Y808" s="1"/>
      <c r="Z808" s="1"/>
      <c r="AA808" s="1"/>
    </row>
    <row r="809">
      <c r="A809" s="2"/>
      <c r="B809" s="2"/>
      <c r="C809" s="2"/>
      <c r="D809" s="2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9">
        <f t="shared" si="4"/>
        <v>0</v>
      </c>
      <c r="W809" s="1"/>
      <c r="X809" s="1"/>
      <c r="Y809" s="1"/>
      <c r="Z809" s="1"/>
      <c r="AA809" s="1"/>
    </row>
    <row r="810">
      <c r="A810" s="2"/>
      <c r="B810" s="2"/>
      <c r="C810" s="2"/>
      <c r="D810" s="2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9">
        <f t="shared" si="4"/>
        <v>0</v>
      </c>
      <c r="W810" s="1"/>
      <c r="X810" s="1"/>
      <c r="Y810" s="1"/>
      <c r="Z810" s="1"/>
      <c r="AA810" s="1"/>
    </row>
    <row r="811">
      <c r="A811" s="2"/>
      <c r="B811" s="2"/>
      <c r="C811" s="2"/>
      <c r="D811" s="2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9">
        <f t="shared" si="4"/>
        <v>0</v>
      </c>
      <c r="W811" s="1"/>
      <c r="X811" s="1"/>
      <c r="Y811" s="1"/>
      <c r="Z811" s="1"/>
      <c r="AA811" s="1"/>
    </row>
    <row r="812">
      <c r="A812" s="2"/>
      <c r="B812" s="2"/>
      <c r="C812" s="2"/>
      <c r="D812" s="2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9">
        <f t="shared" si="4"/>
        <v>0</v>
      </c>
      <c r="W812" s="1"/>
      <c r="X812" s="1"/>
      <c r="Y812" s="1"/>
      <c r="Z812" s="1"/>
      <c r="AA812" s="1"/>
    </row>
    <row r="813">
      <c r="A813" s="2"/>
      <c r="B813" s="2"/>
      <c r="C813" s="2"/>
      <c r="D813" s="2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9">
        <f t="shared" si="4"/>
        <v>0</v>
      </c>
      <c r="W813" s="1"/>
      <c r="X813" s="1"/>
      <c r="Y813" s="1"/>
      <c r="Z813" s="1"/>
      <c r="AA813" s="1"/>
    </row>
    <row r="814">
      <c r="A814" s="2"/>
      <c r="B814" s="2"/>
      <c r="C814" s="2"/>
      <c r="D814" s="2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9">
        <f t="shared" si="4"/>
        <v>0</v>
      </c>
      <c r="W814" s="1"/>
      <c r="X814" s="1"/>
      <c r="Y814" s="1"/>
      <c r="Z814" s="1"/>
      <c r="AA814" s="1"/>
    </row>
    <row r="815">
      <c r="A815" s="2"/>
      <c r="B815" s="2"/>
      <c r="C815" s="2"/>
      <c r="D815" s="2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9">
        <f t="shared" si="4"/>
        <v>0</v>
      </c>
      <c r="W815" s="1"/>
      <c r="X815" s="1"/>
      <c r="Y815" s="1"/>
      <c r="Z815" s="1"/>
      <c r="AA815" s="1"/>
    </row>
    <row r="816">
      <c r="A816" s="2"/>
      <c r="B816" s="2"/>
      <c r="C816" s="2"/>
      <c r="D816" s="2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9">
        <f t="shared" si="4"/>
        <v>0</v>
      </c>
      <c r="W816" s="1"/>
      <c r="X816" s="1"/>
      <c r="Y816" s="1"/>
      <c r="Z816" s="1"/>
      <c r="AA816" s="1"/>
    </row>
    <row r="817">
      <c r="A817" s="2"/>
      <c r="B817" s="2"/>
      <c r="C817" s="2"/>
      <c r="D817" s="2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9">
        <f t="shared" si="4"/>
        <v>0</v>
      </c>
      <c r="W817" s="1"/>
      <c r="X817" s="1"/>
      <c r="Y817" s="1"/>
      <c r="Z817" s="1"/>
      <c r="AA817" s="1"/>
    </row>
    <row r="818">
      <c r="A818" s="2"/>
      <c r="B818" s="2"/>
      <c r="C818" s="2"/>
      <c r="D818" s="2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9">
        <f t="shared" si="4"/>
        <v>0</v>
      </c>
      <c r="W818" s="1"/>
      <c r="X818" s="1"/>
      <c r="Y818" s="1"/>
      <c r="Z818" s="1"/>
      <c r="AA818" s="1"/>
    </row>
    <row r="819">
      <c r="A819" s="2"/>
      <c r="B819" s="2"/>
      <c r="C819" s="2"/>
      <c r="D819" s="2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9">
        <f t="shared" si="4"/>
        <v>0</v>
      </c>
      <c r="W819" s="1"/>
      <c r="X819" s="1"/>
      <c r="Y819" s="1"/>
      <c r="Z819" s="1"/>
      <c r="AA819" s="1"/>
    </row>
    <row r="820">
      <c r="A820" s="2"/>
      <c r="B820" s="2"/>
      <c r="C820" s="2"/>
      <c r="D820" s="2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9">
        <f t="shared" si="4"/>
        <v>0</v>
      </c>
      <c r="W820" s="1"/>
      <c r="X820" s="1"/>
      <c r="Y820" s="1"/>
      <c r="Z820" s="1"/>
      <c r="AA820" s="1"/>
    </row>
    <row r="821">
      <c r="A821" s="2"/>
      <c r="B821" s="2"/>
      <c r="C821" s="2"/>
      <c r="D821" s="2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9">
        <f t="shared" si="4"/>
        <v>0</v>
      </c>
      <c r="W821" s="1"/>
      <c r="X821" s="1"/>
      <c r="Y821" s="1"/>
      <c r="Z821" s="1"/>
      <c r="AA821" s="1"/>
    </row>
    <row r="822">
      <c r="A822" s="2"/>
      <c r="B822" s="2"/>
      <c r="C822" s="2"/>
      <c r="D822" s="2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9">
        <f t="shared" si="4"/>
        <v>0</v>
      </c>
      <c r="W822" s="1"/>
      <c r="X822" s="1"/>
      <c r="Y822" s="1"/>
      <c r="Z822" s="1"/>
      <c r="AA822" s="1"/>
    </row>
    <row r="823">
      <c r="A823" s="2"/>
      <c r="B823" s="2"/>
      <c r="C823" s="2"/>
      <c r="D823" s="2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9">
        <f t="shared" si="4"/>
        <v>0</v>
      </c>
      <c r="W823" s="1"/>
      <c r="X823" s="1"/>
      <c r="Y823" s="1"/>
      <c r="Z823" s="1"/>
      <c r="AA823" s="1"/>
    </row>
    <row r="824">
      <c r="A824" s="2"/>
      <c r="B824" s="2"/>
      <c r="C824" s="2"/>
      <c r="D824" s="2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9">
        <f t="shared" si="4"/>
        <v>0</v>
      </c>
      <c r="W824" s="1"/>
      <c r="X824" s="1"/>
      <c r="Y824" s="1"/>
      <c r="Z824" s="1"/>
      <c r="AA824" s="1"/>
    </row>
    <row r="825">
      <c r="A825" s="2"/>
      <c r="B825" s="2"/>
      <c r="C825" s="2"/>
      <c r="D825" s="2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9">
        <f t="shared" si="4"/>
        <v>0</v>
      </c>
      <c r="W825" s="1"/>
      <c r="X825" s="1"/>
      <c r="Y825" s="1"/>
      <c r="Z825" s="1"/>
      <c r="AA825" s="1"/>
    </row>
    <row r="826">
      <c r="A826" s="2"/>
      <c r="B826" s="2"/>
      <c r="C826" s="2"/>
      <c r="D826" s="2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9">
        <f t="shared" si="4"/>
        <v>0</v>
      </c>
      <c r="W826" s="1"/>
      <c r="X826" s="1"/>
      <c r="Y826" s="1"/>
      <c r="Z826" s="1"/>
      <c r="AA826" s="1"/>
    </row>
    <row r="827">
      <c r="A827" s="2"/>
      <c r="B827" s="2"/>
      <c r="C827" s="2"/>
      <c r="D827" s="2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9">
        <f t="shared" si="4"/>
        <v>0</v>
      </c>
      <c r="W827" s="1"/>
      <c r="X827" s="1"/>
      <c r="Y827" s="1"/>
      <c r="Z827" s="1"/>
      <c r="AA827" s="1"/>
    </row>
    <row r="828">
      <c r="A828" s="2"/>
      <c r="B828" s="2"/>
      <c r="C828" s="2"/>
      <c r="D828" s="2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9">
        <f t="shared" si="4"/>
        <v>0</v>
      </c>
      <c r="W828" s="1"/>
      <c r="X828" s="1"/>
      <c r="Y828" s="1"/>
      <c r="Z828" s="1"/>
      <c r="AA828" s="1"/>
    </row>
    <row r="829">
      <c r="A829" s="2"/>
      <c r="B829" s="2"/>
      <c r="C829" s="2"/>
      <c r="D829" s="2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9">
        <f t="shared" si="4"/>
        <v>0</v>
      </c>
      <c r="W829" s="1"/>
      <c r="X829" s="1"/>
      <c r="Y829" s="1"/>
      <c r="Z829" s="1"/>
      <c r="AA829" s="1"/>
    </row>
    <row r="830">
      <c r="A830" s="2"/>
      <c r="B830" s="2"/>
      <c r="C830" s="2"/>
      <c r="D830" s="2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9">
        <f t="shared" si="4"/>
        <v>0</v>
      </c>
      <c r="W830" s="1"/>
      <c r="X830" s="1"/>
      <c r="Y830" s="1"/>
      <c r="Z830" s="1"/>
      <c r="AA830" s="1"/>
    </row>
    <row r="831">
      <c r="A831" s="2"/>
      <c r="B831" s="2"/>
      <c r="C831" s="2"/>
      <c r="D831" s="2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9">
        <f t="shared" si="4"/>
        <v>0</v>
      </c>
      <c r="W831" s="1"/>
      <c r="X831" s="1"/>
      <c r="Y831" s="1"/>
      <c r="Z831" s="1"/>
      <c r="AA831" s="1"/>
    </row>
    <row r="832">
      <c r="A832" s="2"/>
      <c r="B832" s="2"/>
      <c r="C832" s="2"/>
      <c r="D832" s="2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9">
        <f t="shared" si="4"/>
        <v>0</v>
      </c>
      <c r="W832" s="1"/>
      <c r="X832" s="1"/>
      <c r="Y832" s="1"/>
      <c r="Z832" s="1"/>
      <c r="AA832" s="1"/>
    </row>
    <row r="833">
      <c r="A833" s="2"/>
      <c r="B833" s="2"/>
      <c r="C833" s="2"/>
      <c r="D833" s="2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9">
        <f t="shared" si="4"/>
        <v>0</v>
      </c>
      <c r="W833" s="1"/>
      <c r="X833" s="1"/>
      <c r="Y833" s="1"/>
      <c r="Z833" s="1"/>
      <c r="AA833" s="1"/>
    </row>
    <row r="834">
      <c r="A834" s="2"/>
      <c r="B834" s="2"/>
      <c r="C834" s="2"/>
      <c r="D834" s="2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9">
        <f t="shared" si="4"/>
        <v>0</v>
      </c>
      <c r="W834" s="1"/>
      <c r="X834" s="1"/>
      <c r="Y834" s="1"/>
      <c r="Z834" s="1"/>
      <c r="AA834" s="1"/>
    </row>
    <row r="835">
      <c r="A835" s="2"/>
      <c r="B835" s="2"/>
      <c r="C835" s="2"/>
      <c r="D835" s="2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9">
        <f t="shared" si="4"/>
        <v>0</v>
      </c>
      <c r="W835" s="1"/>
      <c r="X835" s="1"/>
      <c r="Y835" s="1"/>
      <c r="Z835" s="1"/>
      <c r="AA835" s="1"/>
    </row>
    <row r="836">
      <c r="A836" s="2"/>
      <c r="B836" s="2"/>
      <c r="C836" s="2"/>
      <c r="D836" s="2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9">
        <f t="shared" si="4"/>
        <v>0</v>
      </c>
      <c r="W836" s="1"/>
      <c r="X836" s="1"/>
      <c r="Y836" s="1"/>
      <c r="Z836" s="1"/>
      <c r="AA836" s="1"/>
    </row>
    <row r="837">
      <c r="A837" s="2"/>
      <c r="B837" s="2"/>
      <c r="C837" s="2"/>
      <c r="D837" s="2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9">
        <f t="shared" si="4"/>
        <v>0</v>
      </c>
      <c r="W837" s="1"/>
      <c r="X837" s="1"/>
      <c r="Y837" s="1"/>
      <c r="Z837" s="1"/>
      <c r="AA837" s="1"/>
    </row>
    <row r="838">
      <c r="A838" s="2"/>
      <c r="B838" s="2"/>
      <c r="C838" s="2"/>
      <c r="D838" s="2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9">
        <f t="shared" si="4"/>
        <v>0</v>
      </c>
      <c r="W838" s="1"/>
      <c r="X838" s="1"/>
      <c r="Y838" s="1"/>
      <c r="Z838" s="1"/>
      <c r="AA838" s="1"/>
    </row>
    <row r="839">
      <c r="A839" s="2"/>
      <c r="B839" s="2"/>
      <c r="C839" s="2"/>
      <c r="D839" s="2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9">
        <f t="shared" si="4"/>
        <v>0</v>
      </c>
      <c r="W839" s="1"/>
      <c r="X839" s="1"/>
      <c r="Y839" s="1"/>
      <c r="Z839" s="1"/>
      <c r="AA839" s="1"/>
    </row>
    <row r="840">
      <c r="A840" s="2"/>
      <c r="B840" s="2"/>
      <c r="C840" s="2"/>
      <c r="D840" s="2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9">
        <f t="shared" si="4"/>
        <v>0</v>
      </c>
      <c r="W840" s="1"/>
      <c r="X840" s="1"/>
      <c r="Y840" s="1"/>
      <c r="Z840" s="1"/>
      <c r="AA840" s="1"/>
    </row>
    <row r="841">
      <c r="A841" s="2"/>
      <c r="B841" s="2"/>
      <c r="C841" s="2"/>
      <c r="D841" s="2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9">
        <f t="shared" si="4"/>
        <v>0</v>
      </c>
      <c r="W841" s="1"/>
      <c r="X841" s="1"/>
      <c r="Y841" s="1"/>
      <c r="Z841" s="1"/>
      <c r="AA841" s="1"/>
    </row>
    <row r="842">
      <c r="A842" s="2"/>
      <c r="B842" s="2"/>
      <c r="C842" s="2"/>
      <c r="D842" s="2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9">
        <f t="shared" si="4"/>
        <v>0</v>
      </c>
      <c r="W842" s="1"/>
      <c r="X842" s="1"/>
      <c r="Y842" s="1"/>
      <c r="Z842" s="1"/>
      <c r="AA842" s="1"/>
    </row>
    <row r="843">
      <c r="A843" s="2"/>
      <c r="B843" s="2"/>
      <c r="C843" s="2"/>
      <c r="D843" s="2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9">
        <f t="shared" si="4"/>
        <v>0</v>
      </c>
      <c r="W843" s="1"/>
      <c r="X843" s="1"/>
      <c r="Y843" s="1"/>
      <c r="Z843" s="1"/>
      <c r="AA843" s="1"/>
    </row>
    <row r="844">
      <c r="A844" s="2"/>
      <c r="B844" s="2"/>
      <c r="C844" s="2"/>
      <c r="D844" s="2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9">
        <f t="shared" si="4"/>
        <v>0</v>
      </c>
      <c r="W844" s="1"/>
      <c r="X844" s="1"/>
      <c r="Y844" s="1"/>
      <c r="Z844" s="1"/>
      <c r="AA844" s="1"/>
    </row>
    <row r="845">
      <c r="A845" s="2"/>
      <c r="B845" s="2"/>
      <c r="C845" s="2"/>
      <c r="D845" s="2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9">
        <f t="shared" si="4"/>
        <v>0</v>
      </c>
      <c r="W845" s="1"/>
      <c r="X845" s="1"/>
      <c r="Y845" s="1"/>
      <c r="Z845" s="1"/>
      <c r="AA845" s="1"/>
    </row>
    <row r="846">
      <c r="A846" s="2"/>
      <c r="B846" s="2"/>
      <c r="C846" s="2"/>
      <c r="D846" s="2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9">
        <f t="shared" si="4"/>
        <v>0</v>
      </c>
      <c r="W846" s="1"/>
      <c r="X846" s="1"/>
      <c r="Y846" s="1"/>
      <c r="Z846" s="1"/>
      <c r="AA846" s="1"/>
    </row>
    <row r="847">
      <c r="A847" s="2"/>
      <c r="B847" s="2"/>
      <c r="C847" s="2"/>
      <c r="D847" s="2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9">
        <f t="shared" si="4"/>
        <v>0</v>
      </c>
      <c r="W847" s="1"/>
      <c r="X847" s="1"/>
      <c r="Y847" s="1"/>
      <c r="Z847" s="1"/>
      <c r="AA847" s="1"/>
    </row>
    <row r="848">
      <c r="A848" s="2"/>
      <c r="B848" s="2"/>
      <c r="C848" s="2"/>
      <c r="D848" s="2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9">
        <f t="shared" si="4"/>
        <v>0</v>
      </c>
      <c r="W848" s="1"/>
      <c r="X848" s="1"/>
      <c r="Y848" s="1"/>
      <c r="Z848" s="1"/>
      <c r="AA848" s="1"/>
    </row>
    <row r="849">
      <c r="A849" s="2"/>
      <c r="B849" s="2"/>
      <c r="C849" s="2"/>
      <c r="D849" s="2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9">
        <f t="shared" si="4"/>
        <v>0</v>
      </c>
      <c r="W849" s="1"/>
      <c r="X849" s="1"/>
      <c r="Y849" s="1"/>
      <c r="Z849" s="1"/>
      <c r="AA849" s="1"/>
    </row>
    <row r="850">
      <c r="A850" s="2"/>
      <c r="B850" s="2"/>
      <c r="C850" s="2"/>
      <c r="D850" s="2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9">
        <f t="shared" si="4"/>
        <v>0</v>
      </c>
      <c r="W850" s="1"/>
      <c r="X850" s="1"/>
      <c r="Y850" s="1"/>
      <c r="Z850" s="1"/>
      <c r="AA850" s="1"/>
    </row>
    <row r="851">
      <c r="A851" s="2"/>
      <c r="B851" s="2"/>
      <c r="C851" s="2"/>
      <c r="D851" s="2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9">
        <f t="shared" si="4"/>
        <v>0</v>
      </c>
      <c r="W851" s="1"/>
      <c r="X851" s="1"/>
      <c r="Y851" s="1"/>
      <c r="Z851" s="1"/>
      <c r="AA851" s="1"/>
    </row>
    <row r="852">
      <c r="A852" s="2"/>
      <c r="B852" s="2"/>
      <c r="C852" s="2"/>
      <c r="D852" s="2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9">
        <f t="shared" si="4"/>
        <v>0</v>
      </c>
      <c r="W852" s="1"/>
      <c r="X852" s="1"/>
      <c r="Y852" s="1"/>
      <c r="Z852" s="1"/>
      <c r="AA852" s="1"/>
    </row>
    <row r="853">
      <c r="A853" s="2"/>
      <c r="B853" s="2"/>
      <c r="C853" s="2"/>
      <c r="D853" s="2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9">
        <f t="shared" si="4"/>
        <v>0</v>
      </c>
      <c r="W853" s="1"/>
      <c r="X853" s="1"/>
      <c r="Y853" s="1"/>
      <c r="Z853" s="1"/>
      <c r="AA853" s="1"/>
    </row>
    <row r="854">
      <c r="A854" s="2"/>
      <c r="B854" s="2"/>
      <c r="C854" s="2"/>
      <c r="D854" s="2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9">
        <f t="shared" si="4"/>
        <v>0</v>
      </c>
      <c r="W854" s="1"/>
      <c r="X854" s="1"/>
      <c r="Y854" s="1"/>
      <c r="Z854" s="1"/>
      <c r="AA854" s="1"/>
    </row>
    <row r="855">
      <c r="A855" s="2"/>
      <c r="B855" s="2"/>
      <c r="C855" s="2"/>
      <c r="D855" s="2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9">
        <f t="shared" si="4"/>
        <v>0</v>
      </c>
      <c r="W855" s="1"/>
      <c r="X855" s="1"/>
      <c r="Y855" s="1"/>
      <c r="Z855" s="1"/>
      <c r="AA855" s="1"/>
    </row>
    <row r="856">
      <c r="A856" s="2"/>
      <c r="B856" s="2"/>
      <c r="C856" s="2"/>
      <c r="D856" s="2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9">
        <f t="shared" si="4"/>
        <v>0</v>
      </c>
      <c r="W856" s="1"/>
      <c r="X856" s="1"/>
      <c r="Y856" s="1"/>
      <c r="Z856" s="1"/>
      <c r="AA856" s="1"/>
    </row>
    <row r="857">
      <c r="A857" s="2"/>
      <c r="B857" s="2"/>
      <c r="C857" s="2"/>
      <c r="D857" s="2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9">
        <f t="shared" si="4"/>
        <v>0</v>
      </c>
      <c r="W857" s="1"/>
      <c r="X857" s="1"/>
      <c r="Y857" s="1"/>
      <c r="Z857" s="1"/>
      <c r="AA857" s="1"/>
    </row>
    <row r="858">
      <c r="A858" s="2"/>
      <c r="B858" s="2"/>
      <c r="C858" s="2"/>
      <c r="D858" s="2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9">
        <f t="shared" si="4"/>
        <v>0</v>
      </c>
      <c r="W858" s="1"/>
      <c r="X858" s="1"/>
      <c r="Y858" s="1"/>
      <c r="Z858" s="1"/>
      <c r="AA858" s="1"/>
    </row>
    <row r="859">
      <c r="A859" s="2"/>
      <c r="B859" s="2"/>
      <c r="C859" s="2"/>
      <c r="D859" s="2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9">
        <f t="shared" si="4"/>
        <v>0</v>
      </c>
      <c r="W859" s="1"/>
      <c r="X859" s="1"/>
      <c r="Y859" s="1"/>
      <c r="Z859" s="1"/>
      <c r="AA859" s="1"/>
    </row>
    <row r="860">
      <c r="A860" s="2"/>
      <c r="B860" s="2"/>
      <c r="C860" s="2"/>
      <c r="D860" s="2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9">
        <f t="shared" si="4"/>
        <v>0</v>
      </c>
      <c r="W860" s="1"/>
      <c r="X860" s="1"/>
      <c r="Y860" s="1"/>
      <c r="Z860" s="1"/>
      <c r="AA860" s="1"/>
    </row>
    <row r="861">
      <c r="A861" s="2"/>
      <c r="B861" s="2"/>
      <c r="C861" s="2"/>
      <c r="D861" s="2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9">
        <f t="shared" si="4"/>
        <v>0</v>
      </c>
      <c r="W861" s="1"/>
      <c r="X861" s="1"/>
      <c r="Y861" s="1"/>
      <c r="Z861" s="1"/>
      <c r="AA861" s="1"/>
    </row>
    <row r="862">
      <c r="A862" s="2"/>
      <c r="B862" s="2"/>
      <c r="C862" s="2"/>
      <c r="D862" s="2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9">
        <f t="shared" si="4"/>
        <v>0</v>
      </c>
      <c r="W862" s="1"/>
      <c r="X862" s="1"/>
      <c r="Y862" s="1"/>
      <c r="Z862" s="1"/>
      <c r="AA862" s="1"/>
    </row>
    <row r="863">
      <c r="A863" s="2"/>
      <c r="B863" s="2"/>
      <c r="C863" s="2"/>
      <c r="D863" s="2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9">
        <f t="shared" si="4"/>
        <v>0</v>
      </c>
      <c r="W863" s="1"/>
      <c r="X863" s="1"/>
      <c r="Y863" s="1"/>
      <c r="Z863" s="1"/>
      <c r="AA863" s="1"/>
    </row>
    <row r="864">
      <c r="A864" s="2"/>
      <c r="B864" s="2"/>
      <c r="C864" s="2"/>
      <c r="D864" s="2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9">
        <f t="shared" si="4"/>
        <v>0</v>
      </c>
      <c r="W864" s="1"/>
      <c r="X864" s="1"/>
      <c r="Y864" s="1"/>
      <c r="Z864" s="1"/>
      <c r="AA864" s="1"/>
    </row>
    <row r="865">
      <c r="A865" s="2"/>
      <c r="B865" s="2"/>
      <c r="C865" s="2"/>
      <c r="D865" s="2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9">
        <f t="shared" si="4"/>
        <v>0</v>
      </c>
      <c r="W865" s="1"/>
      <c r="X865" s="1"/>
      <c r="Y865" s="1"/>
      <c r="Z865" s="1"/>
      <c r="AA865" s="1"/>
    </row>
    <row r="866">
      <c r="A866" s="2"/>
      <c r="B866" s="2"/>
      <c r="C866" s="2"/>
      <c r="D866" s="2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9">
        <f t="shared" si="4"/>
        <v>0</v>
      </c>
      <c r="W866" s="1"/>
      <c r="X866" s="1"/>
      <c r="Y866" s="1"/>
      <c r="Z866" s="1"/>
      <c r="AA866" s="1"/>
    </row>
    <row r="867">
      <c r="A867" s="2"/>
      <c r="B867" s="2"/>
      <c r="C867" s="2"/>
      <c r="D867" s="2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9">
        <f t="shared" si="4"/>
        <v>0</v>
      </c>
      <c r="W867" s="1"/>
      <c r="X867" s="1"/>
      <c r="Y867" s="1"/>
      <c r="Z867" s="1"/>
      <c r="AA867" s="1"/>
    </row>
    <row r="868">
      <c r="A868" s="2"/>
      <c r="B868" s="2"/>
      <c r="C868" s="2"/>
      <c r="D868" s="2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9">
        <f t="shared" si="4"/>
        <v>0</v>
      </c>
      <c r="W868" s="1"/>
      <c r="X868" s="1"/>
      <c r="Y868" s="1"/>
      <c r="Z868" s="1"/>
      <c r="AA868" s="1"/>
    </row>
    <row r="869">
      <c r="A869" s="2"/>
      <c r="B869" s="2"/>
      <c r="C869" s="2"/>
      <c r="D869" s="2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9">
        <f t="shared" si="4"/>
        <v>0</v>
      </c>
      <c r="W869" s="1"/>
      <c r="X869" s="1"/>
      <c r="Y869" s="1"/>
      <c r="Z869" s="1"/>
      <c r="AA869" s="1"/>
    </row>
    <row r="870">
      <c r="A870" s="2"/>
      <c r="B870" s="2"/>
      <c r="C870" s="2"/>
      <c r="D870" s="2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9">
        <f t="shared" si="4"/>
        <v>0</v>
      </c>
      <c r="W870" s="1"/>
      <c r="X870" s="1"/>
      <c r="Y870" s="1"/>
      <c r="Z870" s="1"/>
      <c r="AA870" s="1"/>
    </row>
    <row r="871">
      <c r="A871" s="2"/>
      <c r="B871" s="2"/>
      <c r="C871" s="2"/>
      <c r="D871" s="2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9">
        <f t="shared" si="4"/>
        <v>0</v>
      </c>
      <c r="W871" s="1"/>
      <c r="X871" s="1"/>
      <c r="Y871" s="1"/>
      <c r="Z871" s="1"/>
      <c r="AA871" s="1"/>
    </row>
    <row r="872">
      <c r="A872" s="2"/>
      <c r="B872" s="2"/>
      <c r="C872" s="2"/>
      <c r="D872" s="2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9">
        <f t="shared" si="4"/>
        <v>0</v>
      </c>
      <c r="W872" s="1"/>
      <c r="X872" s="1"/>
      <c r="Y872" s="1"/>
      <c r="Z872" s="1"/>
      <c r="AA872" s="1"/>
    </row>
    <row r="873">
      <c r="A873" s="2"/>
      <c r="B873" s="2"/>
      <c r="C873" s="2"/>
      <c r="D873" s="2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9">
        <f t="shared" si="4"/>
        <v>0</v>
      </c>
      <c r="W873" s="1"/>
      <c r="X873" s="1"/>
      <c r="Y873" s="1"/>
      <c r="Z873" s="1"/>
      <c r="AA873" s="1"/>
    </row>
    <row r="874">
      <c r="A874" s="2"/>
      <c r="B874" s="2"/>
      <c r="C874" s="2"/>
      <c r="D874" s="2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9">
        <f t="shared" si="4"/>
        <v>0</v>
      </c>
      <c r="W874" s="1"/>
      <c r="X874" s="1"/>
      <c r="Y874" s="1"/>
      <c r="Z874" s="1"/>
      <c r="AA874" s="1"/>
    </row>
    <row r="875">
      <c r="A875" s="2"/>
      <c r="B875" s="2"/>
      <c r="C875" s="2"/>
      <c r="D875" s="2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9">
        <f t="shared" si="4"/>
        <v>0</v>
      </c>
      <c r="W875" s="1"/>
      <c r="X875" s="1"/>
      <c r="Y875" s="1"/>
      <c r="Z875" s="1"/>
      <c r="AA875" s="1"/>
    </row>
    <row r="876">
      <c r="A876" s="2"/>
      <c r="B876" s="2"/>
      <c r="C876" s="2"/>
      <c r="D876" s="2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9">
        <f t="shared" si="4"/>
        <v>0</v>
      </c>
      <c r="W876" s="1"/>
      <c r="X876" s="1"/>
      <c r="Y876" s="1"/>
      <c r="Z876" s="1"/>
      <c r="AA876" s="1"/>
    </row>
    <row r="877">
      <c r="A877" s="2"/>
      <c r="B877" s="2"/>
      <c r="C877" s="2"/>
      <c r="D877" s="2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9">
        <f t="shared" si="4"/>
        <v>0</v>
      </c>
      <c r="W877" s="1"/>
      <c r="X877" s="1"/>
      <c r="Y877" s="1"/>
      <c r="Z877" s="1"/>
      <c r="AA877" s="1"/>
    </row>
    <row r="878">
      <c r="A878" s="2"/>
      <c r="B878" s="2"/>
      <c r="C878" s="2"/>
      <c r="D878" s="2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9">
        <f t="shared" si="4"/>
        <v>0</v>
      </c>
      <c r="W878" s="1"/>
      <c r="X878" s="1"/>
      <c r="Y878" s="1"/>
      <c r="Z878" s="1"/>
      <c r="AA878" s="1"/>
    </row>
    <row r="879">
      <c r="A879" s="2"/>
      <c r="B879" s="2"/>
      <c r="C879" s="2"/>
      <c r="D879" s="2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9">
        <f t="shared" si="4"/>
        <v>0</v>
      </c>
      <c r="W879" s="1"/>
      <c r="X879" s="1"/>
      <c r="Y879" s="1"/>
      <c r="Z879" s="1"/>
      <c r="AA879" s="1"/>
    </row>
    <row r="880">
      <c r="A880" s="2"/>
      <c r="B880" s="2"/>
      <c r="C880" s="2"/>
      <c r="D880" s="2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9">
        <f t="shared" si="4"/>
        <v>0</v>
      </c>
      <c r="W880" s="1"/>
      <c r="X880" s="1"/>
      <c r="Y880" s="1"/>
      <c r="Z880" s="1"/>
      <c r="AA880" s="1"/>
    </row>
    <row r="881">
      <c r="A881" s="2"/>
      <c r="B881" s="2"/>
      <c r="C881" s="2"/>
      <c r="D881" s="2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9">
        <f t="shared" si="4"/>
        <v>0</v>
      </c>
      <c r="W881" s="1"/>
      <c r="X881" s="1"/>
      <c r="Y881" s="1"/>
      <c r="Z881" s="1"/>
      <c r="AA881" s="1"/>
    </row>
    <row r="882">
      <c r="A882" s="2"/>
      <c r="B882" s="2"/>
      <c r="C882" s="2"/>
      <c r="D882" s="2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9">
        <f t="shared" si="4"/>
        <v>0</v>
      </c>
      <c r="W882" s="1"/>
      <c r="X882" s="1"/>
      <c r="Y882" s="1"/>
      <c r="Z882" s="1"/>
      <c r="AA882" s="1"/>
    </row>
    <row r="883">
      <c r="A883" s="2"/>
      <c r="B883" s="2"/>
      <c r="C883" s="2"/>
      <c r="D883" s="2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9">
        <f t="shared" si="4"/>
        <v>0</v>
      </c>
      <c r="W883" s="1"/>
      <c r="X883" s="1"/>
      <c r="Y883" s="1"/>
      <c r="Z883" s="1"/>
      <c r="AA883" s="1"/>
    </row>
    <row r="884">
      <c r="A884" s="2"/>
      <c r="B884" s="2"/>
      <c r="C884" s="2"/>
      <c r="D884" s="2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9">
        <f t="shared" si="4"/>
        <v>0</v>
      </c>
      <c r="W884" s="1"/>
      <c r="X884" s="1"/>
      <c r="Y884" s="1"/>
      <c r="Z884" s="1"/>
      <c r="AA884" s="1"/>
    </row>
    <row r="885">
      <c r="A885" s="2"/>
      <c r="B885" s="2"/>
      <c r="C885" s="2"/>
      <c r="D885" s="2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9">
        <f t="shared" si="4"/>
        <v>0</v>
      </c>
      <c r="W885" s="1"/>
      <c r="X885" s="1"/>
      <c r="Y885" s="1"/>
      <c r="Z885" s="1"/>
      <c r="AA885" s="1"/>
    </row>
    <row r="886">
      <c r="A886" s="2"/>
      <c r="B886" s="2"/>
      <c r="C886" s="2"/>
      <c r="D886" s="2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9">
        <f t="shared" si="4"/>
        <v>0</v>
      </c>
      <c r="W886" s="1"/>
      <c r="X886" s="1"/>
      <c r="Y886" s="1"/>
      <c r="Z886" s="1"/>
      <c r="AA886" s="1"/>
    </row>
    <row r="887">
      <c r="A887" s="2"/>
      <c r="B887" s="2"/>
      <c r="C887" s="2"/>
      <c r="D887" s="2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9">
        <f t="shared" si="4"/>
        <v>0</v>
      </c>
      <c r="W887" s="1"/>
      <c r="X887" s="1"/>
      <c r="Y887" s="1"/>
      <c r="Z887" s="1"/>
      <c r="AA887" s="1"/>
    </row>
    <row r="888">
      <c r="A888" s="2"/>
      <c r="B888" s="2"/>
      <c r="C888" s="2"/>
      <c r="D888" s="2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9">
        <f t="shared" si="4"/>
        <v>0</v>
      </c>
      <c r="W888" s="1"/>
      <c r="X888" s="1"/>
      <c r="Y888" s="1"/>
      <c r="Z888" s="1"/>
      <c r="AA888" s="1"/>
    </row>
    <row r="889">
      <c r="A889" s="2"/>
      <c r="B889" s="2"/>
      <c r="C889" s="2"/>
      <c r="D889" s="2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9">
        <f t="shared" si="4"/>
        <v>0</v>
      </c>
      <c r="W889" s="1"/>
      <c r="X889" s="1"/>
      <c r="Y889" s="1"/>
      <c r="Z889" s="1"/>
      <c r="AA889" s="1"/>
    </row>
    <row r="890">
      <c r="A890" s="2"/>
      <c r="B890" s="2"/>
      <c r="C890" s="2"/>
      <c r="D890" s="2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9">
        <f t="shared" si="4"/>
        <v>0</v>
      </c>
      <c r="W890" s="1"/>
      <c r="X890" s="1"/>
      <c r="Y890" s="1"/>
      <c r="Z890" s="1"/>
      <c r="AA890" s="1"/>
    </row>
    <row r="891">
      <c r="A891" s="2"/>
      <c r="B891" s="2"/>
      <c r="C891" s="2"/>
      <c r="D891" s="2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9">
        <f t="shared" si="4"/>
        <v>0</v>
      </c>
      <c r="W891" s="1"/>
      <c r="X891" s="1"/>
      <c r="Y891" s="1"/>
      <c r="Z891" s="1"/>
      <c r="AA891" s="1"/>
    </row>
    <row r="892">
      <c r="A892" s="2"/>
      <c r="B892" s="2"/>
      <c r="C892" s="2"/>
      <c r="D892" s="2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9">
        <f t="shared" si="4"/>
        <v>0</v>
      </c>
      <c r="W892" s="1"/>
      <c r="X892" s="1"/>
      <c r="Y892" s="1"/>
      <c r="Z892" s="1"/>
      <c r="AA892" s="1"/>
    </row>
    <row r="893">
      <c r="A893" s="2"/>
      <c r="B893" s="2"/>
      <c r="C893" s="2"/>
      <c r="D893" s="2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9">
        <f t="shared" si="4"/>
        <v>0</v>
      </c>
      <c r="W893" s="1"/>
      <c r="X893" s="1"/>
      <c r="Y893" s="1"/>
      <c r="Z893" s="1"/>
      <c r="AA893" s="1"/>
    </row>
    <row r="894">
      <c r="A894" s="2"/>
      <c r="B894" s="2"/>
      <c r="C894" s="2"/>
      <c r="D894" s="2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9">
        <f t="shared" si="4"/>
        <v>0</v>
      </c>
      <c r="W894" s="1"/>
      <c r="X894" s="1"/>
      <c r="Y894" s="1"/>
      <c r="Z894" s="1"/>
      <c r="AA894" s="1"/>
    </row>
    <row r="895">
      <c r="A895" s="2"/>
      <c r="B895" s="2"/>
      <c r="C895" s="2"/>
      <c r="D895" s="2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9">
        <f t="shared" si="4"/>
        <v>0</v>
      </c>
      <c r="W895" s="1"/>
      <c r="X895" s="1"/>
      <c r="Y895" s="1"/>
      <c r="Z895" s="1"/>
      <c r="AA895" s="1"/>
    </row>
    <row r="896">
      <c r="A896" s="2"/>
      <c r="B896" s="2"/>
      <c r="C896" s="2"/>
      <c r="D896" s="2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9">
        <f t="shared" si="4"/>
        <v>0</v>
      </c>
      <c r="W896" s="1"/>
      <c r="X896" s="1"/>
      <c r="Y896" s="1"/>
      <c r="Z896" s="1"/>
      <c r="AA896" s="1"/>
    </row>
    <row r="897">
      <c r="A897" s="2"/>
      <c r="B897" s="2"/>
      <c r="C897" s="2"/>
      <c r="D897" s="2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9">
        <f t="shared" si="4"/>
        <v>0</v>
      </c>
      <c r="W897" s="1"/>
      <c r="X897" s="1"/>
      <c r="Y897" s="1"/>
      <c r="Z897" s="1"/>
      <c r="AA897" s="1"/>
    </row>
    <row r="898">
      <c r="A898" s="2"/>
      <c r="B898" s="2"/>
      <c r="C898" s="2"/>
      <c r="D898" s="2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9">
        <f t="shared" si="4"/>
        <v>0</v>
      </c>
      <c r="W898" s="1"/>
      <c r="X898" s="1"/>
      <c r="Y898" s="1"/>
      <c r="Z898" s="1"/>
      <c r="AA898" s="1"/>
    </row>
    <row r="899">
      <c r="A899" s="2"/>
      <c r="B899" s="2"/>
      <c r="C899" s="2"/>
      <c r="D899" s="2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9">
        <f t="shared" si="4"/>
        <v>0</v>
      </c>
      <c r="W899" s="1"/>
      <c r="X899" s="1"/>
      <c r="Y899" s="1"/>
      <c r="Z899" s="1"/>
      <c r="AA899" s="1"/>
    </row>
    <row r="900">
      <c r="A900" s="2"/>
      <c r="B900" s="2"/>
      <c r="C900" s="2"/>
      <c r="D900" s="2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9">
        <f t="shared" si="4"/>
        <v>0</v>
      </c>
      <c r="W900" s="1"/>
      <c r="X900" s="1"/>
      <c r="Y900" s="1"/>
      <c r="Z900" s="1"/>
      <c r="AA900" s="1"/>
    </row>
    <row r="901">
      <c r="A901" s="2"/>
      <c r="B901" s="2"/>
      <c r="C901" s="2"/>
      <c r="D901" s="2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9">
        <f t="shared" si="4"/>
        <v>0</v>
      </c>
      <c r="W901" s="1"/>
      <c r="X901" s="1"/>
      <c r="Y901" s="1"/>
      <c r="Z901" s="1"/>
      <c r="AA901" s="1"/>
    </row>
    <row r="902">
      <c r="A902" s="2"/>
      <c r="B902" s="2"/>
      <c r="C902" s="2"/>
      <c r="D902" s="2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9">
        <f t="shared" si="4"/>
        <v>0</v>
      </c>
      <c r="W902" s="1"/>
      <c r="X902" s="1"/>
      <c r="Y902" s="1"/>
      <c r="Z902" s="1"/>
      <c r="AA902" s="1"/>
    </row>
    <row r="903">
      <c r="A903" s="2"/>
      <c r="B903" s="2"/>
      <c r="C903" s="2"/>
      <c r="D903" s="2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9">
        <f t="shared" si="4"/>
        <v>0</v>
      </c>
      <c r="W903" s="1"/>
      <c r="X903" s="1"/>
      <c r="Y903" s="1"/>
      <c r="Z903" s="1"/>
      <c r="AA903" s="1"/>
    </row>
    <row r="904">
      <c r="A904" s="2"/>
      <c r="B904" s="2"/>
      <c r="C904" s="2"/>
      <c r="D904" s="2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9">
        <f t="shared" si="4"/>
        <v>0</v>
      </c>
      <c r="W904" s="1"/>
      <c r="X904" s="1"/>
      <c r="Y904" s="1"/>
      <c r="Z904" s="1"/>
      <c r="AA904" s="1"/>
    </row>
    <row r="905">
      <c r="A905" s="2"/>
      <c r="B905" s="2"/>
      <c r="C905" s="2"/>
      <c r="D905" s="2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9">
        <f t="shared" si="4"/>
        <v>0</v>
      </c>
      <c r="W905" s="1"/>
      <c r="X905" s="1"/>
      <c r="Y905" s="1"/>
      <c r="Z905" s="1"/>
      <c r="AA905" s="1"/>
    </row>
    <row r="906">
      <c r="A906" s="2"/>
      <c r="B906" s="2"/>
      <c r="C906" s="2"/>
      <c r="D906" s="2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9">
        <f t="shared" si="4"/>
        <v>0</v>
      </c>
      <c r="W906" s="1"/>
      <c r="X906" s="1"/>
      <c r="Y906" s="1"/>
      <c r="Z906" s="1"/>
      <c r="AA906" s="1"/>
    </row>
    <row r="907">
      <c r="A907" s="2"/>
      <c r="B907" s="2"/>
      <c r="C907" s="2"/>
      <c r="D907" s="2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9">
        <f t="shared" si="4"/>
        <v>0</v>
      </c>
      <c r="W907" s="1"/>
      <c r="X907" s="1"/>
      <c r="Y907" s="1"/>
      <c r="Z907" s="1"/>
      <c r="AA907" s="1"/>
    </row>
    <row r="908">
      <c r="A908" s="2"/>
      <c r="B908" s="2"/>
      <c r="C908" s="2"/>
      <c r="D908" s="2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9">
        <f t="shared" si="4"/>
        <v>0</v>
      </c>
      <c r="W908" s="1"/>
      <c r="X908" s="1"/>
      <c r="Y908" s="1"/>
      <c r="Z908" s="1"/>
      <c r="AA908" s="1"/>
    </row>
    <row r="909">
      <c r="A909" s="2"/>
      <c r="B909" s="2"/>
      <c r="C909" s="2"/>
      <c r="D909" s="2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9">
        <f t="shared" si="4"/>
        <v>0</v>
      </c>
      <c r="W909" s="1"/>
      <c r="X909" s="1"/>
      <c r="Y909" s="1"/>
      <c r="Z909" s="1"/>
      <c r="AA909" s="1"/>
    </row>
    <row r="910">
      <c r="A910" s="2"/>
      <c r="B910" s="2"/>
      <c r="C910" s="2"/>
      <c r="D910" s="2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9">
        <f t="shared" si="4"/>
        <v>0</v>
      </c>
      <c r="W910" s="1"/>
      <c r="X910" s="1"/>
      <c r="Y910" s="1"/>
      <c r="Z910" s="1"/>
      <c r="AA910" s="1"/>
    </row>
    <row r="911">
      <c r="A911" s="2"/>
      <c r="B911" s="2"/>
      <c r="C911" s="2"/>
      <c r="D911" s="2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9">
        <f t="shared" si="4"/>
        <v>0</v>
      </c>
      <c r="W911" s="1"/>
      <c r="X911" s="1"/>
      <c r="Y911" s="1"/>
      <c r="Z911" s="1"/>
      <c r="AA911" s="1"/>
    </row>
    <row r="912">
      <c r="A912" s="2"/>
      <c r="B912" s="2"/>
      <c r="C912" s="2"/>
      <c r="D912" s="2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9">
        <f t="shared" si="4"/>
        <v>0</v>
      </c>
      <c r="W912" s="1"/>
      <c r="X912" s="1"/>
      <c r="Y912" s="1"/>
      <c r="Z912" s="1"/>
      <c r="AA912" s="1"/>
    </row>
    <row r="913">
      <c r="A913" s="2"/>
      <c r="B913" s="2"/>
      <c r="C913" s="2"/>
      <c r="D913" s="2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9">
        <f t="shared" si="4"/>
        <v>0</v>
      </c>
      <c r="W913" s="1"/>
      <c r="X913" s="1"/>
      <c r="Y913" s="1"/>
      <c r="Z913" s="1"/>
      <c r="AA913" s="1"/>
    </row>
    <row r="914">
      <c r="A914" s="2"/>
      <c r="B914" s="2"/>
      <c r="C914" s="2"/>
      <c r="D914" s="2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9">
        <f t="shared" si="4"/>
        <v>0</v>
      </c>
      <c r="W914" s="1"/>
      <c r="X914" s="1"/>
      <c r="Y914" s="1"/>
      <c r="Z914" s="1"/>
      <c r="AA914" s="1"/>
    </row>
    <row r="915">
      <c r="A915" s="2"/>
      <c r="B915" s="2"/>
      <c r="C915" s="2"/>
      <c r="D915" s="2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9">
        <f t="shared" si="4"/>
        <v>0</v>
      </c>
      <c r="W915" s="1"/>
      <c r="X915" s="1"/>
      <c r="Y915" s="1"/>
      <c r="Z915" s="1"/>
      <c r="AA915" s="1"/>
    </row>
    <row r="916">
      <c r="A916" s="2"/>
      <c r="B916" s="2"/>
      <c r="C916" s="2"/>
      <c r="D916" s="2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9">
        <f t="shared" si="4"/>
        <v>0</v>
      </c>
      <c r="W916" s="1"/>
      <c r="X916" s="1"/>
      <c r="Y916" s="1"/>
      <c r="Z916" s="1"/>
      <c r="AA916" s="1"/>
    </row>
    <row r="917">
      <c r="A917" s="2"/>
      <c r="B917" s="2"/>
      <c r="C917" s="2"/>
      <c r="D917" s="2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9">
        <f t="shared" si="4"/>
        <v>0</v>
      </c>
      <c r="W917" s="1"/>
      <c r="X917" s="1"/>
      <c r="Y917" s="1"/>
      <c r="Z917" s="1"/>
      <c r="AA917" s="1"/>
    </row>
    <row r="918">
      <c r="A918" s="2"/>
      <c r="B918" s="2"/>
      <c r="C918" s="2"/>
      <c r="D918" s="2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9">
        <f t="shared" si="4"/>
        <v>0</v>
      </c>
      <c r="W918" s="1"/>
      <c r="X918" s="1"/>
      <c r="Y918" s="1"/>
      <c r="Z918" s="1"/>
      <c r="AA918" s="1"/>
    </row>
    <row r="919">
      <c r="A919" s="2"/>
      <c r="B919" s="2"/>
      <c r="C919" s="2"/>
      <c r="D919" s="2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9">
        <f t="shared" si="4"/>
        <v>0</v>
      </c>
      <c r="W919" s="1"/>
      <c r="X919" s="1"/>
      <c r="Y919" s="1"/>
      <c r="Z919" s="1"/>
      <c r="AA919" s="1"/>
    </row>
    <row r="920">
      <c r="A920" s="2"/>
      <c r="B920" s="2"/>
      <c r="C920" s="2"/>
      <c r="D920" s="2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9">
        <f t="shared" si="4"/>
        <v>0</v>
      </c>
      <c r="W920" s="1"/>
      <c r="X920" s="1"/>
      <c r="Y920" s="1"/>
      <c r="Z920" s="1"/>
      <c r="AA920" s="1"/>
    </row>
    <row r="921">
      <c r="A921" s="2"/>
      <c r="B921" s="2"/>
      <c r="C921" s="2"/>
      <c r="D921" s="2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9">
        <f t="shared" si="4"/>
        <v>0</v>
      </c>
      <c r="W921" s="1"/>
      <c r="X921" s="1"/>
      <c r="Y921" s="1"/>
      <c r="Z921" s="1"/>
      <c r="AA921" s="1"/>
    </row>
    <row r="922">
      <c r="A922" s="2"/>
      <c r="B922" s="2"/>
      <c r="C922" s="2"/>
      <c r="D922" s="2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9">
        <f t="shared" si="4"/>
        <v>0</v>
      </c>
      <c r="W922" s="1"/>
      <c r="X922" s="1"/>
      <c r="Y922" s="1"/>
      <c r="Z922" s="1"/>
      <c r="AA922" s="1"/>
    </row>
    <row r="923">
      <c r="A923" s="2"/>
      <c r="B923" s="2"/>
      <c r="C923" s="2"/>
      <c r="D923" s="2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9">
        <f t="shared" si="4"/>
        <v>0</v>
      </c>
      <c r="W923" s="1"/>
      <c r="X923" s="1"/>
      <c r="Y923" s="1"/>
      <c r="Z923" s="1"/>
      <c r="AA923" s="1"/>
    </row>
    <row r="924">
      <c r="A924" s="2"/>
      <c r="B924" s="2"/>
      <c r="C924" s="2"/>
      <c r="D924" s="2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9">
        <f t="shared" si="4"/>
        <v>0</v>
      </c>
      <c r="W924" s="1"/>
      <c r="X924" s="1"/>
      <c r="Y924" s="1"/>
      <c r="Z924" s="1"/>
      <c r="AA924" s="1"/>
    </row>
    <row r="925">
      <c r="A925" s="2"/>
      <c r="B925" s="2"/>
      <c r="C925" s="2"/>
      <c r="D925" s="2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9">
        <f t="shared" si="4"/>
        <v>0</v>
      </c>
      <c r="W925" s="1"/>
      <c r="X925" s="1"/>
      <c r="Y925" s="1"/>
      <c r="Z925" s="1"/>
      <c r="AA925" s="1"/>
    </row>
    <row r="926">
      <c r="A926" s="2"/>
      <c r="B926" s="2"/>
      <c r="C926" s="2"/>
      <c r="D926" s="2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9">
        <f t="shared" si="4"/>
        <v>0</v>
      </c>
      <c r="W926" s="1"/>
      <c r="X926" s="1"/>
      <c r="Y926" s="1"/>
      <c r="Z926" s="1"/>
      <c r="AA926" s="1"/>
    </row>
    <row r="927">
      <c r="A927" s="2"/>
      <c r="B927" s="2"/>
      <c r="C927" s="2"/>
      <c r="D927" s="2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9">
        <f t="shared" si="4"/>
        <v>0</v>
      </c>
      <c r="W927" s="1"/>
      <c r="X927" s="1"/>
      <c r="Y927" s="1"/>
      <c r="Z927" s="1"/>
      <c r="AA927" s="1"/>
    </row>
    <row r="928">
      <c r="A928" s="2"/>
      <c r="B928" s="2"/>
      <c r="C928" s="2"/>
      <c r="D928" s="2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9">
        <f t="shared" si="4"/>
        <v>0</v>
      </c>
      <c r="W928" s="1"/>
      <c r="X928" s="1"/>
      <c r="Y928" s="1"/>
      <c r="Z928" s="1"/>
      <c r="AA928" s="1"/>
    </row>
    <row r="929">
      <c r="A929" s="2"/>
      <c r="B929" s="2"/>
      <c r="C929" s="2"/>
      <c r="D929" s="2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9">
        <f t="shared" si="4"/>
        <v>0</v>
      </c>
      <c r="W929" s="1"/>
      <c r="X929" s="1"/>
      <c r="Y929" s="1"/>
      <c r="Z929" s="1"/>
      <c r="AA929" s="1"/>
    </row>
    <row r="930">
      <c r="A930" s="2"/>
      <c r="B930" s="2"/>
      <c r="C930" s="2"/>
      <c r="D930" s="2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9">
        <f t="shared" si="4"/>
        <v>0</v>
      </c>
      <c r="W930" s="1"/>
      <c r="X930" s="1"/>
      <c r="Y930" s="1"/>
      <c r="Z930" s="1"/>
      <c r="AA930" s="1"/>
    </row>
    <row r="931">
      <c r="A931" s="2"/>
      <c r="B931" s="2"/>
      <c r="C931" s="2"/>
      <c r="D931" s="2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9">
        <f t="shared" si="4"/>
        <v>0</v>
      </c>
      <c r="W931" s="1"/>
      <c r="X931" s="1"/>
      <c r="Y931" s="1"/>
      <c r="Z931" s="1"/>
      <c r="AA931" s="1"/>
    </row>
    <row r="932">
      <c r="A932" s="2"/>
      <c r="B932" s="2"/>
      <c r="C932" s="2"/>
      <c r="D932" s="2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9">
        <f t="shared" si="4"/>
        <v>0</v>
      </c>
      <c r="W932" s="1"/>
      <c r="X932" s="1"/>
      <c r="Y932" s="1"/>
      <c r="Z932" s="1"/>
      <c r="AA932" s="1"/>
    </row>
    <row r="933">
      <c r="A933" s="2"/>
      <c r="B933" s="2"/>
      <c r="C933" s="2"/>
      <c r="D933" s="2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9">
        <f t="shared" si="4"/>
        <v>0</v>
      </c>
      <c r="W933" s="1"/>
      <c r="X933" s="1"/>
      <c r="Y933" s="1"/>
      <c r="Z933" s="1"/>
      <c r="AA933" s="1"/>
    </row>
    <row r="934">
      <c r="A934" s="2"/>
      <c r="B934" s="2"/>
      <c r="C934" s="2"/>
      <c r="D934" s="2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9">
        <f t="shared" si="4"/>
        <v>0</v>
      </c>
      <c r="W934" s="1"/>
      <c r="X934" s="1"/>
      <c r="Y934" s="1"/>
      <c r="Z934" s="1"/>
      <c r="AA934" s="1"/>
    </row>
    <row r="935">
      <c r="A935" s="2"/>
      <c r="B935" s="2"/>
      <c r="C935" s="2"/>
      <c r="D935" s="2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9">
        <f t="shared" si="4"/>
        <v>0</v>
      </c>
      <c r="W935" s="1"/>
      <c r="X935" s="1"/>
      <c r="Y935" s="1"/>
      <c r="Z935" s="1"/>
      <c r="AA935" s="1"/>
    </row>
    <row r="936">
      <c r="A936" s="2"/>
      <c r="B936" s="2"/>
      <c r="C936" s="2"/>
      <c r="D936" s="2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9">
        <f t="shared" si="4"/>
        <v>0</v>
      </c>
      <c r="W936" s="1"/>
      <c r="X936" s="1"/>
      <c r="Y936" s="1"/>
      <c r="Z936" s="1"/>
      <c r="AA936" s="1"/>
    </row>
    <row r="937">
      <c r="A937" s="2"/>
      <c r="B937" s="2"/>
      <c r="C937" s="2"/>
      <c r="D937" s="2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9">
        <f t="shared" si="4"/>
        <v>0</v>
      </c>
      <c r="W937" s="1"/>
      <c r="X937" s="1"/>
      <c r="Y937" s="1"/>
      <c r="Z937" s="1"/>
      <c r="AA937" s="1"/>
    </row>
    <row r="938">
      <c r="A938" s="2"/>
      <c r="B938" s="2"/>
      <c r="C938" s="2"/>
      <c r="D938" s="2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9">
        <f t="shared" si="4"/>
        <v>0</v>
      </c>
      <c r="W938" s="1"/>
      <c r="X938" s="1"/>
      <c r="Y938" s="1"/>
      <c r="Z938" s="1"/>
      <c r="AA938" s="1"/>
    </row>
    <row r="939">
      <c r="A939" s="2"/>
      <c r="B939" s="2"/>
      <c r="C939" s="2"/>
      <c r="D939" s="2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9">
        <f t="shared" si="4"/>
        <v>0</v>
      </c>
      <c r="W939" s="1"/>
      <c r="X939" s="1"/>
      <c r="Y939" s="1"/>
      <c r="Z939" s="1"/>
      <c r="AA939" s="1"/>
    </row>
    <row r="940">
      <c r="A940" s="2"/>
      <c r="B940" s="2"/>
      <c r="C940" s="2"/>
      <c r="D940" s="2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9">
        <f t="shared" si="4"/>
        <v>0</v>
      </c>
      <c r="W940" s="1"/>
      <c r="X940" s="1"/>
      <c r="Y940" s="1"/>
      <c r="Z940" s="1"/>
      <c r="AA940" s="1"/>
    </row>
    <row r="941">
      <c r="A941" s="2"/>
      <c r="B941" s="2"/>
      <c r="C941" s="2"/>
      <c r="D941" s="2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9">
        <f t="shared" si="4"/>
        <v>0</v>
      </c>
      <c r="W941" s="1"/>
      <c r="X941" s="1"/>
      <c r="Y941" s="1"/>
      <c r="Z941" s="1"/>
      <c r="AA941" s="1"/>
    </row>
    <row r="942">
      <c r="A942" s="2"/>
      <c r="B942" s="2"/>
      <c r="C942" s="2"/>
      <c r="D942" s="2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9">
        <f t="shared" si="4"/>
        <v>0</v>
      </c>
      <c r="W942" s="1"/>
      <c r="X942" s="1"/>
      <c r="Y942" s="1"/>
      <c r="Z942" s="1"/>
      <c r="AA942" s="1"/>
    </row>
    <row r="943">
      <c r="A943" s="2"/>
      <c r="B943" s="2"/>
      <c r="C943" s="2"/>
      <c r="D943" s="2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9">
        <f t="shared" si="4"/>
        <v>0</v>
      </c>
      <c r="W943" s="1"/>
      <c r="X943" s="1"/>
      <c r="Y943" s="1"/>
      <c r="Z943" s="1"/>
      <c r="AA943" s="1"/>
    </row>
    <row r="944">
      <c r="A944" s="2"/>
      <c r="B944" s="2"/>
      <c r="C944" s="2"/>
      <c r="D944" s="2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9">
        <f t="shared" si="4"/>
        <v>0</v>
      </c>
      <c r="W944" s="1"/>
      <c r="X944" s="1"/>
      <c r="Y944" s="1"/>
      <c r="Z944" s="1"/>
      <c r="AA944" s="1"/>
    </row>
    <row r="945">
      <c r="A945" s="2"/>
      <c r="B945" s="2"/>
      <c r="C945" s="2"/>
      <c r="D945" s="2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9">
        <f t="shared" si="4"/>
        <v>0</v>
      </c>
      <c r="W945" s="1"/>
      <c r="X945" s="1"/>
      <c r="Y945" s="1"/>
      <c r="Z945" s="1"/>
      <c r="AA945" s="1"/>
    </row>
    <row r="946">
      <c r="A946" s="2"/>
      <c r="B946" s="2"/>
      <c r="C946" s="2"/>
      <c r="D946" s="2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9">
        <f t="shared" si="4"/>
        <v>0</v>
      </c>
      <c r="W946" s="1"/>
      <c r="X946" s="1"/>
      <c r="Y946" s="1"/>
      <c r="Z946" s="1"/>
      <c r="AA946" s="1"/>
    </row>
    <row r="947">
      <c r="A947" s="2"/>
      <c r="B947" s="2"/>
      <c r="C947" s="2"/>
      <c r="D947" s="2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9">
        <f t="shared" si="4"/>
        <v>0</v>
      </c>
      <c r="W947" s="1"/>
      <c r="X947" s="1"/>
      <c r="Y947" s="1"/>
      <c r="Z947" s="1"/>
      <c r="AA947" s="1"/>
    </row>
    <row r="948">
      <c r="A948" s="2"/>
      <c r="B948" s="2"/>
      <c r="C948" s="2"/>
      <c r="D948" s="2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9">
        <f t="shared" si="4"/>
        <v>0</v>
      </c>
      <c r="W948" s="1"/>
      <c r="X948" s="1"/>
      <c r="Y948" s="1"/>
      <c r="Z948" s="1"/>
      <c r="AA948" s="1"/>
    </row>
    <row r="949">
      <c r="A949" s="2"/>
      <c r="B949" s="2"/>
      <c r="C949" s="2"/>
      <c r="D949" s="2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9">
        <f t="shared" si="4"/>
        <v>0</v>
      </c>
      <c r="W949" s="1"/>
      <c r="X949" s="1"/>
      <c r="Y949" s="1"/>
      <c r="Z949" s="1"/>
      <c r="AA949" s="1"/>
    </row>
    <row r="950">
      <c r="A950" s="2"/>
      <c r="B950" s="2"/>
      <c r="C950" s="2"/>
      <c r="D950" s="2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9">
        <f t="shared" si="4"/>
        <v>0</v>
      </c>
      <c r="W950" s="1"/>
      <c r="X950" s="1"/>
      <c r="Y950" s="1"/>
      <c r="Z950" s="1"/>
      <c r="AA950" s="1"/>
    </row>
    <row r="951">
      <c r="A951" s="2"/>
      <c r="B951" s="2"/>
      <c r="C951" s="2"/>
      <c r="D951" s="2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9">
        <f t="shared" si="4"/>
        <v>0</v>
      </c>
      <c r="W951" s="1"/>
      <c r="X951" s="1"/>
      <c r="Y951" s="1"/>
      <c r="Z951" s="1"/>
      <c r="AA951" s="1"/>
    </row>
    <row r="952">
      <c r="A952" s="2"/>
      <c r="B952" s="2"/>
      <c r="C952" s="2"/>
      <c r="D952" s="2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9">
        <f t="shared" si="4"/>
        <v>0</v>
      </c>
      <c r="W952" s="1"/>
      <c r="X952" s="1"/>
      <c r="Y952" s="1"/>
      <c r="Z952" s="1"/>
      <c r="AA952" s="1"/>
    </row>
    <row r="953">
      <c r="A953" s="2"/>
      <c r="B953" s="2"/>
      <c r="C953" s="2"/>
      <c r="D953" s="2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9">
        <f t="shared" si="4"/>
        <v>0</v>
      </c>
      <c r="W953" s="1"/>
      <c r="X953" s="1"/>
      <c r="Y953" s="1"/>
      <c r="Z953" s="1"/>
      <c r="AA953" s="1"/>
    </row>
    <row r="954">
      <c r="A954" s="2"/>
      <c r="B954" s="2"/>
      <c r="C954" s="2"/>
      <c r="D954" s="2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9">
        <f t="shared" si="4"/>
        <v>0</v>
      </c>
      <c r="W954" s="1"/>
      <c r="X954" s="1"/>
      <c r="Y954" s="1"/>
      <c r="Z954" s="1"/>
      <c r="AA954" s="1"/>
    </row>
    <row r="955">
      <c r="A955" s="2"/>
      <c r="B955" s="2"/>
      <c r="C955" s="2"/>
      <c r="D955" s="2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9">
        <f t="shared" si="4"/>
        <v>0</v>
      </c>
      <c r="W955" s="1"/>
      <c r="X955" s="1"/>
      <c r="Y955" s="1"/>
      <c r="Z955" s="1"/>
      <c r="AA955" s="1"/>
    </row>
    <row r="956">
      <c r="A956" s="2"/>
      <c r="B956" s="2"/>
      <c r="C956" s="2"/>
      <c r="D956" s="2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9">
        <f t="shared" si="4"/>
        <v>0</v>
      </c>
      <c r="W956" s="1"/>
      <c r="X956" s="1"/>
      <c r="Y956" s="1"/>
      <c r="Z956" s="1"/>
      <c r="AA956" s="1"/>
    </row>
    <row r="957">
      <c r="A957" s="2"/>
      <c r="B957" s="2"/>
      <c r="C957" s="2"/>
      <c r="D957" s="2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9">
        <f t="shared" si="4"/>
        <v>0</v>
      </c>
      <c r="W957" s="1"/>
      <c r="X957" s="1"/>
      <c r="Y957" s="1"/>
      <c r="Z957" s="1"/>
      <c r="AA957" s="1"/>
    </row>
    <row r="958">
      <c r="A958" s="2"/>
      <c r="B958" s="2"/>
      <c r="C958" s="2"/>
      <c r="D958" s="2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9">
        <f t="shared" si="4"/>
        <v>0</v>
      </c>
      <c r="W958" s="1"/>
      <c r="X958" s="1"/>
      <c r="Y958" s="1"/>
      <c r="Z958" s="1"/>
      <c r="AA958" s="1"/>
    </row>
    <row r="959">
      <c r="A959" s="2"/>
      <c r="B959" s="2"/>
      <c r="C959" s="2"/>
      <c r="D959" s="2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9">
        <f t="shared" si="4"/>
        <v>0</v>
      </c>
      <c r="W959" s="1"/>
      <c r="X959" s="1"/>
      <c r="Y959" s="1"/>
      <c r="Z959" s="1"/>
      <c r="AA959" s="1"/>
    </row>
    <row r="960">
      <c r="A960" s="2"/>
      <c r="B960" s="2"/>
      <c r="C960" s="2"/>
      <c r="D960" s="2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9">
        <f t="shared" si="4"/>
        <v>0</v>
      </c>
      <c r="W960" s="1"/>
      <c r="X960" s="1"/>
      <c r="Y960" s="1"/>
      <c r="Z960" s="1"/>
      <c r="AA960" s="1"/>
    </row>
    <row r="961">
      <c r="A961" s="2"/>
      <c r="B961" s="2"/>
      <c r="C961" s="2"/>
      <c r="D961" s="2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9">
        <f t="shared" si="4"/>
        <v>0</v>
      </c>
      <c r="W961" s="1"/>
      <c r="X961" s="1"/>
      <c r="Y961" s="1"/>
      <c r="Z961" s="1"/>
      <c r="AA961" s="1"/>
    </row>
    <row r="962">
      <c r="A962" s="2"/>
      <c r="B962" s="2"/>
      <c r="C962" s="2"/>
      <c r="D962" s="2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9">
        <f t="shared" si="4"/>
        <v>0</v>
      </c>
      <c r="W962" s="1"/>
      <c r="X962" s="1"/>
      <c r="Y962" s="1"/>
      <c r="Z962" s="1"/>
      <c r="AA962" s="1"/>
    </row>
    <row r="963">
      <c r="A963" s="2"/>
      <c r="B963" s="2"/>
      <c r="C963" s="2"/>
      <c r="D963" s="2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9">
        <f t="shared" si="4"/>
        <v>0</v>
      </c>
      <c r="W963" s="1"/>
      <c r="X963" s="1"/>
      <c r="Y963" s="1"/>
      <c r="Z963" s="1"/>
      <c r="AA963" s="1"/>
    </row>
    <row r="964">
      <c r="A964" s="2"/>
      <c r="B964" s="2"/>
      <c r="C964" s="2"/>
      <c r="D964" s="2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9">
        <f t="shared" si="4"/>
        <v>0</v>
      </c>
      <c r="W964" s="1"/>
      <c r="X964" s="1"/>
      <c r="Y964" s="1"/>
      <c r="Z964" s="1"/>
      <c r="AA964" s="1"/>
    </row>
    <row r="965">
      <c r="A965" s="2"/>
      <c r="B965" s="2"/>
      <c r="C965" s="2"/>
      <c r="D965" s="2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9">
        <f t="shared" si="4"/>
        <v>0</v>
      </c>
      <c r="W965" s="1"/>
      <c r="X965" s="1"/>
      <c r="Y965" s="1"/>
      <c r="Z965" s="1"/>
      <c r="AA965" s="1"/>
    </row>
    <row r="966">
      <c r="A966" s="2"/>
      <c r="B966" s="2"/>
      <c r="C966" s="2"/>
      <c r="D966" s="2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9">
        <f t="shared" si="4"/>
        <v>0</v>
      </c>
      <c r="W966" s="1"/>
      <c r="X966" s="1"/>
      <c r="Y966" s="1"/>
      <c r="Z966" s="1"/>
      <c r="AA966" s="1"/>
    </row>
    <row r="967">
      <c r="A967" s="2"/>
      <c r="B967" s="2"/>
      <c r="C967" s="2"/>
      <c r="D967" s="2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9">
        <f t="shared" si="4"/>
        <v>0</v>
      </c>
      <c r="W967" s="1"/>
      <c r="X967" s="1"/>
      <c r="Y967" s="1"/>
      <c r="Z967" s="1"/>
      <c r="AA967" s="1"/>
    </row>
    <row r="968">
      <c r="A968" s="2"/>
      <c r="B968" s="2"/>
      <c r="C968" s="2"/>
      <c r="D968" s="2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9">
        <f t="shared" si="4"/>
        <v>0</v>
      </c>
      <c r="W968" s="1"/>
      <c r="X968" s="1"/>
      <c r="Y968" s="1"/>
      <c r="Z968" s="1"/>
      <c r="AA968" s="1"/>
    </row>
    <row r="969">
      <c r="A969" s="2"/>
      <c r="B969" s="2"/>
      <c r="C969" s="2"/>
      <c r="D969" s="2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9">
        <f t="shared" si="4"/>
        <v>0</v>
      </c>
      <c r="W969" s="1"/>
      <c r="X969" s="1"/>
      <c r="Y969" s="1"/>
      <c r="Z969" s="1"/>
      <c r="AA969" s="1"/>
    </row>
    <row r="970">
      <c r="A970" s="2"/>
      <c r="B970" s="2"/>
      <c r="C970" s="2"/>
      <c r="D970" s="2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9">
        <f t="shared" si="4"/>
        <v>0</v>
      </c>
      <c r="W970" s="1"/>
      <c r="X970" s="1"/>
      <c r="Y970" s="1"/>
      <c r="Z970" s="1"/>
      <c r="AA970" s="1"/>
    </row>
    <row r="971">
      <c r="A971" s="2"/>
      <c r="B971" s="2"/>
      <c r="C971" s="2"/>
      <c r="D971" s="2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9">
        <f t="shared" si="4"/>
        <v>0</v>
      </c>
      <c r="W971" s="1"/>
      <c r="X971" s="1"/>
      <c r="Y971" s="1"/>
      <c r="Z971" s="1"/>
      <c r="AA971" s="1"/>
    </row>
    <row r="972">
      <c r="A972" s="2"/>
      <c r="B972" s="2"/>
      <c r="C972" s="2"/>
      <c r="D972" s="2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9">
        <f t="shared" si="4"/>
        <v>0</v>
      </c>
      <c r="W972" s="1"/>
      <c r="X972" s="1"/>
      <c r="Y972" s="1"/>
      <c r="Z972" s="1"/>
      <c r="AA972" s="1"/>
    </row>
    <row r="973">
      <c r="A973" s="2"/>
      <c r="B973" s="2"/>
      <c r="C973" s="2"/>
      <c r="D973" s="2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9">
        <f t="shared" si="4"/>
        <v>0</v>
      </c>
      <c r="W973" s="1"/>
      <c r="X973" s="1"/>
      <c r="Y973" s="1"/>
      <c r="Z973" s="1"/>
      <c r="AA973" s="1"/>
    </row>
    <row r="974">
      <c r="A974" s="2"/>
      <c r="B974" s="2"/>
      <c r="C974" s="2"/>
      <c r="D974" s="2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9">
        <f t="shared" si="4"/>
        <v>0</v>
      </c>
      <c r="W974" s="1"/>
      <c r="X974" s="1"/>
      <c r="Y974" s="1"/>
      <c r="Z974" s="1"/>
      <c r="AA974" s="1"/>
    </row>
    <row r="975">
      <c r="A975" s="2"/>
      <c r="B975" s="2"/>
      <c r="C975" s="2"/>
      <c r="D975" s="2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9">
        <f t="shared" si="4"/>
        <v>0</v>
      </c>
      <c r="W975" s="1"/>
      <c r="X975" s="1"/>
      <c r="Y975" s="1"/>
      <c r="Z975" s="1"/>
      <c r="AA975" s="1"/>
    </row>
    <row r="976">
      <c r="A976" s="2"/>
      <c r="B976" s="2"/>
      <c r="C976" s="2"/>
      <c r="D976" s="2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9">
        <f t="shared" si="4"/>
        <v>0</v>
      </c>
      <c r="W976" s="1"/>
      <c r="X976" s="1"/>
      <c r="Y976" s="1"/>
      <c r="Z976" s="1"/>
      <c r="AA976" s="1"/>
    </row>
    <row r="977">
      <c r="A977" s="2"/>
      <c r="B977" s="2"/>
      <c r="C977" s="2"/>
      <c r="D977" s="2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9">
        <f t="shared" si="4"/>
        <v>0</v>
      </c>
      <c r="W977" s="1"/>
      <c r="X977" s="1"/>
      <c r="Y977" s="1"/>
      <c r="Z977" s="1"/>
      <c r="AA977" s="1"/>
    </row>
    <row r="978">
      <c r="A978" s="2"/>
      <c r="B978" s="2"/>
      <c r="C978" s="2"/>
      <c r="D978" s="2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9">
        <f t="shared" si="4"/>
        <v>0</v>
      </c>
      <c r="W978" s="1"/>
      <c r="X978" s="1"/>
      <c r="Y978" s="1"/>
      <c r="Z978" s="1"/>
      <c r="AA978" s="1"/>
    </row>
    <row r="979">
      <c r="A979" s="2"/>
      <c r="B979" s="2"/>
      <c r="C979" s="2"/>
      <c r="D979" s="2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9">
        <f t="shared" si="4"/>
        <v>0</v>
      </c>
      <c r="W979" s="1"/>
      <c r="X979" s="1"/>
      <c r="Y979" s="1"/>
      <c r="Z979" s="1"/>
      <c r="AA979" s="1"/>
    </row>
    <row r="980">
      <c r="A980" s="2"/>
      <c r="B980" s="2"/>
      <c r="C980" s="2"/>
      <c r="D980" s="2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9">
        <f t="shared" si="4"/>
        <v>0</v>
      </c>
      <c r="W980" s="1"/>
      <c r="X980" s="1"/>
      <c r="Y980" s="1"/>
      <c r="Z980" s="1"/>
      <c r="AA980" s="1"/>
    </row>
    <row r="981">
      <c r="A981" s="2"/>
      <c r="B981" s="2"/>
      <c r="C981" s="2"/>
      <c r="D981" s="2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9">
        <f t="shared" si="4"/>
        <v>0</v>
      </c>
      <c r="W981" s="1"/>
      <c r="X981" s="1"/>
      <c r="Y981" s="1"/>
      <c r="Z981" s="1"/>
      <c r="AA981" s="1"/>
    </row>
    <row r="982">
      <c r="A982" s="2"/>
      <c r="B982" s="2"/>
      <c r="C982" s="2"/>
      <c r="D982" s="2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9">
        <f t="shared" si="4"/>
        <v>0</v>
      </c>
      <c r="W982" s="1"/>
      <c r="X982" s="1"/>
      <c r="Y982" s="1"/>
      <c r="Z982" s="1"/>
      <c r="AA982" s="1"/>
    </row>
    <row r="983">
      <c r="A983" s="2"/>
      <c r="B983" s="2"/>
      <c r="C983" s="2"/>
      <c r="D983" s="2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9">
        <f t="shared" si="4"/>
        <v>0</v>
      </c>
      <c r="W983" s="1"/>
      <c r="X983" s="1"/>
      <c r="Y983" s="1"/>
      <c r="Z983" s="1"/>
      <c r="AA983" s="1"/>
    </row>
    <row r="984">
      <c r="A984" s="2"/>
      <c r="B984" s="2"/>
      <c r="C984" s="2"/>
      <c r="D984" s="2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9">
        <f t="shared" si="4"/>
        <v>0</v>
      </c>
      <c r="W984" s="1"/>
      <c r="X984" s="1"/>
      <c r="Y984" s="1"/>
      <c r="Z984" s="1"/>
      <c r="AA984" s="1"/>
    </row>
    <row r="985">
      <c r="A985" s="2"/>
      <c r="B985" s="2"/>
      <c r="C985" s="2"/>
      <c r="D985" s="2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9">
        <f t="shared" si="4"/>
        <v>0</v>
      </c>
      <c r="W985" s="1"/>
      <c r="X985" s="1"/>
      <c r="Y985" s="1"/>
      <c r="Z985" s="1"/>
      <c r="AA985" s="1"/>
    </row>
    <row r="986">
      <c r="A986" s="2"/>
      <c r="B986" s="2"/>
      <c r="C986" s="2"/>
      <c r="D986" s="2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9">
        <f t="shared" si="4"/>
        <v>0</v>
      </c>
      <c r="W986" s="1"/>
      <c r="X986" s="1"/>
      <c r="Y986" s="1"/>
      <c r="Z986" s="1"/>
      <c r="AA986" s="1"/>
    </row>
    <row r="987">
      <c r="A987" s="2"/>
      <c r="B987" s="2"/>
      <c r="C987" s="2"/>
      <c r="D987" s="2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9">
        <f t="shared" si="4"/>
        <v>0</v>
      </c>
      <c r="W987" s="1"/>
      <c r="X987" s="1"/>
      <c r="Y987" s="1"/>
      <c r="Z987" s="1"/>
      <c r="AA987" s="1"/>
    </row>
    <row r="988">
      <c r="A988" s="2"/>
      <c r="B988" s="2"/>
      <c r="C988" s="2"/>
      <c r="D988" s="2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9">
        <f t="shared" si="4"/>
        <v>0</v>
      </c>
      <c r="W988" s="1"/>
      <c r="X988" s="1"/>
      <c r="Y988" s="1"/>
      <c r="Z988" s="1"/>
      <c r="AA988" s="1"/>
    </row>
    <row r="989">
      <c r="A989" s="2"/>
      <c r="B989" s="2"/>
      <c r="C989" s="2"/>
      <c r="D989" s="2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9">
        <f t="shared" si="4"/>
        <v>0</v>
      </c>
      <c r="W989" s="1"/>
      <c r="X989" s="1"/>
      <c r="Y989" s="1"/>
      <c r="Z989" s="1"/>
      <c r="AA989" s="1"/>
    </row>
    <row r="990">
      <c r="A990" s="2"/>
      <c r="B990" s="2"/>
      <c r="C990" s="2"/>
      <c r="D990" s="2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9">
        <f t="shared" si="4"/>
        <v>0</v>
      </c>
      <c r="W990" s="1"/>
      <c r="X990" s="1"/>
      <c r="Y990" s="1"/>
      <c r="Z990" s="1"/>
      <c r="AA990" s="1"/>
    </row>
    <row r="991">
      <c r="A991" s="2"/>
      <c r="B991" s="2"/>
      <c r="C991" s="2"/>
      <c r="D991" s="2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9">
        <f t="shared" si="4"/>
        <v>0</v>
      </c>
      <c r="W991" s="1"/>
      <c r="X991" s="1"/>
      <c r="Y991" s="1"/>
      <c r="Z991" s="1"/>
      <c r="AA991" s="1"/>
    </row>
    <row r="992">
      <c r="A992" s="2"/>
      <c r="B992" s="2"/>
      <c r="C992" s="2"/>
      <c r="D992" s="2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9">
        <f t="shared" si="4"/>
        <v>0</v>
      </c>
      <c r="W992" s="1"/>
      <c r="X992" s="1"/>
      <c r="Y992" s="1"/>
      <c r="Z992" s="1"/>
      <c r="AA992" s="1"/>
    </row>
    <row r="993">
      <c r="A993" s="2"/>
      <c r="B993" s="2"/>
      <c r="C993" s="2"/>
      <c r="D993" s="2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9">
        <f t="shared" si="4"/>
        <v>0</v>
      </c>
      <c r="W993" s="1"/>
      <c r="X993" s="1"/>
      <c r="Y993" s="1"/>
      <c r="Z993" s="1"/>
      <c r="AA993" s="1"/>
    </row>
    <row r="994">
      <c r="A994" s="2"/>
      <c r="B994" s="2"/>
      <c r="C994" s="2"/>
      <c r="D994" s="2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9">
        <f t="shared" si="4"/>
        <v>0</v>
      </c>
      <c r="W994" s="1"/>
      <c r="X994" s="1"/>
      <c r="Y994" s="1"/>
      <c r="Z994" s="1"/>
      <c r="AA994" s="1"/>
    </row>
    <row r="995">
      <c r="A995" s="2"/>
      <c r="B995" s="2"/>
      <c r="C995" s="2"/>
      <c r="D995" s="2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9">
        <f t="shared" si="4"/>
        <v>0</v>
      </c>
      <c r="W995" s="1"/>
      <c r="X995" s="1"/>
      <c r="Y995" s="1"/>
      <c r="Z995" s="1"/>
      <c r="AA995" s="1"/>
    </row>
    <row r="996">
      <c r="A996" s="2"/>
      <c r="B996" s="2"/>
      <c r="C996" s="2"/>
      <c r="D996" s="2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9">
        <f t="shared" si="4"/>
        <v>0</v>
      </c>
      <c r="W996" s="1"/>
      <c r="X996" s="1"/>
      <c r="Y996" s="1"/>
      <c r="Z996" s="1"/>
      <c r="AA996" s="1"/>
    </row>
    <row r="997">
      <c r="A997" s="2"/>
      <c r="B997" s="2"/>
      <c r="C997" s="2"/>
      <c r="D997" s="2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9">
        <f t="shared" si="4"/>
        <v>0</v>
      </c>
      <c r="W997" s="1"/>
      <c r="X997" s="1"/>
      <c r="Y997" s="1"/>
      <c r="Z997" s="1"/>
      <c r="AA997" s="1"/>
    </row>
    <row r="998">
      <c r="A998" s="2"/>
      <c r="B998" s="2"/>
      <c r="C998" s="2"/>
      <c r="D998" s="2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9">
        <f t="shared" si="4"/>
        <v>0</v>
      </c>
      <c r="W998" s="1"/>
      <c r="X998" s="1"/>
      <c r="Y998" s="1"/>
      <c r="Z998" s="1"/>
      <c r="AA998" s="1"/>
    </row>
    <row r="999">
      <c r="A999" s="2"/>
      <c r="B999" s="2"/>
      <c r="C999" s="2"/>
      <c r="D999" s="2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9">
        <f t="shared" si="4"/>
        <v>0</v>
      </c>
      <c r="W999" s="1"/>
      <c r="X999" s="1"/>
      <c r="Y999" s="1"/>
      <c r="Z999" s="1"/>
      <c r="AA999" s="1"/>
    </row>
    <row r="1000">
      <c r="A1000" s="2"/>
      <c r="B1000" s="2"/>
      <c r="C1000" s="2"/>
      <c r="D1000" s="2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9">
        <f t="shared" si="4"/>
        <v>0</v>
      </c>
      <c r="W1000" s="1"/>
      <c r="X1000" s="1"/>
      <c r="Y1000" s="1"/>
      <c r="Z1000" s="1"/>
      <c r="AA1000" s="1"/>
    </row>
  </sheetData>
  <dataValidations>
    <dataValidation type="list" allowBlank="1" showErrorMessage="1" sqref="B2:B1000">
      <formula1>'預算欄位參數表'!$B$2:$B$22</formula1>
    </dataValidation>
    <dataValidation type="list" allowBlank="1" showErrorMessage="1" sqref="G12:G16">
      <formula1>'預算欄位參數表'!$G$2:G1000</formula1>
    </dataValidation>
    <dataValidation type="list" allowBlank="1" showErrorMessage="1" sqref="D2:D1000">
      <formula1>'預算欄位參數表'!$D$2:D1000</formula1>
    </dataValidation>
    <dataValidation type="list" allowBlank="1" showErrorMessage="1" sqref="C2:C1000">
      <formula1>'預算欄位參數表'!$C$2:C1000</formula1>
    </dataValidation>
    <dataValidation type="list" allowBlank="1" showErrorMessage="1" sqref="A2:A1000">
      <formula1>'預算欄位參數表'!$A$2:$A1000</formula1>
    </dataValidation>
    <dataValidation type="list" allowBlank="1" showErrorMessage="1" sqref="E2:E1000">
      <formula1>'預算欄位參數表'!$F$2:$F1000</formula1>
    </dataValidation>
    <dataValidation type="list" allowBlank="1" showErrorMessage="1" sqref="F2:F1000">
      <formula1>'預算欄位參數表'!$H$2:$H1000</formula1>
    </dataValidation>
    <dataValidation type="list" allowBlank="1" showErrorMessage="1" sqref="G2:G11 G17:G1000">
      <formula1>'預算欄位參數表'!$G$2:$G1000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3" max="3" width="21.5"/>
    <col customWidth="1" min="4" max="4" width="19.63"/>
    <col customWidth="1" min="5" max="5" width="16.0"/>
    <col customWidth="1" min="6" max="6" width="48.88"/>
    <col customWidth="1" min="7" max="7" width="13.13"/>
    <col customWidth="1" min="8" max="8" width="20.25"/>
    <col customWidth="1" min="9" max="9" width="15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40</v>
      </c>
      <c r="I1" s="2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  <c r="AA1" s="1"/>
    </row>
    <row r="2">
      <c r="A2" s="7" t="s">
        <v>10</v>
      </c>
      <c r="B2" s="7" t="s">
        <v>18</v>
      </c>
      <c r="C2" s="7" t="s">
        <v>19</v>
      </c>
      <c r="D2" s="7" t="s">
        <v>20</v>
      </c>
      <c r="E2" s="7" t="s">
        <v>41</v>
      </c>
      <c r="F2" s="1" t="s">
        <v>15</v>
      </c>
      <c r="G2" s="1" t="s">
        <v>42</v>
      </c>
      <c r="H2" s="7" t="s">
        <v>43</v>
      </c>
      <c r="I2" s="1" t="s">
        <v>44</v>
      </c>
      <c r="J2" s="9">
        <f t="shared" ref="J2:U2" si="1">1000*2</f>
        <v>2000</v>
      </c>
      <c r="K2" s="9">
        <f t="shared" si="1"/>
        <v>2000</v>
      </c>
      <c r="L2" s="9">
        <f t="shared" si="1"/>
        <v>2000</v>
      </c>
      <c r="M2" s="9">
        <f t="shared" si="1"/>
        <v>2000</v>
      </c>
      <c r="N2" s="9">
        <f t="shared" si="1"/>
        <v>2000</v>
      </c>
      <c r="O2" s="9">
        <f t="shared" si="1"/>
        <v>2000</v>
      </c>
      <c r="P2" s="9">
        <f t="shared" si="1"/>
        <v>2000</v>
      </c>
      <c r="Q2" s="9">
        <f t="shared" si="1"/>
        <v>2000</v>
      </c>
      <c r="R2" s="9">
        <f t="shared" si="1"/>
        <v>2000</v>
      </c>
      <c r="S2" s="9">
        <f t="shared" si="1"/>
        <v>2000</v>
      </c>
      <c r="T2" s="9">
        <f t="shared" si="1"/>
        <v>2000</v>
      </c>
      <c r="U2" s="9">
        <f t="shared" si="1"/>
        <v>2000</v>
      </c>
      <c r="V2" s="9" t="str">
        <f t="shared" ref="V2:V3" si="3">SUM(#REF!)</f>
        <v>#REF!</v>
      </c>
      <c r="W2" s="1"/>
      <c r="X2" s="1"/>
      <c r="Y2" s="1"/>
      <c r="Z2" s="1"/>
      <c r="AA2" s="1"/>
    </row>
    <row r="3">
      <c r="A3" s="7" t="s">
        <v>10</v>
      </c>
      <c r="B3" s="7" t="s">
        <v>18</v>
      </c>
      <c r="C3" s="7" t="s">
        <v>19</v>
      </c>
      <c r="D3" s="7" t="s">
        <v>20</v>
      </c>
      <c r="E3" s="7" t="s">
        <v>41</v>
      </c>
      <c r="F3" s="1" t="s">
        <v>15</v>
      </c>
      <c r="G3" s="1" t="s">
        <v>42</v>
      </c>
      <c r="H3" s="7" t="s">
        <v>45</v>
      </c>
      <c r="I3" s="1" t="s">
        <v>46</v>
      </c>
      <c r="J3" s="9">
        <f t="shared" ref="J3:U3" si="2">10000*2</f>
        <v>20000</v>
      </c>
      <c r="K3" s="9">
        <f t="shared" si="2"/>
        <v>20000</v>
      </c>
      <c r="L3" s="9">
        <f t="shared" si="2"/>
        <v>20000</v>
      </c>
      <c r="M3" s="9">
        <f t="shared" si="2"/>
        <v>20000</v>
      </c>
      <c r="N3" s="9">
        <f t="shared" si="2"/>
        <v>20000</v>
      </c>
      <c r="O3" s="9">
        <f t="shared" si="2"/>
        <v>20000</v>
      </c>
      <c r="P3" s="9">
        <f t="shared" si="2"/>
        <v>20000</v>
      </c>
      <c r="Q3" s="9">
        <f t="shared" si="2"/>
        <v>20000</v>
      </c>
      <c r="R3" s="9">
        <f t="shared" si="2"/>
        <v>20000</v>
      </c>
      <c r="S3" s="9">
        <f t="shared" si="2"/>
        <v>20000</v>
      </c>
      <c r="T3" s="9">
        <f t="shared" si="2"/>
        <v>20000</v>
      </c>
      <c r="U3" s="9">
        <f t="shared" si="2"/>
        <v>20000</v>
      </c>
      <c r="V3" s="9" t="str">
        <f t="shared" si="3"/>
        <v>#REF!</v>
      </c>
      <c r="W3" s="1"/>
      <c r="X3" s="1"/>
      <c r="Y3" s="1"/>
      <c r="Z3" s="1"/>
      <c r="AA3" s="1"/>
    </row>
    <row r="4">
      <c r="A4" s="7" t="s">
        <v>10</v>
      </c>
      <c r="B4" s="7" t="s">
        <v>18</v>
      </c>
      <c r="C4" s="7" t="s">
        <v>21</v>
      </c>
      <c r="D4" s="7" t="s">
        <v>22</v>
      </c>
      <c r="E4" s="7" t="s">
        <v>41</v>
      </c>
      <c r="F4" s="1" t="s">
        <v>15</v>
      </c>
      <c r="G4" s="1" t="s">
        <v>42</v>
      </c>
      <c r="H4" s="7" t="s">
        <v>47</v>
      </c>
      <c r="I4" s="1" t="s">
        <v>44</v>
      </c>
      <c r="J4" s="9">
        <f t="shared" ref="J4:U4" si="4">1000</f>
        <v>1000</v>
      </c>
      <c r="K4" s="9">
        <f t="shared" si="4"/>
        <v>1000</v>
      </c>
      <c r="L4" s="9">
        <f t="shared" si="4"/>
        <v>1000</v>
      </c>
      <c r="M4" s="9">
        <f t="shared" si="4"/>
        <v>1000</v>
      </c>
      <c r="N4" s="9">
        <f t="shared" si="4"/>
        <v>1000</v>
      </c>
      <c r="O4" s="9">
        <f t="shared" si="4"/>
        <v>1000</v>
      </c>
      <c r="P4" s="9">
        <f t="shared" si="4"/>
        <v>1000</v>
      </c>
      <c r="Q4" s="9">
        <f t="shared" si="4"/>
        <v>1000</v>
      </c>
      <c r="R4" s="9">
        <f t="shared" si="4"/>
        <v>1000</v>
      </c>
      <c r="S4" s="9">
        <f t="shared" si="4"/>
        <v>1000</v>
      </c>
      <c r="T4" s="9">
        <f t="shared" si="4"/>
        <v>1000</v>
      </c>
      <c r="U4" s="9">
        <f t="shared" si="4"/>
        <v>1000</v>
      </c>
      <c r="V4" s="9">
        <f t="shared" ref="V4:V5" si="6">SUM(B2:U2)</f>
        <v>24000</v>
      </c>
      <c r="W4" s="1"/>
      <c r="X4" s="1"/>
      <c r="Y4" s="1"/>
      <c r="Z4" s="1"/>
      <c r="AA4" s="1"/>
    </row>
    <row r="5">
      <c r="A5" s="7" t="s">
        <v>10</v>
      </c>
      <c r="B5" s="7" t="s">
        <v>18</v>
      </c>
      <c r="C5" s="7" t="s">
        <v>21</v>
      </c>
      <c r="D5" s="7" t="s">
        <v>22</v>
      </c>
      <c r="E5" s="7" t="s">
        <v>41</v>
      </c>
      <c r="F5" s="1" t="s">
        <v>15</v>
      </c>
      <c r="G5" s="1" t="s">
        <v>42</v>
      </c>
      <c r="H5" s="7" t="s">
        <v>48</v>
      </c>
      <c r="I5" s="1" t="s">
        <v>46</v>
      </c>
      <c r="J5" s="9">
        <f t="shared" ref="J5:U5" si="5">10000</f>
        <v>10000</v>
      </c>
      <c r="K5" s="9">
        <f t="shared" si="5"/>
        <v>10000</v>
      </c>
      <c r="L5" s="9">
        <f t="shared" si="5"/>
        <v>10000</v>
      </c>
      <c r="M5" s="9">
        <f t="shared" si="5"/>
        <v>10000</v>
      </c>
      <c r="N5" s="9">
        <f t="shared" si="5"/>
        <v>10000</v>
      </c>
      <c r="O5" s="9">
        <f t="shared" si="5"/>
        <v>10000</v>
      </c>
      <c r="P5" s="9">
        <f t="shared" si="5"/>
        <v>10000</v>
      </c>
      <c r="Q5" s="9">
        <f t="shared" si="5"/>
        <v>10000</v>
      </c>
      <c r="R5" s="9">
        <f t="shared" si="5"/>
        <v>10000</v>
      </c>
      <c r="S5" s="9">
        <f t="shared" si="5"/>
        <v>10000</v>
      </c>
      <c r="T5" s="9">
        <f t="shared" si="5"/>
        <v>10000</v>
      </c>
      <c r="U5" s="9">
        <f t="shared" si="5"/>
        <v>10000</v>
      </c>
      <c r="V5" s="9">
        <f t="shared" si="6"/>
        <v>240000</v>
      </c>
      <c r="W5" s="1"/>
      <c r="X5" s="1"/>
      <c r="Y5" s="1"/>
      <c r="Z5" s="1"/>
      <c r="AA5" s="1"/>
    </row>
    <row r="6">
      <c r="A6" s="7" t="s">
        <v>10</v>
      </c>
      <c r="B6" s="7" t="s">
        <v>18</v>
      </c>
      <c r="C6" s="7" t="s">
        <v>19</v>
      </c>
      <c r="D6" s="7" t="s">
        <v>20</v>
      </c>
      <c r="E6" s="7" t="s">
        <v>41</v>
      </c>
      <c r="F6" s="1" t="s">
        <v>15</v>
      </c>
      <c r="G6" s="7" t="s">
        <v>16</v>
      </c>
      <c r="H6" s="7" t="s">
        <v>49</v>
      </c>
      <c r="I6" s="1" t="s">
        <v>50</v>
      </c>
      <c r="J6" s="9">
        <f t="shared" ref="J6:U6" si="7">2000*14</f>
        <v>28000</v>
      </c>
      <c r="K6" s="9">
        <f t="shared" si="7"/>
        <v>28000</v>
      </c>
      <c r="L6" s="9">
        <f t="shared" si="7"/>
        <v>28000</v>
      </c>
      <c r="M6" s="9">
        <f t="shared" si="7"/>
        <v>28000</v>
      </c>
      <c r="N6" s="9">
        <f t="shared" si="7"/>
        <v>28000</v>
      </c>
      <c r="O6" s="9">
        <f t="shared" si="7"/>
        <v>28000</v>
      </c>
      <c r="P6" s="9">
        <f t="shared" si="7"/>
        <v>28000</v>
      </c>
      <c r="Q6" s="9">
        <f t="shared" si="7"/>
        <v>28000</v>
      </c>
      <c r="R6" s="9">
        <f t="shared" si="7"/>
        <v>28000</v>
      </c>
      <c r="S6" s="9">
        <f t="shared" si="7"/>
        <v>28000</v>
      </c>
      <c r="T6" s="9">
        <f t="shared" si="7"/>
        <v>28000</v>
      </c>
      <c r="U6" s="9">
        <f t="shared" si="7"/>
        <v>28000</v>
      </c>
      <c r="V6" s="9">
        <f>SUM(B6:U6)</f>
        <v>336000</v>
      </c>
      <c r="W6" s="1"/>
      <c r="X6" s="1"/>
      <c r="Y6" s="1"/>
      <c r="Z6" s="1"/>
      <c r="AA6" s="1"/>
    </row>
    <row r="7">
      <c r="A7" s="7" t="s">
        <v>10</v>
      </c>
      <c r="B7" s="7" t="s">
        <v>18</v>
      </c>
      <c r="C7" s="7" t="s">
        <v>21</v>
      </c>
      <c r="D7" s="7" t="s">
        <v>22</v>
      </c>
      <c r="E7" s="7" t="s">
        <v>41</v>
      </c>
      <c r="F7" s="1" t="s">
        <v>15</v>
      </c>
      <c r="G7" s="7" t="s">
        <v>16</v>
      </c>
      <c r="H7" s="7" t="s">
        <v>51</v>
      </c>
      <c r="I7" s="1" t="s">
        <v>50</v>
      </c>
      <c r="J7" s="9">
        <f t="shared" ref="J7:U7" si="8">2000*10</f>
        <v>20000</v>
      </c>
      <c r="K7" s="9">
        <f t="shared" si="8"/>
        <v>20000</v>
      </c>
      <c r="L7" s="9">
        <f t="shared" si="8"/>
        <v>20000</v>
      </c>
      <c r="M7" s="9">
        <f t="shared" si="8"/>
        <v>20000</v>
      </c>
      <c r="N7" s="9">
        <f t="shared" si="8"/>
        <v>20000</v>
      </c>
      <c r="O7" s="9">
        <f t="shared" si="8"/>
        <v>20000</v>
      </c>
      <c r="P7" s="9">
        <f t="shared" si="8"/>
        <v>20000</v>
      </c>
      <c r="Q7" s="9">
        <f t="shared" si="8"/>
        <v>20000</v>
      </c>
      <c r="R7" s="9">
        <f t="shared" si="8"/>
        <v>20000</v>
      </c>
      <c r="S7" s="9">
        <f t="shared" si="8"/>
        <v>20000</v>
      </c>
      <c r="T7" s="9">
        <f t="shared" si="8"/>
        <v>20000</v>
      </c>
      <c r="U7" s="9">
        <f t="shared" si="8"/>
        <v>20000</v>
      </c>
      <c r="V7" s="9">
        <f t="shared" ref="V7:V8" si="10">SUM(B8:U8)</f>
        <v>720000</v>
      </c>
      <c r="W7" s="1"/>
      <c r="X7" s="1"/>
      <c r="Y7" s="1"/>
      <c r="Z7" s="1"/>
      <c r="AA7" s="1"/>
    </row>
    <row r="8">
      <c r="A8" s="7" t="s">
        <v>10</v>
      </c>
      <c r="B8" s="7" t="s">
        <v>11</v>
      </c>
      <c r="C8" s="7" t="s">
        <v>12</v>
      </c>
      <c r="D8" s="7" t="s">
        <v>13</v>
      </c>
      <c r="E8" s="7" t="s">
        <v>52</v>
      </c>
      <c r="F8" s="1" t="s">
        <v>15</v>
      </c>
      <c r="G8" s="7" t="s">
        <v>16</v>
      </c>
      <c r="H8" s="1" t="s">
        <v>53</v>
      </c>
      <c r="I8" s="1" t="s">
        <v>54</v>
      </c>
      <c r="J8" s="9">
        <f t="shared" ref="J8:U8" si="9">30000*24/12</f>
        <v>60000</v>
      </c>
      <c r="K8" s="9">
        <f t="shared" si="9"/>
        <v>60000</v>
      </c>
      <c r="L8" s="9">
        <f t="shared" si="9"/>
        <v>60000</v>
      </c>
      <c r="M8" s="9">
        <f t="shared" si="9"/>
        <v>60000</v>
      </c>
      <c r="N8" s="9">
        <f t="shared" si="9"/>
        <v>60000</v>
      </c>
      <c r="O8" s="9">
        <f t="shared" si="9"/>
        <v>60000</v>
      </c>
      <c r="P8" s="9">
        <f t="shared" si="9"/>
        <v>60000</v>
      </c>
      <c r="Q8" s="9">
        <f t="shared" si="9"/>
        <v>60000</v>
      </c>
      <c r="R8" s="9">
        <f t="shared" si="9"/>
        <v>60000</v>
      </c>
      <c r="S8" s="9">
        <f t="shared" si="9"/>
        <v>60000</v>
      </c>
      <c r="T8" s="9">
        <f t="shared" si="9"/>
        <v>60000</v>
      </c>
      <c r="U8" s="9">
        <f t="shared" si="9"/>
        <v>60000</v>
      </c>
      <c r="V8" s="9">
        <f t="shared" si="10"/>
        <v>72000</v>
      </c>
      <c r="W8" s="1"/>
      <c r="X8" s="1"/>
      <c r="Y8" s="1"/>
      <c r="Z8" s="1"/>
      <c r="AA8" s="1"/>
    </row>
    <row r="9">
      <c r="A9" s="7" t="s">
        <v>10</v>
      </c>
      <c r="B9" s="7" t="s">
        <v>11</v>
      </c>
      <c r="C9" s="7" t="s">
        <v>12</v>
      </c>
      <c r="D9" s="7" t="s">
        <v>13</v>
      </c>
      <c r="E9" s="7" t="s">
        <v>52</v>
      </c>
      <c r="F9" s="1" t="s">
        <v>15</v>
      </c>
      <c r="G9" s="7" t="s">
        <v>16</v>
      </c>
      <c r="H9" s="7" t="s">
        <v>55</v>
      </c>
      <c r="I9" s="1" t="s">
        <v>56</v>
      </c>
      <c r="J9" s="9">
        <f t="shared" ref="J9:U9" si="11">1500*48/12</f>
        <v>6000</v>
      </c>
      <c r="K9" s="9">
        <f t="shared" si="11"/>
        <v>6000</v>
      </c>
      <c r="L9" s="9">
        <f t="shared" si="11"/>
        <v>6000</v>
      </c>
      <c r="M9" s="9">
        <f t="shared" si="11"/>
        <v>6000</v>
      </c>
      <c r="N9" s="9">
        <f t="shared" si="11"/>
        <v>6000</v>
      </c>
      <c r="O9" s="9">
        <f t="shared" si="11"/>
        <v>6000</v>
      </c>
      <c r="P9" s="9">
        <f t="shared" si="11"/>
        <v>6000</v>
      </c>
      <c r="Q9" s="9">
        <f t="shared" si="11"/>
        <v>6000</v>
      </c>
      <c r="R9" s="9">
        <f t="shared" si="11"/>
        <v>6000</v>
      </c>
      <c r="S9" s="9">
        <f t="shared" si="11"/>
        <v>6000</v>
      </c>
      <c r="T9" s="9">
        <f t="shared" si="11"/>
        <v>6000</v>
      </c>
      <c r="U9" s="9">
        <f t="shared" si="11"/>
        <v>6000</v>
      </c>
      <c r="V9" s="9" t="str">
        <f t="shared" ref="V9:V10" si="13">SUM(#REF!)</f>
        <v>#REF!</v>
      </c>
      <c r="W9" s="1"/>
      <c r="X9" s="1"/>
      <c r="Y9" s="1"/>
      <c r="Z9" s="1"/>
      <c r="AA9" s="1"/>
    </row>
    <row r="10">
      <c r="A10" s="7" t="s">
        <v>10</v>
      </c>
      <c r="B10" s="7" t="s">
        <v>11</v>
      </c>
      <c r="C10" s="7" t="s">
        <v>29</v>
      </c>
      <c r="D10" s="7" t="s">
        <v>30</v>
      </c>
      <c r="E10" s="7" t="s">
        <v>57</v>
      </c>
      <c r="F10" s="7" t="s">
        <v>26</v>
      </c>
      <c r="G10" s="7" t="s">
        <v>42</v>
      </c>
      <c r="H10" s="7" t="s">
        <v>58</v>
      </c>
      <c r="I10" s="7" t="s">
        <v>59</v>
      </c>
      <c r="J10" s="1">
        <f t="shared" ref="J10:U10" si="12">2000*10</f>
        <v>20000</v>
      </c>
      <c r="K10" s="1">
        <f t="shared" si="12"/>
        <v>20000</v>
      </c>
      <c r="L10" s="1">
        <f t="shared" si="12"/>
        <v>20000</v>
      </c>
      <c r="M10" s="1">
        <f t="shared" si="12"/>
        <v>20000</v>
      </c>
      <c r="N10" s="1">
        <f t="shared" si="12"/>
        <v>20000</v>
      </c>
      <c r="O10" s="1">
        <f t="shared" si="12"/>
        <v>20000</v>
      </c>
      <c r="P10" s="1">
        <f t="shared" si="12"/>
        <v>20000</v>
      </c>
      <c r="Q10" s="1">
        <f t="shared" si="12"/>
        <v>20000</v>
      </c>
      <c r="R10" s="1">
        <f t="shared" si="12"/>
        <v>20000</v>
      </c>
      <c r="S10" s="1">
        <f t="shared" si="12"/>
        <v>20000</v>
      </c>
      <c r="T10" s="1">
        <f t="shared" si="12"/>
        <v>20000</v>
      </c>
      <c r="U10" s="1">
        <f t="shared" si="12"/>
        <v>20000</v>
      </c>
      <c r="V10" s="9" t="str">
        <f t="shared" si="13"/>
        <v>#REF!</v>
      </c>
      <c r="W10" s="1"/>
      <c r="X10" s="1"/>
      <c r="Y10" s="1"/>
      <c r="Z10" s="1"/>
      <c r="AA10" s="1"/>
    </row>
    <row r="11">
      <c r="A11" s="7" t="s">
        <v>10</v>
      </c>
      <c r="B11" s="7" t="s">
        <v>18</v>
      </c>
      <c r="C11" s="7" t="s">
        <v>19</v>
      </c>
      <c r="D11" s="7" t="s">
        <v>33</v>
      </c>
      <c r="E11" s="7" t="s">
        <v>60</v>
      </c>
      <c r="F11" s="7" t="s">
        <v>26</v>
      </c>
      <c r="G11" s="7" t="s">
        <v>42</v>
      </c>
      <c r="H11" s="7" t="s">
        <v>61</v>
      </c>
      <c r="I11" s="7" t="s">
        <v>62</v>
      </c>
      <c r="J11" s="7">
        <v>1376.0</v>
      </c>
      <c r="K11" s="7">
        <v>1376.0</v>
      </c>
      <c r="L11" s="7">
        <v>1376.0</v>
      </c>
      <c r="M11" s="7">
        <v>1376.0</v>
      </c>
      <c r="N11" s="7">
        <v>1376.0</v>
      </c>
      <c r="O11" s="7">
        <v>1376.0</v>
      </c>
      <c r="P11" s="7">
        <v>1376.0</v>
      </c>
      <c r="Q11" s="7">
        <v>1376.0</v>
      </c>
      <c r="R11" s="7">
        <v>1376.0</v>
      </c>
      <c r="S11" s="7">
        <v>1376.0</v>
      </c>
      <c r="T11" s="7">
        <v>1376.0</v>
      </c>
      <c r="U11" s="7">
        <v>1376.0</v>
      </c>
      <c r="V11" s="9">
        <f t="shared" ref="V11:V13" si="14">SUM(B10:U10)</f>
        <v>240000</v>
      </c>
      <c r="W11" s="1"/>
      <c r="X11" s="1"/>
      <c r="Y11" s="1"/>
      <c r="Z11" s="1"/>
      <c r="AA11" s="1"/>
    </row>
    <row r="12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57</v>
      </c>
      <c r="F12" s="1" t="s">
        <v>26</v>
      </c>
      <c r="G12" s="1" t="s">
        <v>42</v>
      </c>
      <c r="H12" s="1" t="s">
        <v>63</v>
      </c>
      <c r="I12" s="1" t="s">
        <v>44</v>
      </c>
      <c r="J12" s="9">
        <v>1000.0</v>
      </c>
      <c r="K12" s="9">
        <v>1000.0</v>
      </c>
      <c r="L12" s="9">
        <v>1000.0</v>
      </c>
      <c r="M12" s="9">
        <v>1000.0</v>
      </c>
      <c r="N12" s="9">
        <v>1000.0</v>
      </c>
      <c r="O12" s="9">
        <v>1000.0</v>
      </c>
      <c r="P12" s="9">
        <v>1000.0</v>
      </c>
      <c r="Q12" s="9">
        <v>1000.0</v>
      </c>
      <c r="R12" s="9">
        <v>1000.0</v>
      </c>
      <c r="S12" s="9">
        <v>1000.0</v>
      </c>
      <c r="T12" s="9">
        <v>1000.0</v>
      </c>
      <c r="U12" s="9">
        <v>1000.0</v>
      </c>
      <c r="V12" s="9">
        <f t="shared" si="14"/>
        <v>16512</v>
      </c>
      <c r="W12" s="1"/>
      <c r="X12" s="1"/>
      <c r="Y12" s="1"/>
      <c r="Z12" s="1"/>
      <c r="AA12" s="1"/>
    </row>
    <row r="13">
      <c r="A13" s="7" t="s">
        <v>10</v>
      </c>
      <c r="B13" s="7" t="s">
        <v>11</v>
      </c>
      <c r="C13" s="7" t="s">
        <v>12</v>
      </c>
      <c r="D13" s="7" t="s">
        <v>13</v>
      </c>
      <c r="E13" s="7" t="s">
        <v>57</v>
      </c>
      <c r="F13" s="1" t="s">
        <v>26</v>
      </c>
      <c r="G13" s="1" t="s">
        <v>42</v>
      </c>
      <c r="H13" s="1" t="s">
        <v>64</v>
      </c>
      <c r="I13" s="1" t="s">
        <v>46</v>
      </c>
      <c r="J13" s="9">
        <v>10000.0</v>
      </c>
      <c r="K13" s="9">
        <v>10000.0</v>
      </c>
      <c r="L13" s="9">
        <v>10000.0</v>
      </c>
      <c r="M13" s="9">
        <v>10000.0</v>
      </c>
      <c r="N13" s="9">
        <v>10000.0</v>
      </c>
      <c r="O13" s="9">
        <v>10000.0</v>
      </c>
      <c r="P13" s="9">
        <v>10000.0</v>
      </c>
      <c r="Q13" s="9">
        <v>10000.0</v>
      </c>
      <c r="R13" s="9">
        <v>10000.0</v>
      </c>
      <c r="S13" s="9">
        <v>10000.0</v>
      </c>
      <c r="T13" s="9">
        <v>10000.0</v>
      </c>
      <c r="U13" s="9">
        <v>10000.0</v>
      </c>
      <c r="V13" s="9">
        <f t="shared" si="14"/>
        <v>12000</v>
      </c>
      <c r="W13" s="1"/>
      <c r="X13" s="1"/>
      <c r="Y13" s="1"/>
      <c r="Z13" s="1"/>
      <c r="AA13" s="1"/>
    </row>
    <row r="14">
      <c r="A14" s="7" t="s">
        <v>10</v>
      </c>
      <c r="B14" s="7" t="s">
        <v>11</v>
      </c>
      <c r="C14" s="7" t="s">
        <v>12</v>
      </c>
      <c r="D14" s="7" t="s">
        <v>13</v>
      </c>
      <c r="E14" s="1"/>
      <c r="F14" s="7" t="s">
        <v>15</v>
      </c>
      <c r="G14" s="7" t="s">
        <v>16</v>
      </c>
      <c r="H14" s="12" t="s">
        <v>65</v>
      </c>
      <c r="J14" s="13">
        <v>55080.0</v>
      </c>
      <c r="K14" s="13">
        <v>55080.0</v>
      </c>
      <c r="L14" s="13">
        <v>55080.0</v>
      </c>
      <c r="M14" s="13">
        <v>55080.0</v>
      </c>
      <c r="N14" s="13">
        <v>55080.0</v>
      </c>
      <c r="O14" s="13">
        <v>55080.0</v>
      </c>
      <c r="P14" s="13">
        <v>55080.0</v>
      </c>
      <c r="Q14" s="13">
        <v>55080.0</v>
      </c>
      <c r="R14" s="13">
        <v>55080.0</v>
      </c>
      <c r="S14" s="13">
        <v>55080.0</v>
      </c>
      <c r="T14" s="13">
        <v>55080.0</v>
      </c>
      <c r="U14" s="13">
        <v>55080.0</v>
      </c>
      <c r="V14" s="14">
        <v>660960.0</v>
      </c>
      <c r="W14" s="1"/>
      <c r="X14" s="1"/>
      <c r="Y14" s="1"/>
      <c r="Z14" s="1"/>
      <c r="AA14" s="1"/>
    </row>
    <row r="15">
      <c r="A15" s="7" t="s">
        <v>10</v>
      </c>
      <c r="B15" s="7" t="s">
        <v>18</v>
      </c>
      <c r="C15" s="7" t="s">
        <v>19</v>
      </c>
      <c r="D15" s="7" t="s">
        <v>20</v>
      </c>
      <c r="E15" s="1"/>
      <c r="F15" s="7" t="s">
        <v>15</v>
      </c>
      <c r="G15" s="7" t="s">
        <v>16</v>
      </c>
      <c r="H15" s="7" t="s">
        <v>65</v>
      </c>
      <c r="I15" s="1"/>
      <c r="J15" s="15">
        <v>110160.0</v>
      </c>
      <c r="K15" s="15">
        <v>110160.0</v>
      </c>
      <c r="L15" s="15">
        <v>110160.0</v>
      </c>
      <c r="M15" s="15">
        <v>110160.0</v>
      </c>
      <c r="N15" s="15">
        <v>110160.0</v>
      </c>
      <c r="O15" s="15">
        <v>110160.0</v>
      </c>
      <c r="P15" s="15">
        <v>110160.0</v>
      </c>
      <c r="Q15" s="15">
        <v>110160.0</v>
      </c>
      <c r="R15" s="15">
        <v>110160.0</v>
      </c>
      <c r="S15" s="15">
        <v>110160.0</v>
      </c>
      <c r="T15" s="15">
        <v>110160.0</v>
      </c>
      <c r="U15" s="15">
        <v>110160.0</v>
      </c>
      <c r="V15" s="14">
        <v>1321920.0</v>
      </c>
      <c r="W15" s="1"/>
      <c r="X15" s="1"/>
      <c r="Y15" s="1"/>
      <c r="Z15" s="1"/>
      <c r="AA15" s="1"/>
    </row>
    <row r="16">
      <c r="A16" s="7" t="s">
        <v>10</v>
      </c>
      <c r="B16" s="7" t="s">
        <v>18</v>
      </c>
      <c r="C16" s="7" t="s">
        <v>21</v>
      </c>
      <c r="D16" s="7" t="s">
        <v>22</v>
      </c>
      <c r="E16" s="1"/>
      <c r="F16" s="7" t="s">
        <v>15</v>
      </c>
      <c r="G16" s="7" t="s">
        <v>16</v>
      </c>
      <c r="H16" s="7" t="s">
        <v>65</v>
      </c>
      <c r="I16" s="1"/>
      <c r="J16" s="15">
        <v>110160.0</v>
      </c>
      <c r="K16" s="15">
        <v>110160.0</v>
      </c>
      <c r="L16" s="15">
        <v>110160.0</v>
      </c>
      <c r="M16" s="15">
        <v>110160.0</v>
      </c>
      <c r="N16" s="15">
        <v>110160.0</v>
      </c>
      <c r="O16" s="15">
        <v>110160.0</v>
      </c>
      <c r="P16" s="15">
        <v>110160.0</v>
      </c>
      <c r="Q16" s="15">
        <v>110160.0</v>
      </c>
      <c r="R16" s="15">
        <v>110160.0</v>
      </c>
      <c r="S16" s="15">
        <v>110160.0</v>
      </c>
      <c r="T16" s="15">
        <v>110160.0</v>
      </c>
      <c r="U16" s="15">
        <v>110160.0</v>
      </c>
      <c r="V16" s="14">
        <v>1321920.0</v>
      </c>
      <c r="W16" s="1"/>
      <c r="X16" s="1"/>
      <c r="Y16" s="1"/>
      <c r="Z16" s="1"/>
      <c r="AA16" s="1"/>
    </row>
    <row r="17">
      <c r="A17" s="7" t="s">
        <v>10</v>
      </c>
      <c r="B17" s="7" t="s">
        <v>11</v>
      </c>
      <c r="C17" s="7" t="s">
        <v>12</v>
      </c>
      <c r="D17" s="7" t="s">
        <v>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9">
        <f t="shared" ref="V17:V22" si="15">SUM(B17:U17)</f>
        <v>0</v>
      </c>
      <c r="W17" s="1"/>
      <c r="X17" s="1"/>
      <c r="Y17" s="1"/>
      <c r="Z17" s="1"/>
      <c r="AA17" s="1"/>
    </row>
    <row r="18">
      <c r="A18" s="7" t="s">
        <v>10</v>
      </c>
      <c r="B18" s="7" t="s">
        <v>11</v>
      </c>
      <c r="C18" s="7" t="s">
        <v>12</v>
      </c>
      <c r="D18" s="7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9">
        <f t="shared" si="15"/>
        <v>0</v>
      </c>
      <c r="W18" s="1"/>
      <c r="X18" s="1"/>
      <c r="Y18" s="1"/>
      <c r="Z18" s="1"/>
      <c r="AA18" s="1"/>
    </row>
    <row r="19">
      <c r="A19" s="7" t="s">
        <v>10</v>
      </c>
      <c r="B19" s="7" t="s">
        <v>11</v>
      </c>
      <c r="C19" s="7" t="s">
        <v>12</v>
      </c>
      <c r="D19" s="7" t="s">
        <v>13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9">
        <f t="shared" si="15"/>
        <v>0</v>
      </c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9">
        <f t="shared" si="15"/>
        <v>0</v>
      </c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9">
        <f t="shared" si="15"/>
        <v>0</v>
      </c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9">
        <f t="shared" si="15"/>
        <v>0</v>
      </c>
      <c r="W22" s="1"/>
      <c r="X22" s="1"/>
      <c r="Y22" s="1"/>
      <c r="Z22" s="1"/>
      <c r="AA22" s="1"/>
    </row>
    <row r="23">
      <c r="A23" s="4"/>
      <c r="B23" s="4"/>
      <c r="C23" s="4"/>
      <c r="D23" s="4"/>
      <c r="E23" s="1"/>
      <c r="F23" s="1"/>
      <c r="G23" s="4"/>
      <c r="H23" s="4"/>
      <c r="I23" s="1"/>
      <c r="J23" s="5"/>
      <c r="K23" s="5"/>
      <c r="L23" s="5"/>
      <c r="M23" s="5"/>
      <c r="N23" s="5"/>
      <c r="O23" s="5"/>
      <c r="P23" s="5"/>
      <c r="Q23" s="1"/>
      <c r="R23" s="1"/>
      <c r="S23" s="1"/>
      <c r="T23" s="1"/>
      <c r="U23" s="1"/>
      <c r="V23" s="6"/>
      <c r="W23" s="1"/>
      <c r="X23" s="1"/>
      <c r="Y23" s="1"/>
      <c r="Z23" s="1"/>
      <c r="AA23" s="1"/>
    </row>
    <row r="24">
      <c r="A24" s="4"/>
      <c r="B24" s="4"/>
      <c r="C24" s="4"/>
      <c r="D24" s="4"/>
      <c r="E24" s="1"/>
      <c r="F24" s="1"/>
      <c r="G24" s="4"/>
      <c r="H24" s="4"/>
      <c r="I24" s="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9">
        <f t="shared" ref="V25:V1000" si="16">SUM(B25:U25)</f>
        <v>0</v>
      </c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9">
        <f t="shared" si="16"/>
        <v>0</v>
      </c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9">
        <f t="shared" si="16"/>
        <v>0</v>
      </c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9">
        <f t="shared" si="16"/>
        <v>0</v>
      </c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9">
        <f t="shared" si="16"/>
        <v>0</v>
      </c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9">
        <f t="shared" si="16"/>
        <v>0</v>
      </c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9">
        <f t="shared" si="16"/>
        <v>0</v>
      </c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9">
        <f t="shared" si="16"/>
        <v>0</v>
      </c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9">
        <f t="shared" si="16"/>
        <v>0</v>
      </c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9">
        <f t="shared" si="16"/>
        <v>0</v>
      </c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>
        <f t="shared" si="16"/>
        <v>0</v>
      </c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9">
        <f t="shared" si="16"/>
        <v>0</v>
      </c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9">
        <f t="shared" si="16"/>
        <v>0</v>
      </c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9">
        <f t="shared" si="16"/>
        <v>0</v>
      </c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9">
        <f t="shared" si="16"/>
        <v>0</v>
      </c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9">
        <f t="shared" si="16"/>
        <v>0</v>
      </c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9">
        <f t="shared" si="16"/>
        <v>0</v>
      </c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9">
        <f t="shared" si="16"/>
        <v>0</v>
      </c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9">
        <f t="shared" si="16"/>
        <v>0</v>
      </c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9">
        <f t="shared" si="16"/>
        <v>0</v>
      </c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9">
        <f t="shared" si="16"/>
        <v>0</v>
      </c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9">
        <f t="shared" si="16"/>
        <v>0</v>
      </c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>
        <f t="shared" si="16"/>
        <v>0</v>
      </c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9">
        <f t="shared" si="16"/>
        <v>0</v>
      </c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9">
        <f t="shared" si="16"/>
        <v>0</v>
      </c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9">
        <f t="shared" si="16"/>
        <v>0</v>
      </c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>
        <f t="shared" si="16"/>
        <v>0</v>
      </c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>
        <f t="shared" si="16"/>
        <v>0</v>
      </c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>
        <f t="shared" si="16"/>
        <v>0</v>
      </c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9">
        <f t="shared" si="16"/>
        <v>0</v>
      </c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>
        <f t="shared" si="16"/>
        <v>0</v>
      </c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">
        <f t="shared" si="16"/>
        <v>0</v>
      </c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9">
        <f t="shared" si="16"/>
        <v>0</v>
      </c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9">
        <f t="shared" si="16"/>
        <v>0</v>
      </c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>
        <f t="shared" si="16"/>
        <v>0</v>
      </c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9">
        <f t="shared" si="16"/>
        <v>0</v>
      </c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9">
        <f t="shared" si="16"/>
        <v>0</v>
      </c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>
        <f t="shared" si="16"/>
        <v>0</v>
      </c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>
        <f t="shared" si="16"/>
        <v>0</v>
      </c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">
        <f t="shared" si="16"/>
        <v>0</v>
      </c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9">
        <f t="shared" si="16"/>
        <v>0</v>
      </c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9">
        <f t="shared" si="16"/>
        <v>0</v>
      </c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9">
        <f t="shared" si="16"/>
        <v>0</v>
      </c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9">
        <f t="shared" si="16"/>
        <v>0</v>
      </c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9">
        <f t="shared" si="16"/>
        <v>0</v>
      </c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9">
        <f t="shared" si="16"/>
        <v>0</v>
      </c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>
        <f t="shared" si="16"/>
        <v>0</v>
      </c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>
        <f t="shared" si="16"/>
        <v>0</v>
      </c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9">
        <f t="shared" si="16"/>
        <v>0</v>
      </c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9">
        <f t="shared" si="16"/>
        <v>0</v>
      </c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9">
        <f t="shared" si="16"/>
        <v>0</v>
      </c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9">
        <f t="shared" si="16"/>
        <v>0</v>
      </c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9">
        <f t="shared" si="16"/>
        <v>0</v>
      </c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9">
        <f t="shared" si="16"/>
        <v>0</v>
      </c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9">
        <f t="shared" si="16"/>
        <v>0</v>
      </c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9">
        <f t="shared" si="16"/>
        <v>0</v>
      </c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9">
        <f t="shared" si="16"/>
        <v>0</v>
      </c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9">
        <f t="shared" si="16"/>
        <v>0</v>
      </c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9">
        <f t="shared" si="16"/>
        <v>0</v>
      </c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9">
        <f t="shared" si="16"/>
        <v>0</v>
      </c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9">
        <f t="shared" si="16"/>
        <v>0</v>
      </c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9">
        <f t="shared" si="16"/>
        <v>0</v>
      </c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9">
        <f t="shared" si="16"/>
        <v>0</v>
      </c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9">
        <f t="shared" si="16"/>
        <v>0</v>
      </c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9">
        <f t="shared" si="16"/>
        <v>0</v>
      </c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9">
        <f t="shared" si="16"/>
        <v>0</v>
      </c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9">
        <f t="shared" si="16"/>
        <v>0</v>
      </c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9">
        <f t="shared" si="16"/>
        <v>0</v>
      </c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9">
        <f t="shared" si="16"/>
        <v>0</v>
      </c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9">
        <f t="shared" si="16"/>
        <v>0</v>
      </c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9">
        <f t="shared" si="16"/>
        <v>0</v>
      </c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9">
        <f t="shared" si="16"/>
        <v>0</v>
      </c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9">
        <f t="shared" si="16"/>
        <v>0</v>
      </c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9">
        <f t="shared" si="16"/>
        <v>0</v>
      </c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9">
        <f t="shared" si="16"/>
        <v>0</v>
      </c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9">
        <f t="shared" si="16"/>
        <v>0</v>
      </c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9">
        <f t="shared" si="16"/>
        <v>0</v>
      </c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9">
        <f t="shared" si="16"/>
        <v>0</v>
      </c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9">
        <f t="shared" si="16"/>
        <v>0</v>
      </c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9">
        <f t="shared" si="16"/>
        <v>0</v>
      </c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9">
        <f t="shared" si="16"/>
        <v>0</v>
      </c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9">
        <f t="shared" si="16"/>
        <v>0</v>
      </c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9">
        <f t="shared" si="16"/>
        <v>0</v>
      </c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9">
        <f t="shared" si="16"/>
        <v>0</v>
      </c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9">
        <f t="shared" si="16"/>
        <v>0</v>
      </c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9">
        <f t="shared" si="16"/>
        <v>0</v>
      </c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9">
        <f t="shared" si="16"/>
        <v>0</v>
      </c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9">
        <f t="shared" si="16"/>
        <v>0</v>
      </c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9">
        <f t="shared" si="16"/>
        <v>0</v>
      </c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9">
        <f t="shared" si="16"/>
        <v>0</v>
      </c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9">
        <f t="shared" si="16"/>
        <v>0</v>
      </c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9">
        <f t="shared" si="16"/>
        <v>0</v>
      </c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9">
        <f t="shared" si="16"/>
        <v>0</v>
      </c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9">
        <f t="shared" si="16"/>
        <v>0</v>
      </c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9">
        <f t="shared" si="16"/>
        <v>0</v>
      </c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9">
        <f t="shared" si="16"/>
        <v>0</v>
      </c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9">
        <f t="shared" si="16"/>
        <v>0</v>
      </c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9">
        <f t="shared" si="16"/>
        <v>0</v>
      </c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9">
        <f t="shared" si="16"/>
        <v>0</v>
      </c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9">
        <f t="shared" si="16"/>
        <v>0</v>
      </c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9">
        <f t="shared" si="16"/>
        <v>0</v>
      </c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9">
        <f t="shared" si="16"/>
        <v>0</v>
      </c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9">
        <f t="shared" si="16"/>
        <v>0</v>
      </c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9">
        <f t="shared" si="16"/>
        <v>0</v>
      </c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9">
        <f t="shared" si="16"/>
        <v>0</v>
      </c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9">
        <f t="shared" si="16"/>
        <v>0</v>
      </c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9">
        <f t="shared" si="16"/>
        <v>0</v>
      </c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9">
        <f t="shared" si="16"/>
        <v>0</v>
      </c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9">
        <f t="shared" si="16"/>
        <v>0</v>
      </c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9">
        <f t="shared" si="16"/>
        <v>0</v>
      </c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9">
        <f t="shared" si="16"/>
        <v>0</v>
      </c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9">
        <f t="shared" si="16"/>
        <v>0</v>
      </c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9">
        <f t="shared" si="16"/>
        <v>0</v>
      </c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9">
        <f t="shared" si="16"/>
        <v>0</v>
      </c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9">
        <f t="shared" si="16"/>
        <v>0</v>
      </c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9">
        <f t="shared" si="16"/>
        <v>0</v>
      </c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9">
        <f t="shared" si="16"/>
        <v>0</v>
      </c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9">
        <f t="shared" si="16"/>
        <v>0</v>
      </c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9">
        <f t="shared" si="16"/>
        <v>0</v>
      </c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9">
        <f t="shared" si="16"/>
        <v>0</v>
      </c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9">
        <f t="shared" si="16"/>
        <v>0</v>
      </c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9">
        <f t="shared" si="16"/>
        <v>0</v>
      </c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9">
        <f t="shared" si="16"/>
        <v>0</v>
      </c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9">
        <f t="shared" si="16"/>
        <v>0</v>
      </c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9">
        <f t="shared" si="16"/>
        <v>0</v>
      </c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9">
        <f t="shared" si="16"/>
        <v>0</v>
      </c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9">
        <f t="shared" si="16"/>
        <v>0</v>
      </c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9">
        <f t="shared" si="16"/>
        <v>0</v>
      </c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9">
        <f t="shared" si="16"/>
        <v>0</v>
      </c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9">
        <f t="shared" si="16"/>
        <v>0</v>
      </c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9">
        <f t="shared" si="16"/>
        <v>0</v>
      </c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9">
        <f t="shared" si="16"/>
        <v>0</v>
      </c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9">
        <f t="shared" si="16"/>
        <v>0</v>
      </c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9">
        <f t="shared" si="16"/>
        <v>0</v>
      </c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9">
        <f t="shared" si="16"/>
        <v>0</v>
      </c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9">
        <f t="shared" si="16"/>
        <v>0</v>
      </c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9">
        <f t="shared" si="16"/>
        <v>0</v>
      </c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9">
        <f t="shared" si="16"/>
        <v>0</v>
      </c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9">
        <f t="shared" si="16"/>
        <v>0</v>
      </c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9">
        <f t="shared" si="16"/>
        <v>0</v>
      </c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9">
        <f t="shared" si="16"/>
        <v>0</v>
      </c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9">
        <f t="shared" si="16"/>
        <v>0</v>
      </c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9">
        <f t="shared" si="16"/>
        <v>0</v>
      </c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9">
        <f t="shared" si="16"/>
        <v>0</v>
      </c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9">
        <f t="shared" si="16"/>
        <v>0</v>
      </c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9">
        <f t="shared" si="16"/>
        <v>0</v>
      </c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9">
        <f t="shared" si="16"/>
        <v>0</v>
      </c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9">
        <f t="shared" si="16"/>
        <v>0</v>
      </c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9">
        <f t="shared" si="16"/>
        <v>0</v>
      </c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9">
        <f t="shared" si="16"/>
        <v>0</v>
      </c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9">
        <f t="shared" si="16"/>
        <v>0</v>
      </c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9">
        <f t="shared" si="16"/>
        <v>0</v>
      </c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9">
        <f t="shared" si="16"/>
        <v>0</v>
      </c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9">
        <f t="shared" si="16"/>
        <v>0</v>
      </c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9">
        <f t="shared" si="16"/>
        <v>0</v>
      </c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9">
        <f t="shared" si="16"/>
        <v>0</v>
      </c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9">
        <f t="shared" si="16"/>
        <v>0</v>
      </c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9">
        <f t="shared" si="16"/>
        <v>0</v>
      </c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9">
        <f t="shared" si="16"/>
        <v>0</v>
      </c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9">
        <f t="shared" si="16"/>
        <v>0</v>
      </c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9">
        <f t="shared" si="16"/>
        <v>0</v>
      </c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9">
        <f t="shared" si="16"/>
        <v>0</v>
      </c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9">
        <f t="shared" si="16"/>
        <v>0</v>
      </c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9">
        <f t="shared" si="16"/>
        <v>0</v>
      </c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9">
        <f t="shared" si="16"/>
        <v>0</v>
      </c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9">
        <f t="shared" si="16"/>
        <v>0</v>
      </c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9">
        <f t="shared" si="16"/>
        <v>0</v>
      </c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9">
        <f t="shared" si="16"/>
        <v>0</v>
      </c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9">
        <f t="shared" si="16"/>
        <v>0</v>
      </c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9">
        <f t="shared" si="16"/>
        <v>0</v>
      </c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9">
        <f t="shared" si="16"/>
        <v>0</v>
      </c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9">
        <f t="shared" si="16"/>
        <v>0</v>
      </c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9">
        <f t="shared" si="16"/>
        <v>0</v>
      </c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9">
        <f t="shared" si="16"/>
        <v>0</v>
      </c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9">
        <f t="shared" si="16"/>
        <v>0</v>
      </c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9">
        <f t="shared" si="16"/>
        <v>0</v>
      </c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9">
        <f t="shared" si="16"/>
        <v>0</v>
      </c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9">
        <f t="shared" si="16"/>
        <v>0</v>
      </c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9">
        <f t="shared" si="16"/>
        <v>0</v>
      </c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9">
        <f t="shared" si="16"/>
        <v>0</v>
      </c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9">
        <f t="shared" si="16"/>
        <v>0</v>
      </c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9">
        <f t="shared" si="16"/>
        <v>0</v>
      </c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9">
        <f t="shared" si="16"/>
        <v>0</v>
      </c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9">
        <f t="shared" si="16"/>
        <v>0</v>
      </c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9">
        <f t="shared" si="16"/>
        <v>0</v>
      </c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9">
        <f t="shared" si="16"/>
        <v>0</v>
      </c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9">
        <f t="shared" si="16"/>
        <v>0</v>
      </c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9">
        <f t="shared" si="16"/>
        <v>0</v>
      </c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9">
        <f t="shared" si="16"/>
        <v>0</v>
      </c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9">
        <f t="shared" si="16"/>
        <v>0</v>
      </c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9">
        <f t="shared" si="16"/>
        <v>0</v>
      </c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9">
        <f t="shared" si="16"/>
        <v>0</v>
      </c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9">
        <f t="shared" si="16"/>
        <v>0</v>
      </c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9">
        <f t="shared" si="16"/>
        <v>0</v>
      </c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9">
        <f t="shared" si="16"/>
        <v>0</v>
      </c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9">
        <f t="shared" si="16"/>
        <v>0</v>
      </c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9">
        <f t="shared" si="16"/>
        <v>0</v>
      </c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9">
        <f t="shared" si="16"/>
        <v>0</v>
      </c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9">
        <f t="shared" si="16"/>
        <v>0</v>
      </c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9">
        <f t="shared" si="16"/>
        <v>0</v>
      </c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9">
        <f t="shared" si="16"/>
        <v>0</v>
      </c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9">
        <f t="shared" si="16"/>
        <v>0</v>
      </c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9">
        <f t="shared" si="16"/>
        <v>0</v>
      </c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9">
        <f t="shared" si="16"/>
        <v>0</v>
      </c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9">
        <f t="shared" si="16"/>
        <v>0</v>
      </c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9">
        <f t="shared" si="16"/>
        <v>0</v>
      </c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9">
        <f t="shared" si="16"/>
        <v>0</v>
      </c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9">
        <f t="shared" si="16"/>
        <v>0</v>
      </c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9">
        <f t="shared" si="16"/>
        <v>0</v>
      </c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9">
        <f t="shared" si="16"/>
        <v>0</v>
      </c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9">
        <f t="shared" si="16"/>
        <v>0</v>
      </c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9">
        <f t="shared" si="16"/>
        <v>0</v>
      </c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9">
        <f t="shared" si="16"/>
        <v>0</v>
      </c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9">
        <f t="shared" si="16"/>
        <v>0</v>
      </c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9">
        <f t="shared" si="16"/>
        <v>0</v>
      </c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9">
        <f t="shared" si="16"/>
        <v>0</v>
      </c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9">
        <f t="shared" si="16"/>
        <v>0</v>
      </c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9">
        <f t="shared" si="16"/>
        <v>0</v>
      </c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9">
        <f t="shared" si="16"/>
        <v>0</v>
      </c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9">
        <f t="shared" si="16"/>
        <v>0</v>
      </c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9">
        <f t="shared" si="16"/>
        <v>0</v>
      </c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9">
        <f t="shared" si="16"/>
        <v>0</v>
      </c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9">
        <f t="shared" si="16"/>
        <v>0</v>
      </c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9">
        <f t="shared" si="16"/>
        <v>0</v>
      </c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9">
        <f t="shared" si="16"/>
        <v>0</v>
      </c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9">
        <f t="shared" si="16"/>
        <v>0</v>
      </c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9">
        <f t="shared" si="16"/>
        <v>0</v>
      </c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9">
        <f t="shared" si="16"/>
        <v>0</v>
      </c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9">
        <f t="shared" si="16"/>
        <v>0</v>
      </c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9">
        <f t="shared" si="16"/>
        <v>0</v>
      </c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9">
        <f t="shared" si="16"/>
        <v>0</v>
      </c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9">
        <f t="shared" si="16"/>
        <v>0</v>
      </c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9">
        <f t="shared" si="16"/>
        <v>0</v>
      </c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9">
        <f t="shared" si="16"/>
        <v>0</v>
      </c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9">
        <f t="shared" si="16"/>
        <v>0</v>
      </c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9">
        <f t="shared" si="16"/>
        <v>0</v>
      </c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9">
        <f t="shared" si="16"/>
        <v>0</v>
      </c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9">
        <f t="shared" si="16"/>
        <v>0</v>
      </c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9">
        <f t="shared" si="16"/>
        <v>0</v>
      </c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9">
        <f t="shared" si="16"/>
        <v>0</v>
      </c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9">
        <f t="shared" si="16"/>
        <v>0</v>
      </c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9">
        <f t="shared" si="16"/>
        <v>0</v>
      </c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9">
        <f t="shared" si="16"/>
        <v>0</v>
      </c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9">
        <f t="shared" si="16"/>
        <v>0</v>
      </c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9">
        <f t="shared" si="16"/>
        <v>0</v>
      </c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9">
        <f t="shared" si="16"/>
        <v>0</v>
      </c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9">
        <f t="shared" si="16"/>
        <v>0</v>
      </c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9">
        <f t="shared" si="16"/>
        <v>0</v>
      </c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9">
        <f t="shared" si="16"/>
        <v>0</v>
      </c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9">
        <f t="shared" si="16"/>
        <v>0</v>
      </c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9">
        <f t="shared" si="16"/>
        <v>0</v>
      </c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9">
        <f t="shared" si="16"/>
        <v>0</v>
      </c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9">
        <f t="shared" si="16"/>
        <v>0</v>
      </c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9">
        <f t="shared" si="16"/>
        <v>0</v>
      </c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9">
        <f t="shared" si="16"/>
        <v>0</v>
      </c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9">
        <f t="shared" si="16"/>
        <v>0</v>
      </c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9">
        <f t="shared" si="16"/>
        <v>0</v>
      </c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9">
        <f t="shared" si="16"/>
        <v>0</v>
      </c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9">
        <f t="shared" si="16"/>
        <v>0</v>
      </c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9">
        <f t="shared" si="16"/>
        <v>0</v>
      </c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9">
        <f t="shared" si="16"/>
        <v>0</v>
      </c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9">
        <f t="shared" si="16"/>
        <v>0</v>
      </c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9">
        <f t="shared" si="16"/>
        <v>0</v>
      </c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9">
        <f t="shared" si="16"/>
        <v>0</v>
      </c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9">
        <f t="shared" si="16"/>
        <v>0</v>
      </c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9">
        <f t="shared" si="16"/>
        <v>0</v>
      </c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9">
        <f t="shared" si="16"/>
        <v>0</v>
      </c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9">
        <f t="shared" si="16"/>
        <v>0</v>
      </c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9">
        <f t="shared" si="16"/>
        <v>0</v>
      </c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9">
        <f t="shared" si="16"/>
        <v>0</v>
      </c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9">
        <f t="shared" si="16"/>
        <v>0</v>
      </c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9">
        <f t="shared" si="16"/>
        <v>0</v>
      </c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9">
        <f t="shared" si="16"/>
        <v>0</v>
      </c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9">
        <f t="shared" si="16"/>
        <v>0</v>
      </c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9">
        <f t="shared" si="16"/>
        <v>0</v>
      </c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9">
        <f t="shared" si="16"/>
        <v>0</v>
      </c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9">
        <f t="shared" si="16"/>
        <v>0</v>
      </c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9">
        <f t="shared" si="16"/>
        <v>0</v>
      </c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9">
        <f t="shared" si="16"/>
        <v>0</v>
      </c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9">
        <f t="shared" si="16"/>
        <v>0</v>
      </c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9">
        <f t="shared" si="16"/>
        <v>0</v>
      </c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9">
        <f t="shared" si="16"/>
        <v>0</v>
      </c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9">
        <f t="shared" si="16"/>
        <v>0</v>
      </c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9">
        <f t="shared" si="16"/>
        <v>0</v>
      </c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9">
        <f t="shared" si="16"/>
        <v>0</v>
      </c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9">
        <f t="shared" si="16"/>
        <v>0</v>
      </c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9">
        <f t="shared" si="16"/>
        <v>0</v>
      </c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9">
        <f t="shared" si="16"/>
        <v>0</v>
      </c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9">
        <f t="shared" si="16"/>
        <v>0</v>
      </c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9">
        <f t="shared" si="16"/>
        <v>0</v>
      </c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9">
        <f t="shared" si="16"/>
        <v>0</v>
      </c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9">
        <f t="shared" si="16"/>
        <v>0</v>
      </c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9">
        <f t="shared" si="16"/>
        <v>0</v>
      </c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9">
        <f t="shared" si="16"/>
        <v>0</v>
      </c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9">
        <f t="shared" si="16"/>
        <v>0</v>
      </c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9">
        <f t="shared" si="16"/>
        <v>0</v>
      </c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9">
        <f t="shared" si="16"/>
        <v>0</v>
      </c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9">
        <f t="shared" si="16"/>
        <v>0</v>
      </c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9">
        <f t="shared" si="16"/>
        <v>0</v>
      </c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9">
        <f t="shared" si="16"/>
        <v>0</v>
      </c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9">
        <f t="shared" si="16"/>
        <v>0</v>
      </c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9">
        <f t="shared" si="16"/>
        <v>0</v>
      </c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9">
        <f t="shared" si="16"/>
        <v>0</v>
      </c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9">
        <f t="shared" si="16"/>
        <v>0</v>
      </c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9">
        <f t="shared" si="16"/>
        <v>0</v>
      </c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9">
        <f t="shared" si="16"/>
        <v>0</v>
      </c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9">
        <f t="shared" si="16"/>
        <v>0</v>
      </c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9">
        <f t="shared" si="16"/>
        <v>0</v>
      </c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9">
        <f t="shared" si="16"/>
        <v>0</v>
      </c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9">
        <f t="shared" si="16"/>
        <v>0</v>
      </c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9">
        <f t="shared" si="16"/>
        <v>0</v>
      </c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9">
        <f t="shared" si="16"/>
        <v>0</v>
      </c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9">
        <f t="shared" si="16"/>
        <v>0</v>
      </c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9">
        <f t="shared" si="16"/>
        <v>0</v>
      </c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9">
        <f t="shared" si="16"/>
        <v>0</v>
      </c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9">
        <f t="shared" si="16"/>
        <v>0</v>
      </c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9">
        <f t="shared" si="16"/>
        <v>0</v>
      </c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9">
        <f t="shared" si="16"/>
        <v>0</v>
      </c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9">
        <f t="shared" si="16"/>
        <v>0</v>
      </c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9">
        <f t="shared" si="16"/>
        <v>0</v>
      </c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9">
        <f t="shared" si="16"/>
        <v>0</v>
      </c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9">
        <f t="shared" si="16"/>
        <v>0</v>
      </c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9">
        <f t="shared" si="16"/>
        <v>0</v>
      </c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9">
        <f t="shared" si="16"/>
        <v>0</v>
      </c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9">
        <f t="shared" si="16"/>
        <v>0</v>
      </c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9">
        <f t="shared" si="16"/>
        <v>0</v>
      </c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9">
        <f t="shared" si="16"/>
        <v>0</v>
      </c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9">
        <f t="shared" si="16"/>
        <v>0</v>
      </c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9">
        <f t="shared" si="16"/>
        <v>0</v>
      </c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9">
        <f t="shared" si="16"/>
        <v>0</v>
      </c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9">
        <f t="shared" si="16"/>
        <v>0</v>
      </c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9">
        <f t="shared" si="16"/>
        <v>0</v>
      </c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9">
        <f t="shared" si="16"/>
        <v>0</v>
      </c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9">
        <f t="shared" si="16"/>
        <v>0</v>
      </c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9">
        <f t="shared" si="16"/>
        <v>0</v>
      </c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9">
        <f t="shared" si="16"/>
        <v>0</v>
      </c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9">
        <f t="shared" si="16"/>
        <v>0</v>
      </c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9">
        <f t="shared" si="16"/>
        <v>0</v>
      </c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9">
        <f t="shared" si="16"/>
        <v>0</v>
      </c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9">
        <f t="shared" si="16"/>
        <v>0</v>
      </c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9">
        <f t="shared" si="16"/>
        <v>0</v>
      </c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9">
        <f t="shared" si="16"/>
        <v>0</v>
      </c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9">
        <f t="shared" si="16"/>
        <v>0</v>
      </c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9">
        <f t="shared" si="16"/>
        <v>0</v>
      </c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9">
        <f t="shared" si="16"/>
        <v>0</v>
      </c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9">
        <f t="shared" si="16"/>
        <v>0</v>
      </c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9">
        <f t="shared" si="16"/>
        <v>0</v>
      </c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9">
        <f t="shared" si="16"/>
        <v>0</v>
      </c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9">
        <f t="shared" si="16"/>
        <v>0</v>
      </c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9">
        <f t="shared" si="16"/>
        <v>0</v>
      </c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9">
        <f t="shared" si="16"/>
        <v>0</v>
      </c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9">
        <f t="shared" si="16"/>
        <v>0</v>
      </c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9">
        <f t="shared" si="16"/>
        <v>0</v>
      </c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9">
        <f t="shared" si="16"/>
        <v>0</v>
      </c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9">
        <f t="shared" si="16"/>
        <v>0</v>
      </c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9">
        <f t="shared" si="16"/>
        <v>0</v>
      </c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9">
        <f t="shared" si="16"/>
        <v>0</v>
      </c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9">
        <f t="shared" si="16"/>
        <v>0</v>
      </c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9">
        <f t="shared" si="16"/>
        <v>0</v>
      </c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9">
        <f t="shared" si="16"/>
        <v>0</v>
      </c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9">
        <f t="shared" si="16"/>
        <v>0</v>
      </c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9">
        <f t="shared" si="16"/>
        <v>0</v>
      </c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9">
        <f t="shared" si="16"/>
        <v>0</v>
      </c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9">
        <f t="shared" si="16"/>
        <v>0</v>
      </c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9">
        <f t="shared" si="16"/>
        <v>0</v>
      </c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9">
        <f t="shared" si="16"/>
        <v>0</v>
      </c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9">
        <f t="shared" si="16"/>
        <v>0</v>
      </c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9">
        <f t="shared" si="16"/>
        <v>0</v>
      </c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9">
        <f t="shared" si="16"/>
        <v>0</v>
      </c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9">
        <f t="shared" si="16"/>
        <v>0</v>
      </c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9">
        <f t="shared" si="16"/>
        <v>0</v>
      </c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9">
        <f t="shared" si="16"/>
        <v>0</v>
      </c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9">
        <f t="shared" si="16"/>
        <v>0</v>
      </c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9">
        <f t="shared" si="16"/>
        <v>0</v>
      </c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9">
        <f t="shared" si="16"/>
        <v>0</v>
      </c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9">
        <f t="shared" si="16"/>
        <v>0</v>
      </c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9">
        <f t="shared" si="16"/>
        <v>0</v>
      </c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9">
        <f t="shared" si="16"/>
        <v>0</v>
      </c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9">
        <f t="shared" si="16"/>
        <v>0</v>
      </c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9">
        <f t="shared" si="16"/>
        <v>0</v>
      </c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9">
        <f t="shared" si="16"/>
        <v>0</v>
      </c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9">
        <f t="shared" si="16"/>
        <v>0</v>
      </c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9">
        <f t="shared" si="16"/>
        <v>0</v>
      </c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9">
        <f t="shared" si="16"/>
        <v>0</v>
      </c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9">
        <f t="shared" si="16"/>
        <v>0</v>
      </c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9">
        <f t="shared" si="16"/>
        <v>0</v>
      </c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9">
        <f t="shared" si="16"/>
        <v>0</v>
      </c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9">
        <f t="shared" si="16"/>
        <v>0</v>
      </c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9">
        <f t="shared" si="16"/>
        <v>0</v>
      </c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9">
        <f t="shared" si="16"/>
        <v>0</v>
      </c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9">
        <f t="shared" si="16"/>
        <v>0</v>
      </c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9">
        <f t="shared" si="16"/>
        <v>0</v>
      </c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9">
        <f t="shared" si="16"/>
        <v>0</v>
      </c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9">
        <f t="shared" si="16"/>
        <v>0</v>
      </c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9">
        <f t="shared" si="16"/>
        <v>0</v>
      </c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9">
        <f t="shared" si="16"/>
        <v>0</v>
      </c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9">
        <f t="shared" si="16"/>
        <v>0</v>
      </c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9">
        <f t="shared" si="16"/>
        <v>0</v>
      </c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9">
        <f t="shared" si="16"/>
        <v>0</v>
      </c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9">
        <f t="shared" si="16"/>
        <v>0</v>
      </c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9">
        <f t="shared" si="16"/>
        <v>0</v>
      </c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9">
        <f t="shared" si="16"/>
        <v>0</v>
      </c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9">
        <f t="shared" si="16"/>
        <v>0</v>
      </c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9">
        <f t="shared" si="16"/>
        <v>0</v>
      </c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9">
        <f t="shared" si="16"/>
        <v>0</v>
      </c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9">
        <f t="shared" si="16"/>
        <v>0</v>
      </c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9">
        <f t="shared" si="16"/>
        <v>0</v>
      </c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9">
        <f t="shared" si="16"/>
        <v>0</v>
      </c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9">
        <f t="shared" si="16"/>
        <v>0</v>
      </c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9">
        <f t="shared" si="16"/>
        <v>0</v>
      </c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9">
        <f t="shared" si="16"/>
        <v>0</v>
      </c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9">
        <f t="shared" si="16"/>
        <v>0</v>
      </c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9">
        <f t="shared" si="16"/>
        <v>0</v>
      </c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9">
        <f t="shared" si="16"/>
        <v>0</v>
      </c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9">
        <f t="shared" si="16"/>
        <v>0</v>
      </c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9">
        <f t="shared" si="16"/>
        <v>0</v>
      </c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9">
        <f t="shared" si="16"/>
        <v>0</v>
      </c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9">
        <f t="shared" si="16"/>
        <v>0</v>
      </c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9">
        <f t="shared" si="16"/>
        <v>0</v>
      </c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9">
        <f t="shared" si="16"/>
        <v>0</v>
      </c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9">
        <f t="shared" si="16"/>
        <v>0</v>
      </c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9">
        <f t="shared" si="16"/>
        <v>0</v>
      </c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9">
        <f t="shared" si="16"/>
        <v>0</v>
      </c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9">
        <f t="shared" si="16"/>
        <v>0</v>
      </c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9">
        <f t="shared" si="16"/>
        <v>0</v>
      </c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9">
        <f t="shared" si="16"/>
        <v>0</v>
      </c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9">
        <f t="shared" si="16"/>
        <v>0</v>
      </c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9">
        <f t="shared" si="16"/>
        <v>0</v>
      </c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9">
        <f t="shared" si="16"/>
        <v>0</v>
      </c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9">
        <f t="shared" si="16"/>
        <v>0</v>
      </c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9">
        <f t="shared" si="16"/>
        <v>0</v>
      </c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9">
        <f t="shared" si="16"/>
        <v>0</v>
      </c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9">
        <f t="shared" si="16"/>
        <v>0</v>
      </c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9">
        <f t="shared" si="16"/>
        <v>0</v>
      </c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9">
        <f t="shared" si="16"/>
        <v>0</v>
      </c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9">
        <f t="shared" si="16"/>
        <v>0</v>
      </c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9">
        <f t="shared" si="16"/>
        <v>0</v>
      </c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9">
        <f t="shared" si="16"/>
        <v>0</v>
      </c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9">
        <f t="shared" si="16"/>
        <v>0</v>
      </c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9">
        <f t="shared" si="16"/>
        <v>0</v>
      </c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9">
        <f t="shared" si="16"/>
        <v>0</v>
      </c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9">
        <f t="shared" si="16"/>
        <v>0</v>
      </c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9">
        <f t="shared" si="16"/>
        <v>0</v>
      </c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9">
        <f t="shared" si="16"/>
        <v>0</v>
      </c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9">
        <f t="shared" si="16"/>
        <v>0</v>
      </c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9">
        <f t="shared" si="16"/>
        <v>0</v>
      </c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9">
        <f t="shared" si="16"/>
        <v>0</v>
      </c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9">
        <f t="shared" si="16"/>
        <v>0</v>
      </c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9">
        <f t="shared" si="16"/>
        <v>0</v>
      </c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9">
        <f t="shared" si="16"/>
        <v>0</v>
      </c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9">
        <f t="shared" si="16"/>
        <v>0</v>
      </c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9">
        <f t="shared" si="16"/>
        <v>0</v>
      </c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9">
        <f t="shared" si="16"/>
        <v>0</v>
      </c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9">
        <f t="shared" si="16"/>
        <v>0</v>
      </c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9">
        <f t="shared" si="16"/>
        <v>0</v>
      </c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9">
        <f t="shared" si="16"/>
        <v>0</v>
      </c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9">
        <f t="shared" si="16"/>
        <v>0</v>
      </c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9">
        <f t="shared" si="16"/>
        <v>0</v>
      </c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9">
        <f t="shared" si="16"/>
        <v>0</v>
      </c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9">
        <f t="shared" si="16"/>
        <v>0</v>
      </c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9">
        <f t="shared" si="16"/>
        <v>0</v>
      </c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9">
        <f t="shared" si="16"/>
        <v>0</v>
      </c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9">
        <f t="shared" si="16"/>
        <v>0</v>
      </c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9">
        <f t="shared" si="16"/>
        <v>0</v>
      </c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9">
        <f t="shared" si="16"/>
        <v>0</v>
      </c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9">
        <f t="shared" si="16"/>
        <v>0</v>
      </c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9">
        <f t="shared" si="16"/>
        <v>0</v>
      </c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9">
        <f t="shared" si="16"/>
        <v>0</v>
      </c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9">
        <f t="shared" si="16"/>
        <v>0</v>
      </c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9">
        <f t="shared" si="16"/>
        <v>0</v>
      </c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9">
        <f t="shared" si="16"/>
        <v>0</v>
      </c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9">
        <f t="shared" si="16"/>
        <v>0</v>
      </c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9">
        <f t="shared" si="16"/>
        <v>0</v>
      </c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9">
        <f t="shared" si="16"/>
        <v>0</v>
      </c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9">
        <f t="shared" si="16"/>
        <v>0</v>
      </c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9">
        <f t="shared" si="16"/>
        <v>0</v>
      </c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9">
        <f t="shared" si="16"/>
        <v>0</v>
      </c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9">
        <f t="shared" si="16"/>
        <v>0</v>
      </c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9">
        <f t="shared" si="16"/>
        <v>0</v>
      </c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9">
        <f t="shared" si="16"/>
        <v>0</v>
      </c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9">
        <f t="shared" si="16"/>
        <v>0</v>
      </c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9">
        <f t="shared" si="16"/>
        <v>0</v>
      </c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9">
        <f t="shared" si="16"/>
        <v>0</v>
      </c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9">
        <f t="shared" si="16"/>
        <v>0</v>
      </c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9">
        <f t="shared" si="16"/>
        <v>0</v>
      </c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9">
        <f t="shared" si="16"/>
        <v>0</v>
      </c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9">
        <f t="shared" si="16"/>
        <v>0</v>
      </c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9">
        <f t="shared" si="16"/>
        <v>0</v>
      </c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9">
        <f t="shared" si="16"/>
        <v>0</v>
      </c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9">
        <f t="shared" si="16"/>
        <v>0</v>
      </c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9">
        <f t="shared" si="16"/>
        <v>0</v>
      </c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9">
        <f t="shared" si="16"/>
        <v>0</v>
      </c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9">
        <f t="shared" si="16"/>
        <v>0</v>
      </c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9">
        <f t="shared" si="16"/>
        <v>0</v>
      </c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9">
        <f t="shared" si="16"/>
        <v>0</v>
      </c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9">
        <f t="shared" si="16"/>
        <v>0</v>
      </c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9">
        <f t="shared" si="16"/>
        <v>0</v>
      </c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9">
        <f t="shared" si="16"/>
        <v>0</v>
      </c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9">
        <f t="shared" si="16"/>
        <v>0</v>
      </c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9">
        <f t="shared" si="16"/>
        <v>0</v>
      </c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9">
        <f t="shared" si="16"/>
        <v>0</v>
      </c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9">
        <f t="shared" si="16"/>
        <v>0</v>
      </c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9">
        <f t="shared" si="16"/>
        <v>0</v>
      </c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9">
        <f t="shared" si="16"/>
        <v>0</v>
      </c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9">
        <f t="shared" si="16"/>
        <v>0</v>
      </c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si="16"/>
        <v>0</v>
      </c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9">
        <f t="shared" si="16"/>
        <v>0</v>
      </c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9">
        <f t="shared" si="16"/>
        <v>0</v>
      </c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9">
        <f t="shared" si="16"/>
        <v>0</v>
      </c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9">
        <f t="shared" si="16"/>
        <v>0</v>
      </c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9">
        <f t="shared" si="16"/>
        <v>0</v>
      </c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9">
        <f t="shared" si="16"/>
        <v>0</v>
      </c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9">
        <f t="shared" si="16"/>
        <v>0</v>
      </c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9">
        <f t="shared" si="16"/>
        <v>0</v>
      </c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9">
        <f t="shared" si="16"/>
        <v>0</v>
      </c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9">
        <f t="shared" si="16"/>
        <v>0</v>
      </c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9">
        <f t="shared" si="16"/>
        <v>0</v>
      </c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9">
        <f t="shared" si="16"/>
        <v>0</v>
      </c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9">
        <f t="shared" si="16"/>
        <v>0</v>
      </c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9">
        <f t="shared" si="16"/>
        <v>0</v>
      </c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9">
        <f t="shared" si="16"/>
        <v>0</v>
      </c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9">
        <f t="shared" si="16"/>
        <v>0</v>
      </c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9">
        <f t="shared" si="16"/>
        <v>0</v>
      </c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9">
        <f t="shared" si="16"/>
        <v>0</v>
      </c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9">
        <f t="shared" si="16"/>
        <v>0</v>
      </c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9">
        <f t="shared" si="16"/>
        <v>0</v>
      </c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9">
        <f t="shared" si="16"/>
        <v>0</v>
      </c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9">
        <f t="shared" si="16"/>
        <v>0</v>
      </c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9">
        <f t="shared" si="16"/>
        <v>0</v>
      </c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9">
        <f t="shared" si="16"/>
        <v>0</v>
      </c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9">
        <f t="shared" si="16"/>
        <v>0</v>
      </c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9">
        <f t="shared" si="16"/>
        <v>0</v>
      </c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9">
        <f t="shared" si="16"/>
        <v>0</v>
      </c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9">
        <f t="shared" si="16"/>
        <v>0</v>
      </c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9">
        <f t="shared" si="16"/>
        <v>0</v>
      </c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9">
        <f t="shared" si="16"/>
        <v>0</v>
      </c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9">
        <f t="shared" si="16"/>
        <v>0</v>
      </c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9">
        <f t="shared" si="16"/>
        <v>0</v>
      </c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9">
        <f t="shared" si="16"/>
        <v>0</v>
      </c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9">
        <f t="shared" si="16"/>
        <v>0</v>
      </c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9">
        <f t="shared" si="16"/>
        <v>0</v>
      </c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9">
        <f t="shared" si="16"/>
        <v>0</v>
      </c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9">
        <f t="shared" si="16"/>
        <v>0</v>
      </c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9">
        <f t="shared" si="16"/>
        <v>0</v>
      </c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9">
        <f t="shared" si="16"/>
        <v>0</v>
      </c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9">
        <f t="shared" si="16"/>
        <v>0</v>
      </c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9">
        <f t="shared" si="16"/>
        <v>0</v>
      </c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9">
        <f t="shared" si="16"/>
        <v>0</v>
      </c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9">
        <f t="shared" si="16"/>
        <v>0</v>
      </c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9">
        <f t="shared" si="16"/>
        <v>0</v>
      </c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9">
        <f t="shared" si="16"/>
        <v>0</v>
      </c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9">
        <f t="shared" si="16"/>
        <v>0</v>
      </c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9">
        <f t="shared" si="16"/>
        <v>0</v>
      </c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9">
        <f t="shared" si="16"/>
        <v>0</v>
      </c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9">
        <f t="shared" si="16"/>
        <v>0</v>
      </c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9">
        <f t="shared" si="16"/>
        <v>0</v>
      </c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9">
        <f t="shared" si="16"/>
        <v>0</v>
      </c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9">
        <f t="shared" si="16"/>
        <v>0</v>
      </c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9">
        <f t="shared" si="16"/>
        <v>0</v>
      </c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9">
        <f t="shared" si="16"/>
        <v>0</v>
      </c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9">
        <f t="shared" si="16"/>
        <v>0</v>
      </c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9">
        <f t="shared" si="16"/>
        <v>0</v>
      </c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9">
        <f t="shared" si="16"/>
        <v>0</v>
      </c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9">
        <f t="shared" si="16"/>
        <v>0</v>
      </c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9">
        <f t="shared" si="16"/>
        <v>0</v>
      </c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9">
        <f t="shared" si="16"/>
        <v>0</v>
      </c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9">
        <f t="shared" si="16"/>
        <v>0</v>
      </c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9">
        <f t="shared" si="16"/>
        <v>0</v>
      </c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9">
        <f t="shared" si="16"/>
        <v>0</v>
      </c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9">
        <f t="shared" si="16"/>
        <v>0</v>
      </c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9">
        <f t="shared" si="16"/>
        <v>0</v>
      </c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9">
        <f t="shared" si="16"/>
        <v>0</v>
      </c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9">
        <f t="shared" si="16"/>
        <v>0</v>
      </c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9">
        <f t="shared" si="16"/>
        <v>0</v>
      </c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9">
        <f t="shared" si="16"/>
        <v>0</v>
      </c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9">
        <f t="shared" si="16"/>
        <v>0</v>
      </c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9">
        <f t="shared" si="16"/>
        <v>0</v>
      </c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9">
        <f t="shared" si="16"/>
        <v>0</v>
      </c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9">
        <f t="shared" si="16"/>
        <v>0</v>
      </c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9">
        <f t="shared" si="16"/>
        <v>0</v>
      </c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9">
        <f t="shared" si="16"/>
        <v>0</v>
      </c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9">
        <f t="shared" si="16"/>
        <v>0</v>
      </c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9">
        <f t="shared" si="16"/>
        <v>0</v>
      </c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9">
        <f t="shared" si="16"/>
        <v>0</v>
      </c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9">
        <f t="shared" si="16"/>
        <v>0</v>
      </c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9">
        <f t="shared" si="16"/>
        <v>0</v>
      </c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9">
        <f t="shared" si="16"/>
        <v>0</v>
      </c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9">
        <f t="shared" si="16"/>
        <v>0</v>
      </c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9">
        <f t="shared" si="16"/>
        <v>0</v>
      </c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9">
        <f t="shared" si="16"/>
        <v>0</v>
      </c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9">
        <f t="shared" si="16"/>
        <v>0</v>
      </c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9">
        <f t="shared" si="16"/>
        <v>0</v>
      </c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9">
        <f t="shared" si="16"/>
        <v>0</v>
      </c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9">
        <f t="shared" si="16"/>
        <v>0</v>
      </c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9">
        <f t="shared" si="16"/>
        <v>0</v>
      </c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9">
        <f t="shared" si="16"/>
        <v>0</v>
      </c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9">
        <f t="shared" si="16"/>
        <v>0</v>
      </c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9">
        <f t="shared" si="16"/>
        <v>0</v>
      </c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9">
        <f t="shared" si="16"/>
        <v>0</v>
      </c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9">
        <f t="shared" si="16"/>
        <v>0</v>
      </c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9">
        <f t="shared" si="16"/>
        <v>0</v>
      </c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9">
        <f t="shared" si="16"/>
        <v>0</v>
      </c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9">
        <f t="shared" si="16"/>
        <v>0</v>
      </c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9">
        <f t="shared" si="16"/>
        <v>0</v>
      </c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9">
        <f t="shared" si="16"/>
        <v>0</v>
      </c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9">
        <f t="shared" si="16"/>
        <v>0</v>
      </c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9">
        <f t="shared" si="16"/>
        <v>0</v>
      </c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9">
        <f t="shared" si="16"/>
        <v>0</v>
      </c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9">
        <f t="shared" si="16"/>
        <v>0</v>
      </c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9">
        <f t="shared" si="16"/>
        <v>0</v>
      </c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9">
        <f t="shared" si="16"/>
        <v>0</v>
      </c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9">
        <f t="shared" si="16"/>
        <v>0</v>
      </c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9">
        <f t="shared" si="16"/>
        <v>0</v>
      </c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9">
        <f t="shared" si="16"/>
        <v>0</v>
      </c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9">
        <f t="shared" si="16"/>
        <v>0</v>
      </c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9">
        <f t="shared" si="16"/>
        <v>0</v>
      </c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9">
        <f t="shared" si="16"/>
        <v>0</v>
      </c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9">
        <f t="shared" si="16"/>
        <v>0</v>
      </c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9">
        <f t="shared" si="16"/>
        <v>0</v>
      </c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9">
        <f t="shared" si="16"/>
        <v>0</v>
      </c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9">
        <f t="shared" si="16"/>
        <v>0</v>
      </c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9">
        <f t="shared" si="16"/>
        <v>0</v>
      </c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9">
        <f t="shared" si="16"/>
        <v>0</v>
      </c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9">
        <f t="shared" si="16"/>
        <v>0</v>
      </c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9">
        <f t="shared" si="16"/>
        <v>0</v>
      </c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9">
        <f t="shared" si="16"/>
        <v>0</v>
      </c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9">
        <f t="shared" si="16"/>
        <v>0</v>
      </c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9">
        <f t="shared" si="16"/>
        <v>0</v>
      </c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9">
        <f t="shared" si="16"/>
        <v>0</v>
      </c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9">
        <f t="shared" si="16"/>
        <v>0</v>
      </c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9">
        <f t="shared" si="16"/>
        <v>0</v>
      </c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9">
        <f t="shared" si="16"/>
        <v>0</v>
      </c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9">
        <f t="shared" si="16"/>
        <v>0</v>
      </c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9">
        <f t="shared" si="16"/>
        <v>0</v>
      </c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9">
        <f t="shared" si="16"/>
        <v>0</v>
      </c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9">
        <f t="shared" si="16"/>
        <v>0</v>
      </c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9">
        <f t="shared" si="16"/>
        <v>0</v>
      </c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9">
        <f t="shared" si="16"/>
        <v>0</v>
      </c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9">
        <f t="shared" si="16"/>
        <v>0</v>
      </c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9">
        <f t="shared" si="16"/>
        <v>0</v>
      </c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9">
        <f t="shared" si="16"/>
        <v>0</v>
      </c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9">
        <f t="shared" si="16"/>
        <v>0</v>
      </c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9">
        <f t="shared" si="16"/>
        <v>0</v>
      </c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9">
        <f t="shared" si="16"/>
        <v>0</v>
      </c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9">
        <f t="shared" si="16"/>
        <v>0</v>
      </c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9">
        <f t="shared" si="16"/>
        <v>0</v>
      </c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9">
        <f t="shared" si="16"/>
        <v>0</v>
      </c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9">
        <f t="shared" si="16"/>
        <v>0</v>
      </c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9">
        <f t="shared" si="16"/>
        <v>0</v>
      </c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9">
        <f t="shared" si="16"/>
        <v>0</v>
      </c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9">
        <f t="shared" si="16"/>
        <v>0</v>
      </c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9">
        <f t="shared" si="16"/>
        <v>0</v>
      </c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9">
        <f t="shared" si="16"/>
        <v>0</v>
      </c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9">
        <f t="shared" si="16"/>
        <v>0</v>
      </c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9">
        <f t="shared" si="16"/>
        <v>0</v>
      </c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9">
        <f t="shared" si="16"/>
        <v>0</v>
      </c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9">
        <f t="shared" si="16"/>
        <v>0</v>
      </c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9">
        <f t="shared" si="16"/>
        <v>0</v>
      </c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9">
        <f t="shared" si="16"/>
        <v>0</v>
      </c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9">
        <f t="shared" si="16"/>
        <v>0</v>
      </c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9">
        <f t="shared" si="16"/>
        <v>0</v>
      </c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9">
        <f t="shared" si="16"/>
        <v>0</v>
      </c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9">
        <f t="shared" si="16"/>
        <v>0</v>
      </c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9">
        <f t="shared" si="16"/>
        <v>0</v>
      </c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9">
        <f t="shared" si="16"/>
        <v>0</v>
      </c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9">
        <f t="shared" si="16"/>
        <v>0</v>
      </c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9">
        <f t="shared" si="16"/>
        <v>0</v>
      </c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9">
        <f t="shared" si="16"/>
        <v>0</v>
      </c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9">
        <f t="shared" si="16"/>
        <v>0</v>
      </c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9">
        <f t="shared" si="16"/>
        <v>0</v>
      </c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9">
        <f t="shared" si="16"/>
        <v>0</v>
      </c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9">
        <f t="shared" si="16"/>
        <v>0</v>
      </c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9">
        <f t="shared" si="16"/>
        <v>0</v>
      </c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9">
        <f t="shared" si="16"/>
        <v>0</v>
      </c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9">
        <f t="shared" si="16"/>
        <v>0</v>
      </c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9">
        <f t="shared" si="16"/>
        <v>0</v>
      </c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9">
        <f t="shared" si="16"/>
        <v>0</v>
      </c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9">
        <f t="shared" si="16"/>
        <v>0</v>
      </c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9">
        <f t="shared" si="16"/>
        <v>0</v>
      </c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9">
        <f t="shared" si="16"/>
        <v>0</v>
      </c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9">
        <f t="shared" si="16"/>
        <v>0</v>
      </c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9">
        <f t="shared" si="16"/>
        <v>0</v>
      </c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9">
        <f t="shared" si="16"/>
        <v>0</v>
      </c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9">
        <f t="shared" si="16"/>
        <v>0</v>
      </c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9">
        <f t="shared" si="16"/>
        <v>0</v>
      </c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9">
        <f t="shared" si="16"/>
        <v>0</v>
      </c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9">
        <f t="shared" si="16"/>
        <v>0</v>
      </c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9">
        <f t="shared" si="16"/>
        <v>0</v>
      </c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9">
        <f t="shared" si="16"/>
        <v>0</v>
      </c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9">
        <f t="shared" si="16"/>
        <v>0</v>
      </c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9">
        <f t="shared" si="16"/>
        <v>0</v>
      </c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9">
        <f t="shared" si="16"/>
        <v>0</v>
      </c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9">
        <f t="shared" si="16"/>
        <v>0</v>
      </c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9">
        <f t="shared" si="16"/>
        <v>0</v>
      </c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9">
        <f t="shared" si="16"/>
        <v>0</v>
      </c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9">
        <f t="shared" si="16"/>
        <v>0</v>
      </c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9">
        <f t="shared" si="16"/>
        <v>0</v>
      </c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9">
        <f t="shared" si="16"/>
        <v>0</v>
      </c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9">
        <f t="shared" si="16"/>
        <v>0</v>
      </c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9">
        <f t="shared" si="16"/>
        <v>0</v>
      </c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9">
        <f t="shared" si="16"/>
        <v>0</v>
      </c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9">
        <f t="shared" si="16"/>
        <v>0</v>
      </c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9">
        <f t="shared" si="16"/>
        <v>0</v>
      </c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9">
        <f t="shared" si="16"/>
        <v>0</v>
      </c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9">
        <f t="shared" si="16"/>
        <v>0</v>
      </c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9">
        <f t="shared" si="16"/>
        <v>0</v>
      </c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9">
        <f t="shared" si="16"/>
        <v>0</v>
      </c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9">
        <f t="shared" si="16"/>
        <v>0</v>
      </c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9">
        <f t="shared" si="16"/>
        <v>0</v>
      </c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9">
        <f t="shared" si="16"/>
        <v>0</v>
      </c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9">
        <f t="shared" si="16"/>
        <v>0</v>
      </c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9">
        <f t="shared" si="16"/>
        <v>0</v>
      </c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9">
        <f t="shared" si="16"/>
        <v>0</v>
      </c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9">
        <f t="shared" si="16"/>
        <v>0</v>
      </c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9">
        <f t="shared" si="16"/>
        <v>0</v>
      </c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9">
        <f t="shared" si="16"/>
        <v>0</v>
      </c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9">
        <f t="shared" si="16"/>
        <v>0</v>
      </c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9">
        <f t="shared" si="16"/>
        <v>0</v>
      </c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9">
        <f t="shared" si="16"/>
        <v>0</v>
      </c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9">
        <f t="shared" si="16"/>
        <v>0</v>
      </c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9">
        <f t="shared" si="16"/>
        <v>0</v>
      </c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9">
        <f t="shared" si="16"/>
        <v>0</v>
      </c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9">
        <f t="shared" si="16"/>
        <v>0</v>
      </c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9">
        <f t="shared" si="16"/>
        <v>0</v>
      </c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9">
        <f t="shared" si="16"/>
        <v>0</v>
      </c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9">
        <f t="shared" si="16"/>
        <v>0</v>
      </c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9">
        <f t="shared" si="16"/>
        <v>0</v>
      </c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9">
        <f t="shared" si="16"/>
        <v>0</v>
      </c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9">
        <f t="shared" si="16"/>
        <v>0</v>
      </c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9">
        <f t="shared" si="16"/>
        <v>0</v>
      </c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9">
        <f t="shared" si="16"/>
        <v>0</v>
      </c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9">
        <f t="shared" si="16"/>
        <v>0</v>
      </c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9">
        <f t="shared" si="16"/>
        <v>0</v>
      </c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9">
        <f t="shared" si="16"/>
        <v>0</v>
      </c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9">
        <f t="shared" si="16"/>
        <v>0</v>
      </c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9">
        <f t="shared" si="16"/>
        <v>0</v>
      </c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9">
        <f t="shared" si="16"/>
        <v>0</v>
      </c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9">
        <f t="shared" si="16"/>
        <v>0</v>
      </c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9">
        <f t="shared" si="16"/>
        <v>0</v>
      </c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9">
        <f t="shared" si="16"/>
        <v>0</v>
      </c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9">
        <f t="shared" si="16"/>
        <v>0</v>
      </c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9">
        <f t="shared" si="16"/>
        <v>0</v>
      </c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9">
        <f t="shared" si="16"/>
        <v>0</v>
      </c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9">
        <f t="shared" si="16"/>
        <v>0</v>
      </c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9">
        <f t="shared" si="16"/>
        <v>0</v>
      </c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9">
        <f t="shared" si="16"/>
        <v>0</v>
      </c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9">
        <f t="shared" si="16"/>
        <v>0</v>
      </c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9">
        <f t="shared" si="16"/>
        <v>0</v>
      </c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9">
        <f t="shared" si="16"/>
        <v>0</v>
      </c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9">
        <f t="shared" si="16"/>
        <v>0</v>
      </c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9">
        <f t="shared" si="16"/>
        <v>0</v>
      </c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9">
        <f t="shared" si="16"/>
        <v>0</v>
      </c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9">
        <f t="shared" si="16"/>
        <v>0</v>
      </c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9">
        <f t="shared" si="16"/>
        <v>0</v>
      </c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9">
        <f t="shared" si="16"/>
        <v>0</v>
      </c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9">
        <f t="shared" si="16"/>
        <v>0</v>
      </c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9">
        <f t="shared" si="16"/>
        <v>0</v>
      </c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9">
        <f t="shared" si="16"/>
        <v>0</v>
      </c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9">
        <f t="shared" si="16"/>
        <v>0</v>
      </c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9">
        <f t="shared" si="16"/>
        <v>0</v>
      </c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9">
        <f t="shared" si="16"/>
        <v>0</v>
      </c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9">
        <f t="shared" si="16"/>
        <v>0</v>
      </c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9">
        <f t="shared" si="16"/>
        <v>0</v>
      </c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9">
        <f t="shared" si="16"/>
        <v>0</v>
      </c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9">
        <f t="shared" si="16"/>
        <v>0</v>
      </c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9">
        <f t="shared" si="16"/>
        <v>0</v>
      </c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9">
        <f t="shared" si="16"/>
        <v>0</v>
      </c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9">
        <f t="shared" si="16"/>
        <v>0</v>
      </c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9">
        <f t="shared" si="16"/>
        <v>0</v>
      </c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9">
        <f t="shared" si="16"/>
        <v>0</v>
      </c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9">
        <f t="shared" si="16"/>
        <v>0</v>
      </c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9">
        <f t="shared" si="16"/>
        <v>0</v>
      </c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9">
        <f t="shared" si="16"/>
        <v>0</v>
      </c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9">
        <f t="shared" si="16"/>
        <v>0</v>
      </c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9">
        <f t="shared" si="16"/>
        <v>0</v>
      </c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9">
        <f t="shared" si="16"/>
        <v>0</v>
      </c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9">
        <f t="shared" si="16"/>
        <v>0</v>
      </c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9">
        <f t="shared" si="16"/>
        <v>0</v>
      </c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9">
        <f t="shared" si="16"/>
        <v>0</v>
      </c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9">
        <f t="shared" si="16"/>
        <v>0</v>
      </c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9">
        <f t="shared" si="16"/>
        <v>0</v>
      </c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9">
        <f t="shared" si="16"/>
        <v>0</v>
      </c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9">
        <f t="shared" si="16"/>
        <v>0</v>
      </c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9">
        <f t="shared" si="16"/>
        <v>0</v>
      </c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9">
        <f t="shared" si="16"/>
        <v>0</v>
      </c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9">
        <f t="shared" si="16"/>
        <v>0</v>
      </c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9">
        <f t="shared" si="16"/>
        <v>0</v>
      </c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9">
        <f t="shared" si="16"/>
        <v>0</v>
      </c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9">
        <f t="shared" si="16"/>
        <v>0</v>
      </c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9">
        <f t="shared" si="16"/>
        <v>0</v>
      </c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9">
        <f t="shared" si="16"/>
        <v>0</v>
      </c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9">
        <f t="shared" si="16"/>
        <v>0</v>
      </c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9">
        <f t="shared" si="16"/>
        <v>0</v>
      </c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9">
        <f t="shared" si="16"/>
        <v>0</v>
      </c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9">
        <f t="shared" si="16"/>
        <v>0</v>
      </c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9">
        <f t="shared" si="16"/>
        <v>0</v>
      </c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9">
        <f t="shared" si="16"/>
        <v>0</v>
      </c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9">
        <f t="shared" si="16"/>
        <v>0</v>
      </c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9">
        <f t="shared" si="16"/>
        <v>0</v>
      </c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9">
        <f t="shared" si="16"/>
        <v>0</v>
      </c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9">
        <f t="shared" si="16"/>
        <v>0</v>
      </c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9">
        <f t="shared" si="16"/>
        <v>0</v>
      </c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9">
        <f t="shared" si="16"/>
        <v>0</v>
      </c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9">
        <f t="shared" si="16"/>
        <v>0</v>
      </c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9">
        <f t="shared" si="16"/>
        <v>0</v>
      </c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9">
        <f t="shared" si="16"/>
        <v>0</v>
      </c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9">
        <f t="shared" si="16"/>
        <v>0</v>
      </c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9">
        <f t="shared" si="16"/>
        <v>0</v>
      </c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9">
        <f t="shared" si="16"/>
        <v>0</v>
      </c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9">
        <f t="shared" si="16"/>
        <v>0</v>
      </c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9">
        <f t="shared" si="16"/>
        <v>0</v>
      </c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9">
        <f t="shared" si="16"/>
        <v>0</v>
      </c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9">
        <f t="shared" si="16"/>
        <v>0</v>
      </c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9">
        <f t="shared" si="16"/>
        <v>0</v>
      </c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9">
        <f t="shared" si="16"/>
        <v>0</v>
      </c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9">
        <f t="shared" si="16"/>
        <v>0</v>
      </c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9">
        <f t="shared" si="16"/>
        <v>0</v>
      </c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9">
        <f t="shared" si="16"/>
        <v>0</v>
      </c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9">
        <f t="shared" si="16"/>
        <v>0</v>
      </c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9">
        <f t="shared" si="16"/>
        <v>0</v>
      </c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9">
        <f t="shared" si="16"/>
        <v>0</v>
      </c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9">
        <f t="shared" si="16"/>
        <v>0</v>
      </c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9">
        <f t="shared" si="16"/>
        <v>0</v>
      </c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9">
        <f t="shared" si="16"/>
        <v>0</v>
      </c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9">
        <f t="shared" si="16"/>
        <v>0</v>
      </c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9">
        <f t="shared" si="16"/>
        <v>0</v>
      </c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9">
        <f t="shared" si="16"/>
        <v>0</v>
      </c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9">
        <f t="shared" si="16"/>
        <v>0</v>
      </c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9">
        <f t="shared" si="16"/>
        <v>0</v>
      </c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9">
        <f t="shared" si="16"/>
        <v>0</v>
      </c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9">
        <f t="shared" si="16"/>
        <v>0</v>
      </c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9">
        <f t="shared" si="16"/>
        <v>0</v>
      </c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9">
        <f t="shared" si="16"/>
        <v>0</v>
      </c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9">
        <f t="shared" si="16"/>
        <v>0</v>
      </c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9">
        <f t="shared" si="16"/>
        <v>0</v>
      </c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9">
        <f t="shared" si="16"/>
        <v>0</v>
      </c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9">
        <f t="shared" si="16"/>
        <v>0</v>
      </c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9">
        <f t="shared" si="16"/>
        <v>0</v>
      </c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9">
        <f t="shared" si="16"/>
        <v>0</v>
      </c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9">
        <f t="shared" si="16"/>
        <v>0</v>
      </c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9">
        <f t="shared" si="16"/>
        <v>0</v>
      </c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9">
        <f t="shared" si="16"/>
        <v>0</v>
      </c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9">
        <f t="shared" si="16"/>
        <v>0</v>
      </c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9">
        <f t="shared" si="16"/>
        <v>0</v>
      </c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9">
        <f t="shared" si="16"/>
        <v>0</v>
      </c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9">
        <f t="shared" si="16"/>
        <v>0</v>
      </c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9">
        <f t="shared" si="16"/>
        <v>0</v>
      </c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9">
        <f t="shared" si="16"/>
        <v>0</v>
      </c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9">
        <f t="shared" si="16"/>
        <v>0</v>
      </c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9">
        <f t="shared" si="16"/>
        <v>0</v>
      </c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9">
        <f t="shared" si="16"/>
        <v>0</v>
      </c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9">
        <f t="shared" si="16"/>
        <v>0</v>
      </c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9">
        <f t="shared" si="16"/>
        <v>0</v>
      </c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9">
        <f t="shared" si="16"/>
        <v>0</v>
      </c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9">
        <f t="shared" si="16"/>
        <v>0</v>
      </c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9">
        <f t="shared" si="16"/>
        <v>0</v>
      </c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9">
        <f t="shared" si="16"/>
        <v>0</v>
      </c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9">
        <f t="shared" si="16"/>
        <v>0</v>
      </c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9">
        <f t="shared" si="16"/>
        <v>0</v>
      </c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9">
        <f t="shared" si="16"/>
        <v>0</v>
      </c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9">
        <f t="shared" si="16"/>
        <v>0</v>
      </c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9">
        <f t="shared" si="16"/>
        <v>0</v>
      </c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9">
        <f t="shared" si="16"/>
        <v>0</v>
      </c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9">
        <f t="shared" si="16"/>
        <v>0</v>
      </c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9">
        <f t="shared" si="16"/>
        <v>0</v>
      </c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9">
        <f t="shared" si="16"/>
        <v>0</v>
      </c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9">
        <f t="shared" si="16"/>
        <v>0</v>
      </c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9">
        <f t="shared" si="16"/>
        <v>0</v>
      </c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9">
        <f t="shared" si="16"/>
        <v>0</v>
      </c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9">
        <f t="shared" si="16"/>
        <v>0</v>
      </c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9">
        <f t="shared" si="16"/>
        <v>0</v>
      </c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9">
        <f t="shared" si="16"/>
        <v>0</v>
      </c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9">
        <f t="shared" si="16"/>
        <v>0</v>
      </c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9">
        <f t="shared" si="16"/>
        <v>0</v>
      </c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9">
        <f t="shared" si="16"/>
        <v>0</v>
      </c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9">
        <f t="shared" si="16"/>
        <v>0</v>
      </c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9">
        <f t="shared" si="16"/>
        <v>0</v>
      </c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9">
        <f t="shared" si="16"/>
        <v>0</v>
      </c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9">
        <f t="shared" si="16"/>
        <v>0</v>
      </c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9">
        <f t="shared" si="16"/>
        <v>0</v>
      </c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9">
        <f t="shared" si="16"/>
        <v>0</v>
      </c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9">
        <f t="shared" si="16"/>
        <v>0</v>
      </c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9">
        <f t="shared" si="16"/>
        <v>0</v>
      </c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9">
        <f t="shared" si="16"/>
        <v>0</v>
      </c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9">
        <f t="shared" si="16"/>
        <v>0</v>
      </c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9">
        <f t="shared" si="16"/>
        <v>0</v>
      </c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9">
        <f t="shared" si="16"/>
        <v>0</v>
      </c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9">
        <f t="shared" si="16"/>
        <v>0</v>
      </c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9">
        <f t="shared" si="16"/>
        <v>0</v>
      </c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9">
        <f t="shared" si="16"/>
        <v>0</v>
      </c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9">
        <f t="shared" si="16"/>
        <v>0</v>
      </c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9">
        <f t="shared" si="16"/>
        <v>0</v>
      </c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9">
        <f t="shared" si="16"/>
        <v>0</v>
      </c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9">
        <f t="shared" si="16"/>
        <v>0</v>
      </c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9">
        <f t="shared" si="16"/>
        <v>0</v>
      </c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9">
        <f t="shared" si="16"/>
        <v>0</v>
      </c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9">
        <f t="shared" si="16"/>
        <v>0</v>
      </c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9">
        <f t="shared" si="16"/>
        <v>0</v>
      </c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9">
        <f t="shared" si="16"/>
        <v>0</v>
      </c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9">
        <f t="shared" si="16"/>
        <v>0</v>
      </c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9">
        <f t="shared" si="16"/>
        <v>0</v>
      </c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9">
        <f t="shared" si="16"/>
        <v>0</v>
      </c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9">
        <f t="shared" si="16"/>
        <v>0</v>
      </c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9">
        <f t="shared" si="16"/>
        <v>0</v>
      </c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9">
        <f t="shared" si="16"/>
        <v>0</v>
      </c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9">
        <f t="shared" si="16"/>
        <v>0</v>
      </c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9">
        <f t="shared" si="16"/>
        <v>0</v>
      </c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9">
        <f t="shared" si="16"/>
        <v>0</v>
      </c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9">
        <f t="shared" si="16"/>
        <v>0</v>
      </c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9">
        <f t="shared" si="16"/>
        <v>0</v>
      </c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9">
        <f t="shared" si="16"/>
        <v>0</v>
      </c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9">
        <f t="shared" si="16"/>
        <v>0</v>
      </c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9">
        <f t="shared" si="16"/>
        <v>0</v>
      </c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9">
        <f t="shared" si="16"/>
        <v>0</v>
      </c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9">
        <f t="shared" si="16"/>
        <v>0</v>
      </c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9">
        <f t="shared" si="16"/>
        <v>0</v>
      </c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9">
        <f t="shared" si="16"/>
        <v>0</v>
      </c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9">
        <f t="shared" si="16"/>
        <v>0</v>
      </c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9">
        <f t="shared" si="16"/>
        <v>0</v>
      </c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9">
        <f t="shared" si="16"/>
        <v>0</v>
      </c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9">
        <f t="shared" si="16"/>
        <v>0</v>
      </c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9">
        <f t="shared" si="16"/>
        <v>0</v>
      </c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9">
        <f t="shared" si="16"/>
        <v>0</v>
      </c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9">
        <f t="shared" si="16"/>
        <v>0</v>
      </c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9">
        <f t="shared" si="16"/>
        <v>0</v>
      </c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9">
        <f t="shared" si="16"/>
        <v>0</v>
      </c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9">
        <f t="shared" si="16"/>
        <v>0</v>
      </c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9">
        <f t="shared" si="16"/>
        <v>0</v>
      </c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9">
        <f t="shared" si="16"/>
        <v>0</v>
      </c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9">
        <f t="shared" si="16"/>
        <v>0</v>
      </c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9">
        <f t="shared" si="16"/>
        <v>0</v>
      </c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9">
        <f t="shared" si="16"/>
        <v>0</v>
      </c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9">
        <f t="shared" si="16"/>
        <v>0</v>
      </c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9">
        <f t="shared" si="16"/>
        <v>0</v>
      </c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9">
        <f t="shared" si="16"/>
        <v>0</v>
      </c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9">
        <f t="shared" si="16"/>
        <v>0</v>
      </c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9">
        <f t="shared" si="16"/>
        <v>0</v>
      </c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9">
        <f t="shared" si="16"/>
        <v>0</v>
      </c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9">
        <f t="shared" si="16"/>
        <v>0</v>
      </c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9">
        <f t="shared" si="16"/>
        <v>0</v>
      </c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9">
        <f t="shared" si="16"/>
        <v>0</v>
      </c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9">
        <f t="shared" si="16"/>
        <v>0</v>
      </c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9">
        <f t="shared" si="16"/>
        <v>0</v>
      </c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9">
        <f t="shared" si="16"/>
        <v>0</v>
      </c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9">
        <f t="shared" si="16"/>
        <v>0</v>
      </c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9">
        <f t="shared" si="16"/>
        <v>0</v>
      </c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9">
        <f t="shared" si="16"/>
        <v>0</v>
      </c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9">
        <f t="shared" si="16"/>
        <v>0</v>
      </c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9">
        <f t="shared" si="16"/>
        <v>0</v>
      </c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9">
        <f t="shared" si="16"/>
        <v>0</v>
      </c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9">
        <f t="shared" si="16"/>
        <v>0</v>
      </c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9">
        <f t="shared" si="16"/>
        <v>0</v>
      </c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9">
        <f t="shared" si="16"/>
        <v>0</v>
      </c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9">
        <f t="shared" si="16"/>
        <v>0</v>
      </c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9">
        <f t="shared" si="16"/>
        <v>0</v>
      </c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9">
        <f t="shared" si="16"/>
        <v>0</v>
      </c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9">
        <f t="shared" si="16"/>
        <v>0</v>
      </c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9">
        <f t="shared" si="16"/>
        <v>0</v>
      </c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9">
        <f t="shared" si="16"/>
        <v>0</v>
      </c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9">
        <f t="shared" si="16"/>
        <v>0</v>
      </c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9">
        <f t="shared" si="16"/>
        <v>0</v>
      </c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9">
        <f t="shared" si="16"/>
        <v>0</v>
      </c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9">
        <f t="shared" si="16"/>
        <v>0</v>
      </c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9">
        <f t="shared" si="16"/>
        <v>0</v>
      </c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9">
        <f t="shared" si="16"/>
        <v>0</v>
      </c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9">
        <f t="shared" si="16"/>
        <v>0</v>
      </c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9">
        <f t="shared" si="16"/>
        <v>0</v>
      </c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9">
        <f t="shared" si="16"/>
        <v>0</v>
      </c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9">
        <f t="shared" si="16"/>
        <v>0</v>
      </c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9">
        <f t="shared" si="16"/>
        <v>0</v>
      </c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9">
        <f t="shared" si="16"/>
        <v>0</v>
      </c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9">
        <f t="shared" si="16"/>
        <v>0</v>
      </c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9">
        <f t="shared" si="16"/>
        <v>0</v>
      </c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9">
        <f t="shared" si="16"/>
        <v>0</v>
      </c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9">
        <f t="shared" si="16"/>
        <v>0</v>
      </c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9">
        <f t="shared" si="16"/>
        <v>0</v>
      </c>
      <c r="W1000" s="1"/>
      <c r="X1000" s="1"/>
      <c r="Y1000" s="1"/>
      <c r="Z1000" s="1"/>
      <c r="AA1000" s="1"/>
    </row>
  </sheetData>
  <dataValidations>
    <dataValidation type="list" allowBlank="1" showErrorMessage="1" sqref="B2:B1000">
      <formula1>'預算欄位參數表'!$B$2:$B$22</formula1>
    </dataValidation>
    <dataValidation type="list" allowBlank="1" showErrorMessage="1" sqref="D2:D1000">
      <formula1>'預算欄位參數表'!$D$2:D1000</formula1>
    </dataValidation>
    <dataValidation type="list" allowBlank="1" showErrorMessage="1" sqref="C2:C1000">
      <formula1>'預算欄位參數表'!$C$2:C1000</formula1>
    </dataValidation>
    <dataValidation type="list" allowBlank="1" showErrorMessage="1" sqref="A2:A1000">
      <formula1>'預算欄位參數表'!$A$2:$A1000</formula1>
    </dataValidation>
    <dataValidation type="list" allowBlank="1" showErrorMessage="1" sqref="E2:E1000">
      <formula1>'預算欄位參數表'!$F$2:$F1000</formula1>
    </dataValidation>
    <dataValidation type="list" allowBlank="1" showErrorMessage="1" sqref="F2:F1000">
      <formula1>'預算欄位參數表'!$H$2:$H1000</formula1>
    </dataValidation>
    <dataValidation type="list" allowBlank="1" showErrorMessage="1" sqref="G2:G1000">
      <formula1>'預算欄位參數表'!$G$2:$G1000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5" max="5" width="16.0"/>
    <col customWidth="1" min="6" max="6" width="54.5"/>
    <col customWidth="1" min="7" max="7" width="13.13"/>
    <col customWidth="1" min="8" max="9" width="17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</row>
    <row r="2">
      <c r="A2" s="7" t="s">
        <v>10</v>
      </c>
      <c r="B2" s="7" t="s">
        <v>11</v>
      </c>
      <c r="C2" s="7" t="s">
        <v>66</v>
      </c>
      <c r="D2" s="7" t="s">
        <v>67</v>
      </c>
      <c r="E2" s="7" t="s">
        <v>14</v>
      </c>
      <c r="F2" s="7" t="s">
        <v>68</v>
      </c>
      <c r="G2" s="7" t="s">
        <v>16</v>
      </c>
      <c r="H2" s="10" t="s">
        <v>69</v>
      </c>
      <c r="I2" s="1"/>
      <c r="J2" s="7">
        <v>0.5</v>
      </c>
      <c r="K2" s="7">
        <v>0.5</v>
      </c>
      <c r="L2" s="7">
        <v>0.5</v>
      </c>
      <c r="M2" s="7">
        <v>0.5</v>
      </c>
      <c r="N2" s="7">
        <v>0.5</v>
      </c>
      <c r="O2" s="7">
        <v>0.5</v>
      </c>
      <c r="P2" s="7">
        <v>0.5</v>
      </c>
      <c r="Q2" s="7">
        <v>0.5</v>
      </c>
      <c r="R2" s="7">
        <v>0.5</v>
      </c>
      <c r="S2" s="7">
        <v>0.5</v>
      </c>
      <c r="T2" s="7">
        <v>0.5</v>
      </c>
      <c r="U2" s="7">
        <v>0.5</v>
      </c>
      <c r="V2" s="6">
        <f t="shared" ref="V2:V39" si="1">SUM(B2:U2)</f>
        <v>6</v>
      </c>
      <c r="W2" s="1"/>
      <c r="X2" s="1"/>
      <c r="Y2" s="1"/>
      <c r="Z2" s="1"/>
    </row>
    <row r="3">
      <c r="A3" s="7" t="s">
        <v>10</v>
      </c>
      <c r="B3" s="7" t="s">
        <v>18</v>
      </c>
      <c r="C3" s="7" t="s">
        <v>66</v>
      </c>
      <c r="D3" s="7" t="s">
        <v>67</v>
      </c>
      <c r="E3" s="7" t="s">
        <v>14</v>
      </c>
      <c r="F3" s="7" t="s">
        <v>68</v>
      </c>
      <c r="G3" s="7" t="s">
        <v>16</v>
      </c>
      <c r="H3" s="10" t="s">
        <v>69</v>
      </c>
      <c r="I3" s="1"/>
      <c r="J3" s="7">
        <v>0.5</v>
      </c>
      <c r="K3" s="7">
        <v>0.5</v>
      </c>
      <c r="L3" s="7">
        <v>0.5</v>
      </c>
      <c r="M3" s="7">
        <v>0.5</v>
      </c>
      <c r="N3" s="7">
        <v>0.5</v>
      </c>
      <c r="O3" s="7">
        <v>0.5</v>
      </c>
      <c r="P3" s="7">
        <v>0.5</v>
      </c>
      <c r="Q3" s="7">
        <v>0.5</v>
      </c>
      <c r="R3" s="7">
        <v>0.5</v>
      </c>
      <c r="S3" s="7">
        <v>0.5</v>
      </c>
      <c r="T3" s="7">
        <v>0.5</v>
      </c>
      <c r="U3" s="7">
        <v>0.5</v>
      </c>
      <c r="V3" s="9">
        <f t="shared" si="1"/>
        <v>6</v>
      </c>
      <c r="W3" s="1"/>
      <c r="X3" s="1"/>
      <c r="Y3" s="1"/>
      <c r="Z3" s="1"/>
    </row>
    <row r="4">
      <c r="A4" s="7" t="s">
        <v>10</v>
      </c>
      <c r="B4" s="7" t="s">
        <v>11</v>
      </c>
      <c r="C4" s="7" t="s">
        <v>66</v>
      </c>
      <c r="D4" s="7" t="s">
        <v>67</v>
      </c>
      <c r="E4" s="7" t="s">
        <v>14</v>
      </c>
      <c r="F4" s="7" t="s">
        <v>68</v>
      </c>
      <c r="G4" s="7" t="s">
        <v>16</v>
      </c>
      <c r="H4" s="10" t="s">
        <v>70</v>
      </c>
      <c r="I4" s="1"/>
      <c r="J4" s="7">
        <v>0.5</v>
      </c>
      <c r="K4" s="7">
        <v>0.5</v>
      </c>
      <c r="L4" s="7">
        <v>0.5</v>
      </c>
      <c r="M4" s="7">
        <v>0.5</v>
      </c>
      <c r="N4" s="7">
        <v>0.5</v>
      </c>
      <c r="O4" s="7">
        <v>0.5</v>
      </c>
      <c r="P4" s="7">
        <v>0.5</v>
      </c>
      <c r="Q4" s="7">
        <v>0.5</v>
      </c>
      <c r="R4" s="7">
        <v>0.5</v>
      </c>
      <c r="S4" s="7">
        <v>0.5</v>
      </c>
      <c r="T4" s="7">
        <v>0.5</v>
      </c>
      <c r="U4" s="7">
        <v>0.5</v>
      </c>
      <c r="V4" s="9">
        <f t="shared" si="1"/>
        <v>6</v>
      </c>
      <c r="W4" s="1"/>
      <c r="X4" s="1"/>
      <c r="Y4" s="1"/>
      <c r="Z4" s="1"/>
    </row>
    <row r="5">
      <c r="A5" s="7" t="s">
        <v>10</v>
      </c>
      <c r="B5" s="7" t="s">
        <v>18</v>
      </c>
      <c r="C5" s="7" t="s">
        <v>66</v>
      </c>
      <c r="D5" s="7" t="s">
        <v>67</v>
      </c>
      <c r="E5" s="7" t="s">
        <v>14</v>
      </c>
      <c r="F5" s="7" t="s">
        <v>68</v>
      </c>
      <c r="G5" s="7" t="s">
        <v>16</v>
      </c>
      <c r="H5" s="10" t="s">
        <v>70</v>
      </c>
      <c r="J5" s="7">
        <v>0.5</v>
      </c>
      <c r="K5" s="7">
        <v>0.5</v>
      </c>
      <c r="L5" s="7">
        <v>0.5</v>
      </c>
      <c r="M5" s="7">
        <v>0.5</v>
      </c>
      <c r="N5" s="7">
        <v>0.5</v>
      </c>
      <c r="O5" s="7">
        <v>0.5</v>
      </c>
      <c r="P5" s="7">
        <v>0.5</v>
      </c>
      <c r="Q5" s="7">
        <v>0.5</v>
      </c>
      <c r="R5" s="7">
        <v>0.5</v>
      </c>
      <c r="S5" s="7">
        <v>0.5</v>
      </c>
      <c r="T5" s="7">
        <v>0.5</v>
      </c>
      <c r="U5" s="7">
        <v>0.5</v>
      </c>
      <c r="V5" s="9">
        <f t="shared" si="1"/>
        <v>6</v>
      </c>
      <c r="W5" s="1"/>
      <c r="X5" s="1"/>
      <c r="Y5" s="1"/>
      <c r="Z5" s="1"/>
    </row>
    <row r="6">
      <c r="A6" s="7" t="s">
        <v>10</v>
      </c>
      <c r="B6" s="7" t="s">
        <v>11</v>
      </c>
      <c r="C6" s="7" t="s">
        <v>66</v>
      </c>
      <c r="D6" s="7" t="s">
        <v>67</v>
      </c>
      <c r="E6" s="7" t="s">
        <v>14</v>
      </c>
      <c r="F6" s="7" t="s">
        <v>71</v>
      </c>
      <c r="G6" s="7" t="s">
        <v>16</v>
      </c>
      <c r="H6" s="10" t="s">
        <v>72</v>
      </c>
      <c r="I6" s="1"/>
      <c r="J6" s="7">
        <v>0.7</v>
      </c>
      <c r="K6" s="7">
        <v>0.7</v>
      </c>
      <c r="L6" s="7">
        <v>0.7</v>
      </c>
      <c r="M6" s="7">
        <v>0.7</v>
      </c>
      <c r="N6" s="7">
        <v>0.7</v>
      </c>
      <c r="O6" s="7">
        <v>0.7</v>
      </c>
      <c r="P6" s="7">
        <v>0.7</v>
      </c>
      <c r="Q6" s="7">
        <v>0.7</v>
      </c>
      <c r="R6" s="7">
        <v>0.7</v>
      </c>
      <c r="S6" s="7">
        <v>0.7</v>
      </c>
      <c r="T6" s="7">
        <v>0.7</v>
      </c>
      <c r="U6" s="7">
        <v>0.7</v>
      </c>
      <c r="V6" s="9">
        <f t="shared" si="1"/>
        <v>8.4</v>
      </c>
      <c r="W6" s="1"/>
      <c r="X6" s="1"/>
      <c r="Y6" s="1"/>
      <c r="Z6" s="1"/>
    </row>
    <row r="7">
      <c r="A7" s="7" t="s">
        <v>10</v>
      </c>
      <c r="B7" s="7" t="s">
        <v>18</v>
      </c>
      <c r="C7" s="7" t="s">
        <v>66</v>
      </c>
      <c r="D7" s="7" t="s">
        <v>67</v>
      </c>
      <c r="E7" s="7" t="s">
        <v>14</v>
      </c>
      <c r="F7" s="7" t="s">
        <v>71</v>
      </c>
      <c r="G7" s="7" t="s">
        <v>16</v>
      </c>
      <c r="H7" s="10" t="s">
        <v>72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0.3</v>
      </c>
      <c r="P7" s="12">
        <v>0.3</v>
      </c>
      <c r="Q7" s="12">
        <v>0.3</v>
      </c>
      <c r="R7" s="12">
        <v>0.3</v>
      </c>
      <c r="S7" s="12">
        <v>0.3</v>
      </c>
      <c r="T7" s="12">
        <v>0.3</v>
      </c>
      <c r="U7" s="12">
        <v>0.3</v>
      </c>
      <c r="V7" s="9">
        <f t="shared" si="1"/>
        <v>3.6</v>
      </c>
      <c r="W7" s="1"/>
      <c r="X7" s="1"/>
      <c r="Y7" s="1"/>
      <c r="Z7" s="1"/>
    </row>
    <row r="8">
      <c r="A8" s="7" t="s">
        <v>10</v>
      </c>
      <c r="B8" s="7" t="s">
        <v>11</v>
      </c>
      <c r="C8" s="7" t="s">
        <v>66</v>
      </c>
      <c r="D8" s="7" t="s">
        <v>67</v>
      </c>
      <c r="E8" s="7" t="s">
        <v>14</v>
      </c>
      <c r="F8" s="7" t="s">
        <v>71</v>
      </c>
      <c r="G8" s="7" t="s">
        <v>16</v>
      </c>
      <c r="H8" s="10" t="s">
        <v>73</v>
      </c>
      <c r="I8" s="1"/>
      <c r="J8" s="7">
        <v>0.7</v>
      </c>
      <c r="K8" s="7">
        <v>0.7</v>
      </c>
      <c r="L8" s="7">
        <v>0.7</v>
      </c>
      <c r="M8" s="7">
        <v>0.7</v>
      </c>
      <c r="N8" s="7">
        <v>0.7</v>
      </c>
      <c r="O8" s="7">
        <v>0.7</v>
      </c>
      <c r="P8" s="7">
        <v>0.7</v>
      </c>
      <c r="Q8" s="7">
        <v>0.7</v>
      </c>
      <c r="R8" s="7">
        <v>0.7</v>
      </c>
      <c r="S8" s="7">
        <v>0.7</v>
      </c>
      <c r="T8" s="7">
        <v>0.7</v>
      </c>
      <c r="U8" s="7">
        <v>0.7</v>
      </c>
      <c r="V8" s="9">
        <f t="shared" si="1"/>
        <v>8.4</v>
      </c>
      <c r="W8" s="1"/>
      <c r="X8" s="1"/>
      <c r="Y8" s="1"/>
      <c r="Z8" s="1"/>
    </row>
    <row r="9">
      <c r="A9" s="7" t="s">
        <v>10</v>
      </c>
      <c r="B9" s="7" t="s">
        <v>18</v>
      </c>
      <c r="C9" s="7" t="s">
        <v>66</v>
      </c>
      <c r="D9" s="7" t="s">
        <v>67</v>
      </c>
      <c r="E9" s="7" t="s">
        <v>14</v>
      </c>
      <c r="F9" s="7" t="s">
        <v>71</v>
      </c>
      <c r="G9" s="7" t="s">
        <v>16</v>
      </c>
      <c r="H9" s="10" t="s">
        <v>73</v>
      </c>
      <c r="J9" s="12">
        <v>0.3</v>
      </c>
      <c r="K9" s="12">
        <v>0.3</v>
      </c>
      <c r="L9" s="12">
        <v>0.3</v>
      </c>
      <c r="M9" s="12">
        <v>0.3</v>
      </c>
      <c r="N9" s="12">
        <v>0.3</v>
      </c>
      <c r="O9" s="12">
        <v>0.3</v>
      </c>
      <c r="P9" s="12">
        <v>0.3</v>
      </c>
      <c r="Q9" s="12">
        <v>0.3</v>
      </c>
      <c r="R9" s="12">
        <v>0.3</v>
      </c>
      <c r="S9" s="12">
        <v>0.3</v>
      </c>
      <c r="T9" s="12">
        <v>0.3</v>
      </c>
      <c r="U9" s="12">
        <v>0.3</v>
      </c>
      <c r="V9" s="9">
        <f t="shared" si="1"/>
        <v>3.6</v>
      </c>
      <c r="W9" s="1"/>
      <c r="X9" s="1"/>
      <c r="Y9" s="1"/>
      <c r="Z9" s="1"/>
    </row>
    <row r="10">
      <c r="A10" s="7" t="s">
        <v>10</v>
      </c>
      <c r="B10" s="7" t="s">
        <v>11</v>
      </c>
      <c r="C10" s="7" t="s">
        <v>66</v>
      </c>
      <c r="D10" s="7" t="s">
        <v>67</v>
      </c>
      <c r="E10" s="7" t="s">
        <v>14</v>
      </c>
      <c r="F10" s="7" t="s">
        <v>74</v>
      </c>
      <c r="G10" s="7" t="s">
        <v>16</v>
      </c>
      <c r="H10" s="10" t="s">
        <v>75</v>
      </c>
      <c r="I10" s="1"/>
      <c r="J10" s="7">
        <v>0.8</v>
      </c>
      <c r="K10" s="7">
        <v>0.8</v>
      </c>
      <c r="L10" s="7">
        <v>0.8</v>
      </c>
      <c r="M10" s="7">
        <v>0.8</v>
      </c>
      <c r="N10" s="7">
        <v>0.8</v>
      </c>
      <c r="O10" s="7">
        <v>0.8</v>
      </c>
      <c r="P10" s="7">
        <v>0.8</v>
      </c>
      <c r="Q10" s="7">
        <v>0.8</v>
      </c>
      <c r="R10" s="7">
        <v>0.8</v>
      </c>
      <c r="S10" s="7">
        <v>0.8</v>
      </c>
      <c r="T10" s="7">
        <v>0.8</v>
      </c>
      <c r="U10" s="7">
        <v>0.8</v>
      </c>
      <c r="V10" s="9">
        <f t="shared" si="1"/>
        <v>9.6</v>
      </c>
      <c r="W10" s="1"/>
      <c r="X10" s="1"/>
      <c r="Y10" s="1"/>
      <c r="Z10" s="1"/>
    </row>
    <row r="11">
      <c r="A11" s="7" t="s">
        <v>10</v>
      </c>
      <c r="B11" s="7" t="s">
        <v>18</v>
      </c>
      <c r="C11" s="7" t="s">
        <v>66</v>
      </c>
      <c r="D11" s="7" t="s">
        <v>67</v>
      </c>
      <c r="E11" s="7" t="s">
        <v>14</v>
      </c>
      <c r="F11" s="7" t="s">
        <v>74</v>
      </c>
      <c r="G11" s="7" t="s">
        <v>16</v>
      </c>
      <c r="H11" s="10" t="s">
        <v>75</v>
      </c>
      <c r="I11" s="1"/>
      <c r="J11" s="7">
        <v>0.2</v>
      </c>
      <c r="K11" s="7">
        <v>0.2</v>
      </c>
      <c r="L11" s="7">
        <v>0.2</v>
      </c>
      <c r="M11" s="7">
        <v>0.2</v>
      </c>
      <c r="N11" s="7">
        <v>0.2</v>
      </c>
      <c r="O11" s="7">
        <v>0.2</v>
      </c>
      <c r="P11" s="7">
        <v>0.2</v>
      </c>
      <c r="Q11" s="7">
        <v>0.2</v>
      </c>
      <c r="R11" s="7">
        <v>0.2</v>
      </c>
      <c r="S11" s="7">
        <v>0.2</v>
      </c>
      <c r="T11" s="7">
        <v>0.2</v>
      </c>
      <c r="U11" s="7">
        <v>0.2</v>
      </c>
      <c r="V11" s="9">
        <f t="shared" si="1"/>
        <v>2.4</v>
      </c>
      <c r="W11" s="1"/>
      <c r="X11" s="1"/>
      <c r="Y11" s="1"/>
      <c r="Z11" s="1"/>
    </row>
    <row r="12">
      <c r="A12" s="7" t="s">
        <v>10</v>
      </c>
      <c r="B12" s="7" t="s">
        <v>11</v>
      </c>
      <c r="C12" s="7" t="s">
        <v>66</v>
      </c>
      <c r="D12" s="7" t="s">
        <v>67</v>
      </c>
      <c r="E12" s="7" t="s">
        <v>14</v>
      </c>
      <c r="F12" s="7" t="s">
        <v>74</v>
      </c>
      <c r="G12" s="7" t="s">
        <v>16</v>
      </c>
      <c r="H12" s="10" t="s">
        <v>76</v>
      </c>
      <c r="I12" s="1"/>
      <c r="J12" s="7">
        <v>0.8</v>
      </c>
      <c r="K12" s="7">
        <v>0.8</v>
      </c>
      <c r="L12" s="7">
        <v>0.8</v>
      </c>
      <c r="M12" s="7">
        <v>0.8</v>
      </c>
      <c r="N12" s="7">
        <v>0.8</v>
      </c>
      <c r="O12" s="7">
        <v>0.8</v>
      </c>
      <c r="P12" s="7">
        <v>0.8</v>
      </c>
      <c r="Q12" s="7">
        <v>0.8</v>
      </c>
      <c r="R12" s="7">
        <v>0.8</v>
      </c>
      <c r="S12" s="7">
        <v>0.8</v>
      </c>
      <c r="T12" s="7">
        <v>0.8</v>
      </c>
      <c r="U12" s="7">
        <v>0.8</v>
      </c>
      <c r="V12" s="9">
        <f t="shared" si="1"/>
        <v>9.6</v>
      </c>
      <c r="W12" s="1"/>
      <c r="X12" s="1"/>
      <c r="Y12" s="1"/>
      <c r="Z12" s="1"/>
    </row>
    <row r="13">
      <c r="A13" s="7" t="s">
        <v>10</v>
      </c>
      <c r="B13" s="7" t="s">
        <v>18</v>
      </c>
      <c r="C13" s="7" t="s">
        <v>66</v>
      </c>
      <c r="D13" s="7" t="s">
        <v>67</v>
      </c>
      <c r="E13" s="7" t="s">
        <v>14</v>
      </c>
      <c r="F13" s="7" t="s">
        <v>74</v>
      </c>
      <c r="G13" s="7" t="s">
        <v>16</v>
      </c>
      <c r="H13" s="10" t="s">
        <v>76</v>
      </c>
      <c r="I13" s="1"/>
      <c r="J13" s="7">
        <v>0.2</v>
      </c>
      <c r="K13" s="7">
        <v>0.2</v>
      </c>
      <c r="L13" s="7">
        <v>0.2</v>
      </c>
      <c r="M13" s="7">
        <v>0.2</v>
      </c>
      <c r="N13" s="7">
        <v>0.2</v>
      </c>
      <c r="O13" s="7">
        <v>0.2</v>
      </c>
      <c r="P13" s="7">
        <v>0.2</v>
      </c>
      <c r="Q13" s="7">
        <v>0.2</v>
      </c>
      <c r="R13" s="7">
        <v>0.2</v>
      </c>
      <c r="S13" s="7">
        <v>0.2</v>
      </c>
      <c r="T13" s="7">
        <v>0.2</v>
      </c>
      <c r="U13" s="7">
        <v>0.2</v>
      </c>
      <c r="V13" s="9">
        <f t="shared" si="1"/>
        <v>2.4</v>
      </c>
      <c r="W13" s="1"/>
      <c r="X13" s="1"/>
      <c r="Y13" s="1"/>
      <c r="Z13" s="1"/>
    </row>
    <row r="14">
      <c r="A14" s="7" t="s">
        <v>10</v>
      </c>
      <c r="B14" s="7" t="s">
        <v>11</v>
      </c>
      <c r="C14" s="7" t="s">
        <v>66</v>
      </c>
      <c r="D14" s="7" t="s">
        <v>67</v>
      </c>
      <c r="E14" s="7" t="s">
        <v>14</v>
      </c>
      <c r="F14" s="7" t="s">
        <v>74</v>
      </c>
      <c r="G14" s="7" t="s">
        <v>16</v>
      </c>
      <c r="H14" s="10" t="s">
        <v>77</v>
      </c>
      <c r="I14" s="1"/>
      <c r="J14" s="7">
        <v>0.8</v>
      </c>
      <c r="K14" s="7">
        <v>0.8</v>
      </c>
      <c r="L14" s="7">
        <v>0.8</v>
      </c>
      <c r="M14" s="7">
        <v>0.8</v>
      </c>
      <c r="N14" s="7">
        <v>0.8</v>
      </c>
      <c r="O14" s="7">
        <v>0.8</v>
      </c>
      <c r="P14" s="7">
        <v>0.8</v>
      </c>
      <c r="Q14" s="7">
        <v>0.8</v>
      </c>
      <c r="R14" s="7">
        <v>0.8</v>
      </c>
      <c r="S14" s="7">
        <v>0.8</v>
      </c>
      <c r="T14" s="7">
        <v>0.8</v>
      </c>
      <c r="U14" s="7">
        <v>0.8</v>
      </c>
      <c r="V14" s="9">
        <f t="shared" si="1"/>
        <v>9.6</v>
      </c>
      <c r="W14" s="1"/>
      <c r="X14" s="1"/>
      <c r="Y14" s="1"/>
      <c r="Z14" s="1"/>
    </row>
    <row r="15">
      <c r="A15" s="7" t="s">
        <v>10</v>
      </c>
      <c r="B15" s="7" t="s">
        <v>18</v>
      </c>
      <c r="C15" s="7" t="s">
        <v>66</v>
      </c>
      <c r="D15" s="7" t="s">
        <v>67</v>
      </c>
      <c r="E15" s="7" t="s">
        <v>14</v>
      </c>
      <c r="F15" s="7" t="s">
        <v>74</v>
      </c>
      <c r="G15" s="7" t="s">
        <v>16</v>
      </c>
      <c r="H15" s="10" t="s">
        <v>77</v>
      </c>
      <c r="I15" s="1"/>
      <c r="J15" s="7">
        <v>0.2</v>
      </c>
      <c r="K15" s="7">
        <v>0.2</v>
      </c>
      <c r="L15" s="7">
        <v>0.2</v>
      </c>
      <c r="M15" s="7">
        <v>0.2</v>
      </c>
      <c r="N15" s="7">
        <v>0.2</v>
      </c>
      <c r="O15" s="7">
        <v>0.2</v>
      </c>
      <c r="P15" s="7">
        <v>0.2</v>
      </c>
      <c r="Q15" s="7">
        <v>0.2</v>
      </c>
      <c r="R15" s="7">
        <v>0.2</v>
      </c>
      <c r="S15" s="7">
        <v>0.2</v>
      </c>
      <c r="T15" s="7">
        <v>0.2</v>
      </c>
      <c r="U15" s="7">
        <v>0.2</v>
      </c>
      <c r="V15" s="9">
        <f t="shared" si="1"/>
        <v>2.4</v>
      </c>
      <c r="W15" s="1"/>
      <c r="X15" s="1"/>
      <c r="Y15" s="1"/>
      <c r="Z15" s="1"/>
    </row>
    <row r="16">
      <c r="A16" s="7" t="s">
        <v>10</v>
      </c>
      <c r="B16" s="7" t="s">
        <v>11</v>
      </c>
      <c r="C16" s="7" t="s">
        <v>66</v>
      </c>
      <c r="D16" s="7" t="s">
        <v>67</v>
      </c>
      <c r="E16" s="7" t="s">
        <v>14</v>
      </c>
      <c r="F16" s="7" t="s">
        <v>74</v>
      </c>
      <c r="G16" s="7" t="s">
        <v>16</v>
      </c>
      <c r="H16" s="10" t="s">
        <v>78</v>
      </c>
      <c r="I16" s="1"/>
      <c r="J16" s="7">
        <v>0.8</v>
      </c>
      <c r="K16" s="7">
        <v>0.8</v>
      </c>
      <c r="L16" s="7">
        <v>0.8</v>
      </c>
      <c r="M16" s="7">
        <v>0.8</v>
      </c>
      <c r="N16" s="7">
        <v>0.8</v>
      </c>
      <c r="O16" s="7">
        <v>0.8</v>
      </c>
      <c r="P16" s="7">
        <v>0.8</v>
      </c>
      <c r="Q16" s="7">
        <v>0.8</v>
      </c>
      <c r="R16" s="7">
        <v>0.8</v>
      </c>
      <c r="S16" s="7">
        <v>0.8</v>
      </c>
      <c r="T16" s="7">
        <v>0.8</v>
      </c>
      <c r="U16" s="7">
        <v>0.8</v>
      </c>
      <c r="V16" s="9">
        <f t="shared" si="1"/>
        <v>9.6</v>
      </c>
      <c r="W16" s="1"/>
      <c r="X16" s="1"/>
      <c r="Y16" s="1"/>
      <c r="Z16" s="1"/>
    </row>
    <row r="17">
      <c r="A17" s="7" t="s">
        <v>10</v>
      </c>
      <c r="B17" s="7" t="s">
        <v>18</v>
      </c>
      <c r="C17" s="7" t="s">
        <v>66</v>
      </c>
      <c r="D17" s="7" t="s">
        <v>67</v>
      </c>
      <c r="E17" s="7" t="s">
        <v>14</v>
      </c>
      <c r="F17" s="7" t="s">
        <v>74</v>
      </c>
      <c r="G17" s="7" t="s">
        <v>16</v>
      </c>
      <c r="H17" s="10" t="s">
        <v>78</v>
      </c>
      <c r="I17" s="1"/>
      <c r="J17" s="7">
        <v>0.2</v>
      </c>
      <c r="K17" s="7">
        <v>0.2</v>
      </c>
      <c r="L17" s="7">
        <v>0.2</v>
      </c>
      <c r="M17" s="7">
        <v>0.2</v>
      </c>
      <c r="N17" s="7">
        <v>0.2</v>
      </c>
      <c r="O17" s="7">
        <v>0.2</v>
      </c>
      <c r="P17" s="7">
        <v>0.2</v>
      </c>
      <c r="Q17" s="7">
        <v>0.2</v>
      </c>
      <c r="R17" s="7">
        <v>0.2</v>
      </c>
      <c r="S17" s="7">
        <v>0.2</v>
      </c>
      <c r="T17" s="7">
        <v>0.2</v>
      </c>
      <c r="U17" s="7">
        <v>0.2</v>
      </c>
      <c r="V17" s="9">
        <f t="shared" si="1"/>
        <v>2.4</v>
      </c>
      <c r="W17" s="1"/>
      <c r="X17" s="1"/>
      <c r="Y17" s="1"/>
      <c r="Z17" s="1"/>
    </row>
    <row r="18">
      <c r="A18" s="7" t="s">
        <v>10</v>
      </c>
      <c r="B18" s="7" t="s">
        <v>11</v>
      </c>
      <c r="C18" s="7" t="s">
        <v>66</v>
      </c>
      <c r="D18" s="7" t="s">
        <v>67</v>
      </c>
      <c r="E18" s="7" t="s">
        <v>14</v>
      </c>
      <c r="F18" s="7" t="s">
        <v>74</v>
      </c>
      <c r="G18" s="7" t="s">
        <v>16</v>
      </c>
      <c r="H18" s="10" t="s">
        <v>79</v>
      </c>
      <c r="I18" s="1"/>
      <c r="J18" s="7">
        <v>0.8</v>
      </c>
      <c r="K18" s="7">
        <v>0.8</v>
      </c>
      <c r="L18" s="7">
        <v>0.8</v>
      </c>
      <c r="M18" s="7">
        <v>0.8</v>
      </c>
      <c r="N18" s="7">
        <v>0.8</v>
      </c>
      <c r="O18" s="7">
        <v>0.8</v>
      </c>
      <c r="P18" s="7">
        <v>0.8</v>
      </c>
      <c r="Q18" s="7">
        <v>0.8</v>
      </c>
      <c r="R18" s="7">
        <v>0.8</v>
      </c>
      <c r="S18" s="7">
        <v>0.8</v>
      </c>
      <c r="T18" s="7">
        <v>0.8</v>
      </c>
      <c r="U18" s="7">
        <v>0.8</v>
      </c>
      <c r="V18" s="9">
        <f t="shared" si="1"/>
        <v>9.6</v>
      </c>
      <c r="W18" s="1"/>
      <c r="X18" s="1"/>
      <c r="Y18" s="1"/>
      <c r="Z18" s="1"/>
    </row>
    <row r="19">
      <c r="A19" s="7" t="s">
        <v>10</v>
      </c>
      <c r="B19" s="7" t="s">
        <v>18</v>
      </c>
      <c r="C19" s="7" t="s">
        <v>66</v>
      </c>
      <c r="D19" s="7" t="s">
        <v>67</v>
      </c>
      <c r="E19" s="7" t="s">
        <v>14</v>
      </c>
      <c r="F19" s="7" t="s">
        <v>74</v>
      </c>
      <c r="G19" s="7" t="s">
        <v>16</v>
      </c>
      <c r="H19" s="10" t="s">
        <v>79</v>
      </c>
      <c r="I19" s="1"/>
      <c r="J19" s="7">
        <v>0.2</v>
      </c>
      <c r="K19" s="7">
        <v>0.2</v>
      </c>
      <c r="L19" s="7">
        <v>0.2</v>
      </c>
      <c r="M19" s="7">
        <v>0.2</v>
      </c>
      <c r="N19" s="7">
        <v>0.2</v>
      </c>
      <c r="O19" s="7">
        <v>0.2</v>
      </c>
      <c r="P19" s="7">
        <v>0.2</v>
      </c>
      <c r="Q19" s="7">
        <v>0.2</v>
      </c>
      <c r="R19" s="7">
        <v>0.2</v>
      </c>
      <c r="S19" s="7">
        <v>0.2</v>
      </c>
      <c r="T19" s="7">
        <v>0.2</v>
      </c>
      <c r="U19" s="7">
        <v>0.2</v>
      </c>
      <c r="V19" s="9">
        <f t="shared" si="1"/>
        <v>2.4</v>
      </c>
      <c r="W19" s="1"/>
      <c r="X19" s="1"/>
      <c r="Y19" s="1"/>
      <c r="Z19" s="1"/>
    </row>
    <row r="20">
      <c r="A20" s="7" t="s">
        <v>10</v>
      </c>
      <c r="B20" s="7" t="s">
        <v>11</v>
      </c>
      <c r="C20" s="7" t="s">
        <v>66</v>
      </c>
      <c r="D20" s="7" t="s">
        <v>67</v>
      </c>
      <c r="E20" s="7" t="s">
        <v>14</v>
      </c>
      <c r="F20" s="7" t="s">
        <v>74</v>
      </c>
      <c r="G20" s="7" t="s">
        <v>16</v>
      </c>
      <c r="H20" s="10" t="s">
        <v>80</v>
      </c>
      <c r="I20" s="1"/>
      <c r="J20" s="7">
        <v>0.8</v>
      </c>
      <c r="K20" s="7">
        <v>0.8</v>
      </c>
      <c r="L20" s="7">
        <v>0.8</v>
      </c>
      <c r="M20" s="7">
        <v>0.8</v>
      </c>
      <c r="N20" s="7">
        <v>0.8</v>
      </c>
      <c r="O20" s="7">
        <v>0.8</v>
      </c>
      <c r="P20" s="7">
        <v>0.8</v>
      </c>
      <c r="Q20" s="7">
        <v>0.8</v>
      </c>
      <c r="R20" s="7">
        <v>0.8</v>
      </c>
      <c r="S20" s="7">
        <v>0.8</v>
      </c>
      <c r="T20" s="7">
        <v>0.8</v>
      </c>
      <c r="U20" s="7">
        <v>0.8</v>
      </c>
      <c r="V20" s="9">
        <f t="shared" si="1"/>
        <v>9.6</v>
      </c>
      <c r="W20" s="1"/>
      <c r="X20" s="1"/>
      <c r="Y20" s="1"/>
      <c r="Z20" s="1"/>
    </row>
    <row r="21">
      <c r="A21" s="7" t="s">
        <v>10</v>
      </c>
      <c r="B21" s="7" t="s">
        <v>18</v>
      </c>
      <c r="C21" s="7" t="s">
        <v>66</v>
      </c>
      <c r="D21" s="7" t="s">
        <v>67</v>
      </c>
      <c r="E21" s="7" t="s">
        <v>14</v>
      </c>
      <c r="F21" s="7" t="s">
        <v>74</v>
      </c>
      <c r="G21" s="7" t="s">
        <v>16</v>
      </c>
      <c r="H21" s="10" t="s">
        <v>80</v>
      </c>
      <c r="I21" s="1"/>
      <c r="J21" s="7">
        <v>0.2</v>
      </c>
      <c r="K21" s="7">
        <v>0.2</v>
      </c>
      <c r="L21" s="7">
        <v>0.2</v>
      </c>
      <c r="M21" s="7">
        <v>0.2</v>
      </c>
      <c r="N21" s="7">
        <v>0.2</v>
      </c>
      <c r="O21" s="7">
        <v>0.2</v>
      </c>
      <c r="P21" s="7">
        <v>0.2</v>
      </c>
      <c r="Q21" s="7">
        <v>0.2</v>
      </c>
      <c r="R21" s="7">
        <v>0.2</v>
      </c>
      <c r="S21" s="7">
        <v>0.2</v>
      </c>
      <c r="T21" s="7">
        <v>0.2</v>
      </c>
      <c r="U21" s="7">
        <v>0.2</v>
      </c>
      <c r="V21" s="9">
        <f t="shared" si="1"/>
        <v>2.4</v>
      </c>
      <c r="W21" s="1"/>
      <c r="X21" s="1"/>
      <c r="Y21" s="1"/>
      <c r="Z21" s="1"/>
    </row>
    <row r="22">
      <c r="A22" s="7" t="s">
        <v>10</v>
      </c>
      <c r="B22" s="7" t="s">
        <v>11</v>
      </c>
      <c r="C22" s="7" t="s">
        <v>66</v>
      </c>
      <c r="D22" s="7" t="s">
        <v>67</v>
      </c>
      <c r="E22" s="7" t="s">
        <v>14</v>
      </c>
      <c r="F22" s="7" t="s">
        <v>74</v>
      </c>
      <c r="G22" s="7" t="s">
        <v>16</v>
      </c>
      <c r="H22" s="8" t="s">
        <v>81</v>
      </c>
      <c r="I22" s="1"/>
      <c r="J22" s="7">
        <v>0.8</v>
      </c>
      <c r="K22" s="7">
        <v>0.8</v>
      </c>
      <c r="L22" s="7">
        <v>0.8</v>
      </c>
      <c r="M22" s="7">
        <v>0.8</v>
      </c>
      <c r="N22" s="7">
        <v>0.8</v>
      </c>
      <c r="O22" s="7">
        <v>0.8</v>
      </c>
      <c r="P22" s="7">
        <v>0.8</v>
      </c>
      <c r="Q22" s="7">
        <v>0.8</v>
      </c>
      <c r="R22" s="7">
        <v>0.8</v>
      </c>
      <c r="S22" s="7">
        <v>0.8</v>
      </c>
      <c r="T22" s="7">
        <v>0.8</v>
      </c>
      <c r="U22" s="7">
        <v>0.8</v>
      </c>
      <c r="V22" s="9">
        <f t="shared" si="1"/>
        <v>9.6</v>
      </c>
      <c r="W22" s="1"/>
      <c r="X22" s="1"/>
      <c r="Y22" s="1"/>
      <c r="Z22" s="1"/>
    </row>
    <row r="23">
      <c r="A23" s="7" t="s">
        <v>10</v>
      </c>
      <c r="B23" s="7" t="s">
        <v>18</v>
      </c>
      <c r="C23" s="7" t="s">
        <v>66</v>
      </c>
      <c r="D23" s="7" t="s">
        <v>67</v>
      </c>
      <c r="E23" s="7" t="s">
        <v>14</v>
      </c>
      <c r="F23" s="7" t="s">
        <v>74</v>
      </c>
      <c r="G23" s="7" t="s">
        <v>16</v>
      </c>
      <c r="H23" s="8" t="s">
        <v>81</v>
      </c>
      <c r="I23" s="1"/>
      <c r="J23" s="7">
        <v>0.2</v>
      </c>
      <c r="K23" s="7">
        <v>0.2</v>
      </c>
      <c r="L23" s="7">
        <v>0.2</v>
      </c>
      <c r="M23" s="7">
        <v>0.2</v>
      </c>
      <c r="N23" s="7">
        <v>0.2</v>
      </c>
      <c r="O23" s="7">
        <v>0.2</v>
      </c>
      <c r="P23" s="7">
        <v>0.2</v>
      </c>
      <c r="Q23" s="7">
        <v>0.2</v>
      </c>
      <c r="R23" s="7">
        <v>0.2</v>
      </c>
      <c r="S23" s="7">
        <v>0.2</v>
      </c>
      <c r="T23" s="7">
        <v>0.2</v>
      </c>
      <c r="U23" s="7">
        <v>0.2</v>
      </c>
      <c r="V23" s="9">
        <f t="shared" si="1"/>
        <v>2.4</v>
      </c>
      <c r="W23" s="1"/>
      <c r="X23" s="1"/>
      <c r="Y23" s="1"/>
      <c r="Z23" s="1"/>
    </row>
    <row r="24">
      <c r="A24" s="7" t="s">
        <v>10</v>
      </c>
      <c r="B24" s="7" t="s">
        <v>11</v>
      </c>
      <c r="C24" s="7" t="s">
        <v>66</v>
      </c>
      <c r="D24" s="7" t="s">
        <v>67</v>
      </c>
      <c r="E24" s="7" t="s">
        <v>14</v>
      </c>
      <c r="F24" s="7" t="s">
        <v>74</v>
      </c>
      <c r="G24" s="7" t="s">
        <v>16</v>
      </c>
      <c r="H24" s="10" t="s">
        <v>82</v>
      </c>
      <c r="I24" s="1"/>
      <c r="J24" s="7">
        <v>0.8</v>
      </c>
      <c r="K24" s="7">
        <v>0.8</v>
      </c>
      <c r="L24" s="7">
        <v>0.8</v>
      </c>
      <c r="M24" s="7">
        <v>0.8</v>
      </c>
      <c r="N24" s="7">
        <v>0.8</v>
      </c>
      <c r="O24" s="7">
        <v>0.8</v>
      </c>
      <c r="P24" s="7">
        <v>0.8</v>
      </c>
      <c r="Q24" s="7">
        <v>0.8</v>
      </c>
      <c r="R24" s="7">
        <v>0.8</v>
      </c>
      <c r="S24" s="7">
        <v>0.8</v>
      </c>
      <c r="T24" s="7">
        <v>0.8</v>
      </c>
      <c r="U24" s="7">
        <v>0.8</v>
      </c>
      <c r="V24" s="9">
        <f t="shared" si="1"/>
        <v>9.6</v>
      </c>
      <c r="W24" s="1"/>
      <c r="X24" s="1"/>
      <c r="Y24" s="1"/>
      <c r="Z24" s="1"/>
    </row>
    <row r="25">
      <c r="A25" s="7" t="s">
        <v>10</v>
      </c>
      <c r="B25" s="7" t="s">
        <v>18</v>
      </c>
      <c r="C25" s="7" t="s">
        <v>66</v>
      </c>
      <c r="D25" s="7" t="s">
        <v>67</v>
      </c>
      <c r="E25" s="7" t="s">
        <v>14</v>
      </c>
      <c r="F25" s="7" t="s">
        <v>74</v>
      </c>
      <c r="G25" s="7" t="s">
        <v>16</v>
      </c>
      <c r="H25" s="10" t="s">
        <v>82</v>
      </c>
      <c r="I25" s="1"/>
      <c r="J25" s="7">
        <v>0.2</v>
      </c>
      <c r="K25" s="7">
        <v>0.2</v>
      </c>
      <c r="L25" s="7">
        <v>0.2</v>
      </c>
      <c r="M25" s="7">
        <v>0.2</v>
      </c>
      <c r="N25" s="7">
        <v>0.2</v>
      </c>
      <c r="O25" s="7">
        <v>0.2</v>
      </c>
      <c r="P25" s="7">
        <v>0.2</v>
      </c>
      <c r="Q25" s="7">
        <v>0.2</v>
      </c>
      <c r="R25" s="7">
        <v>0.2</v>
      </c>
      <c r="S25" s="7">
        <v>0.2</v>
      </c>
      <c r="T25" s="7">
        <v>0.2</v>
      </c>
      <c r="U25" s="7">
        <v>0.2</v>
      </c>
      <c r="V25" s="9">
        <f t="shared" si="1"/>
        <v>2.4</v>
      </c>
      <c r="W25" s="1"/>
      <c r="X25" s="1"/>
      <c r="Y25" s="1"/>
      <c r="Z25" s="1"/>
    </row>
    <row r="26">
      <c r="A26" s="7" t="s">
        <v>10</v>
      </c>
      <c r="B26" s="7" t="s">
        <v>11</v>
      </c>
      <c r="C26" s="7" t="s">
        <v>66</v>
      </c>
      <c r="D26" s="7" t="s">
        <v>67</v>
      </c>
      <c r="E26" s="7" t="s">
        <v>14</v>
      </c>
      <c r="F26" s="7" t="s">
        <v>74</v>
      </c>
      <c r="G26" s="7" t="s">
        <v>16</v>
      </c>
      <c r="H26" s="10" t="s">
        <v>83</v>
      </c>
      <c r="I26" s="7" t="s">
        <v>84</v>
      </c>
      <c r="J26" s="7">
        <v>1.0</v>
      </c>
      <c r="K26" s="7">
        <v>1.0</v>
      </c>
      <c r="L26" s="7">
        <v>1.0</v>
      </c>
      <c r="M26" s="7">
        <v>1.0</v>
      </c>
      <c r="N26" s="7">
        <v>1.0</v>
      </c>
      <c r="O26" s="7">
        <v>1.0</v>
      </c>
      <c r="P26" s="7">
        <v>1.0</v>
      </c>
      <c r="Q26" s="7">
        <v>1.0</v>
      </c>
      <c r="R26" s="7">
        <v>1.0</v>
      </c>
      <c r="S26" s="7">
        <v>1.0</v>
      </c>
      <c r="T26" s="7">
        <v>1.0</v>
      </c>
      <c r="U26" s="7">
        <v>1.0</v>
      </c>
      <c r="V26" s="9">
        <f t="shared" si="1"/>
        <v>12</v>
      </c>
      <c r="W26" s="1"/>
      <c r="X26" s="1"/>
      <c r="Y26" s="1"/>
      <c r="Z26" s="1"/>
    </row>
    <row r="27">
      <c r="A27" s="7" t="s">
        <v>10</v>
      </c>
      <c r="B27" s="7" t="s">
        <v>11</v>
      </c>
      <c r="C27" s="7" t="s">
        <v>66</v>
      </c>
      <c r="D27" s="7" t="s">
        <v>67</v>
      </c>
      <c r="E27" s="7" t="s">
        <v>14</v>
      </c>
      <c r="F27" s="7" t="s">
        <v>74</v>
      </c>
      <c r="G27" s="7" t="s">
        <v>16</v>
      </c>
      <c r="H27" s="10" t="s">
        <v>85</v>
      </c>
      <c r="I27" s="7" t="s">
        <v>84</v>
      </c>
      <c r="J27" s="7">
        <v>1.0</v>
      </c>
      <c r="K27" s="7">
        <v>1.0</v>
      </c>
      <c r="L27" s="7">
        <v>1.0</v>
      </c>
      <c r="M27" s="7">
        <v>1.0</v>
      </c>
      <c r="N27" s="7">
        <v>1.0</v>
      </c>
      <c r="O27" s="7">
        <v>1.0</v>
      </c>
      <c r="P27" s="7">
        <v>1.0</v>
      </c>
      <c r="Q27" s="7">
        <v>1.0</v>
      </c>
      <c r="R27" s="7">
        <v>1.0</v>
      </c>
      <c r="S27" s="7">
        <v>1.0</v>
      </c>
      <c r="T27" s="7">
        <v>1.0</v>
      </c>
      <c r="U27" s="7">
        <v>1.0</v>
      </c>
      <c r="V27" s="9">
        <f t="shared" si="1"/>
        <v>12</v>
      </c>
      <c r="W27" s="1"/>
      <c r="X27" s="1"/>
      <c r="Y27" s="1"/>
      <c r="Z27" s="1"/>
    </row>
    <row r="28">
      <c r="A28" s="7" t="s">
        <v>86</v>
      </c>
      <c r="B28" s="7" t="s">
        <v>11</v>
      </c>
      <c r="C28" s="7" t="s">
        <v>66</v>
      </c>
      <c r="D28" s="7" t="s">
        <v>67</v>
      </c>
      <c r="E28" s="7" t="s">
        <v>14</v>
      </c>
      <c r="F28" s="7" t="s">
        <v>74</v>
      </c>
      <c r="G28" s="7" t="s">
        <v>16</v>
      </c>
      <c r="H28" s="10" t="s">
        <v>87</v>
      </c>
      <c r="I28" s="7" t="s">
        <v>88</v>
      </c>
      <c r="J28" s="7">
        <v>1.0</v>
      </c>
      <c r="K28" s="7">
        <v>1.0</v>
      </c>
      <c r="L28" s="7">
        <v>1.0</v>
      </c>
      <c r="M28" s="7">
        <v>1.0</v>
      </c>
      <c r="N28" s="7">
        <v>1.0</v>
      </c>
      <c r="O28" s="7">
        <v>1.0</v>
      </c>
      <c r="P28" s="7">
        <v>1.0</v>
      </c>
      <c r="Q28" s="7">
        <v>1.0</v>
      </c>
      <c r="R28" s="7">
        <v>1.0</v>
      </c>
      <c r="S28" s="7">
        <v>1.0</v>
      </c>
      <c r="T28" s="7">
        <v>1.0</v>
      </c>
      <c r="U28" s="7">
        <v>1.0</v>
      </c>
      <c r="V28" s="9">
        <f t="shared" si="1"/>
        <v>12</v>
      </c>
      <c r="W28" s="1"/>
      <c r="X28" s="1"/>
      <c r="Y28" s="1"/>
      <c r="Z28" s="1"/>
    </row>
    <row r="29">
      <c r="A29" s="7" t="s">
        <v>10</v>
      </c>
      <c r="B29" s="7" t="s">
        <v>11</v>
      </c>
      <c r="C29" s="7" t="s">
        <v>66</v>
      </c>
      <c r="D29" s="7" t="s">
        <v>67</v>
      </c>
      <c r="E29" s="7" t="s">
        <v>14</v>
      </c>
      <c r="F29" s="7" t="s">
        <v>26</v>
      </c>
      <c r="G29" s="7" t="s">
        <v>16</v>
      </c>
      <c r="H29" s="8" t="s">
        <v>89</v>
      </c>
      <c r="I29" s="7" t="s">
        <v>90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>
        <v>1.0</v>
      </c>
      <c r="P29" s="7">
        <v>1.0</v>
      </c>
      <c r="Q29" s="7">
        <v>1.0</v>
      </c>
      <c r="R29" s="7">
        <v>1.0</v>
      </c>
      <c r="S29" s="7">
        <v>1.0</v>
      </c>
      <c r="T29" s="7">
        <v>1.0</v>
      </c>
      <c r="U29" s="7">
        <v>1.0</v>
      </c>
      <c r="V29" s="9">
        <f t="shared" si="1"/>
        <v>7</v>
      </c>
      <c r="W29" s="1"/>
      <c r="X29" s="1"/>
      <c r="Y29" s="1"/>
      <c r="Z29" s="1"/>
    </row>
    <row r="30">
      <c r="A30" s="7" t="s">
        <v>10</v>
      </c>
      <c r="B30" s="7" t="s">
        <v>11</v>
      </c>
      <c r="C30" s="7" t="s">
        <v>66</v>
      </c>
      <c r="D30" s="7" t="s">
        <v>67</v>
      </c>
      <c r="E30" s="7" t="s">
        <v>14</v>
      </c>
      <c r="F30" s="7" t="s">
        <v>26</v>
      </c>
      <c r="G30" s="7" t="s">
        <v>16</v>
      </c>
      <c r="H30" s="8" t="s">
        <v>27</v>
      </c>
      <c r="I30" s="7" t="s">
        <v>28</v>
      </c>
      <c r="J30" s="7">
        <v>0.4</v>
      </c>
      <c r="K30" s="7">
        <v>0.4</v>
      </c>
      <c r="L30" s="7">
        <v>0.4</v>
      </c>
      <c r="M30" s="7">
        <v>0.4</v>
      </c>
      <c r="N30" s="7">
        <v>0.4</v>
      </c>
      <c r="O30" s="7">
        <v>0.2</v>
      </c>
      <c r="P30" s="7">
        <v>0.2</v>
      </c>
      <c r="Q30" s="7">
        <v>0.2</v>
      </c>
      <c r="R30" s="7">
        <v>0.2</v>
      </c>
      <c r="S30" s="7">
        <v>0.2</v>
      </c>
      <c r="T30" s="7">
        <v>0.2</v>
      </c>
      <c r="U30" s="7">
        <v>0.2</v>
      </c>
      <c r="V30" s="9">
        <f t="shared" si="1"/>
        <v>3.4</v>
      </c>
      <c r="W30" s="1"/>
      <c r="X30" s="1"/>
      <c r="Y30" s="1"/>
      <c r="Z30" s="1"/>
    </row>
    <row r="31">
      <c r="A31" s="7" t="s">
        <v>10</v>
      </c>
      <c r="B31" s="7" t="s">
        <v>11</v>
      </c>
      <c r="C31" s="7" t="s">
        <v>66</v>
      </c>
      <c r="D31" s="7" t="s">
        <v>67</v>
      </c>
      <c r="E31" s="7" t="s">
        <v>14</v>
      </c>
      <c r="F31" s="7" t="s">
        <v>26</v>
      </c>
      <c r="G31" s="7" t="s">
        <v>16</v>
      </c>
      <c r="H31" s="10" t="s">
        <v>91</v>
      </c>
      <c r="I31" s="7" t="s">
        <v>92</v>
      </c>
      <c r="J31" s="7">
        <v>1.0</v>
      </c>
      <c r="K31" s="7">
        <v>1.0</v>
      </c>
      <c r="L31" s="7">
        <v>1.0</v>
      </c>
      <c r="M31" s="7">
        <v>1.0</v>
      </c>
      <c r="N31" s="7">
        <v>1.0</v>
      </c>
      <c r="O31" s="7">
        <v>1.0</v>
      </c>
      <c r="P31" s="7">
        <v>1.0</v>
      </c>
      <c r="Q31" s="7">
        <v>1.0</v>
      </c>
      <c r="R31" s="7">
        <v>1.0</v>
      </c>
      <c r="S31" s="7">
        <v>1.0</v>
      </c>
      <c r="T31" s="7">
        <v>1.0</v>
      </c>
      <c r="U31" s="7">
        <v>1.0</v>
      </c>
      <c r="V31" s="9">
        <f t="shared" si="1"/>
        <v>12</v>
      </c>
      <c r="W31" s="1"/>
      <c r="X31" s="1"/>
      <c r="Y31" s="1"/>
      <c r="Z31" s="1"/>
    </row>
    <row r="32">
      <c r="A32" s="7" t="s">
        <v>10</v>
      </c>
      <c r="B32" s="7" t="s">
        <v>18</v>
      </c>
      <c r="C32" s="7" t="s">
        <v>66</v>
      </c>
      <c r="D32" s="7" t="s">
        <v>67</v>
      </c>
      <c r="E32" s="7" t="s">
        <v>14</v>
      </c>
      <c r="F32" s="7" t="s">
        <v>26</v>
      </c>
      <c r="G32" s="7" t="s">
        <v>16</v>
      </c>
      <c r="H32" s="10" t="s">
        <v>93</v>
      </c>
      <c r="I32" s="7" t="s">
        <v>94</v>
      </c>
      <c r="J32" s="7">
        <v>1.0</v>
      </c>
      <c r="K32" s="7">
        <v>1.0</v>
      </c>
      <c r="L32" s="7">
        <v>1.0</v>
      </c>
      <c r="M32" s="7">
        <v>1.0</v>
      </c>
      <c r="N32" s="7">
        <v>1.0</v>
      </c>
      <c r="O32" s="7">
        <v>1.0</v>
      </c>
      <c r="P32" s="7">
        <v>1.0</v>
      </c>
      <c r="Q32" s="7">
        <v>1.0</v>
      </c>
      <c r="R32" s="7">
        <v>1.0</v>
      </c>
      <c r="S32" s="7">
        <v>1.0</v>
      </c>
      <c r="T32" s="7">
        <v>1.0</v>
      </c>
      <c r="U32" s="7">
        <v>1.0</v>
      </c>
      <c r="V32" s="9">
        <f t="shared" si="1"/>
        <v>12</v>
      </c>
      <c r="W32" s="1"/>
      <c r="X32" s="1"/>
      <c r="Y32" s="1"/>
      <c r="Z32" s="1"/>
    </row>
    <row r="33">
      <c r="A33" s="7" t="s">
        <v>10</v>
      </c>
      <c r="B33" s="7" t="s">
        <v>11</v>
      </c>
      <c r="C33" s="7" t="s">
        <v>66</v>
      </c>
      <c r="D33" s="7" t="s">
        <v>67</v>
      </c>
      <c r="E33" s="7" t="s">
        <v>14</v>
      </c>
      <c r="F33" s="7" t="s">
        <v>74</v>
      </c>
      <c r="G33" s="7" t="s">
        <v>16</v>
      </c>
      <c r="H33" s="11" t="s">
        <v>95</v>
      </c>
      <c r="I33" s="11" t="s">
        <v>96</v>
      </c>
      <c r="J33" s="7">
        <v>0.8</v>
      </c>
      <c r="K33" s="7">
        <v>0.8</v>
      </c>
      <c r="L33" s="7">
        <v>0.8</v>
      </c>
      <c r="M33" s="7">
        <v>0.8</v>
      </c>
      <c r="N33" s="7">
        <v>0.8</v>
      </c>
      <c r="O33" s="7">
        <v>0.8</v>
      </c>
      <c r="P33" s="7">
        <v>0.8</v>
      </c>
      <c r="Q33" s="7">
        <v>0.8</v>
      </c>
      <c r="R33" s="7">
        <v>0.8</v>
      </c>
      <c r="S33" s="7">
        <v>0.8</v>
      </c>
      <c r="T33" s="7">
        <v>0.8</v>
      </c>
      <c r="U33" s="7">
        <v>0.8</v>
      </c>
      <c r="V33" s="9">
        <f t="shared" si="1"/>
        <v>9.6</v>
      </c>
      <c r="W33" s="1"/>
      <c r="X33" s="1"/>
      <c r="Y33" s="1"/>
      <c r="Z33" s="1"/>
    </row>
    <row r="34">
      <c r="A34" s="7" t="s">
        <v>10</v>
      </c>
      <c r="B34" s="7" t="s">
        <v>18</v>
      </c>
      <c r="C34" s="7" t="s">
        <v>66</v>
      </c>
      <c r="D34" s="7" t="s">
        <v>67</v>
      </c>
      <c r="E34" s="7" t="s">
        <v>14</v>
      </c>
      <c r="F34" s="7" t="s">
        <v>74</v>
      </c>
      <c r="G34" s="7" t="s">
        <v>16</v>
      </c>
      <c r="H34" s="11" t="s">
        <v>95</v>
      </c>
      <c r="I34" s="11" t="s">
        <v>96</v>
      </c>
      <c r="J34" s="7">
        <v>0.2</v>
      </c>
      <c r="K34" s="7">
        <v>0.2</v>
      </c>
      <c r="L34" s="7">
        <v>0.2</v>
      </c>
      <c r="M34" s="7">
        <v>0.2</v>
      </c>
      <c r="N34" s="7">
        <v>0.2</v>
      </c>
      <c r="O34" s="7">
        <v>0.2</v>
      </c>
      <c r="P34" s="7">
        <v>0.2</v>
      </c>
      <c r="Q34" s="7">
        <v>0.2</v>
      </c>
      <c r="R34" s="7">
        <v>0.2</v>
      </c>
      <c r="S34" s="7">
        <v>0.2</v>
      </c>
      <c r="T34" s="7">
        <v>0.2</v>
      </c>
      <c r="U34" s="7">
        <v>0.2</v>
      </c>
      <c r="V34" s="9">
        <f t="shared" si="1"/>
        <v>2.4</v>
      </c>
      <c r="W34" s="1"/>
      <c r="X34" s="1"/>
      <c r="Y34" s="1"/>
      <c r="Z34" s="1"/>
    </row>
    <row r="35">
      <c r="A35" s="7" t="s">
        <v>10</v>
      </c>
      <c r="B35" s="7" t="s">
        <v>11</v>
      </c>
      <c r="C35" s="7" t="s">
        <v>66</v>
      </c>
      <c r="D35" s="7" t="s">
        <v>67</v>
      </c>
      <c r="E35" s="7" t="s">
        <v>14</v>
      </c>
      <c r="F35" s="7" t="s">
        <v>74</v>
      </c>
      <c r="G35" s="7" t="s">
        <v>16</v>
      </c>
      <c r="H35" s="11" t="s">
        <v>97</v>
      </c>
      <c r="I35" s="11" t="s">
        <v>98</v>
      </c>
      <c r="J35" s="7" t="s">
        <v>14</v>
      </c>
      <c r="K35" s="7" t="s">
        <v>14</v>
      </c>
      <c r="L35" s="7" t="s">
        <v>14</v>
      </c>
      <c r="M35" s="7">
        <v>0.8</v>
      </c>
      <c r="N35" s="7">
        <v>0.8</v>
      </c>
      <c r="O35" s="7">
        <v>0.8</v>
      </c>
      <c r="P35" s="7">
        <v>0.8</v>
      </c>
      <c r="Q35" s="7">
        <v>0.8</v>
      </c>
      <c r="R35" s="7">
        <v>0.8</v>
      </c>
      <c r="S35" s="7">
        <v>0.8</v>
      </c>
      <c r="T35" s="7">
        <v>0.8</v>
      </c>
      <c r="U35" s="7">
        <v>0.8</v>
      </c>
      <c r="V35" s="9">
        <f t="shared" si="1"/>
        <v>7.2</v>
      </c>
      <c r="W35" s="1"/>
      <c r="X35" s="1"/>
      <c r="Y35" s="1"/>
      <c r="Z35" s="1"/>
    </row>
    <row r="36">
      <c r="A36" s="7" t="s">
        <v>10</v>
      </c>
      <c r="B36" s="7" t="s">
        <v>18</v>
      </c>
      <c r="C36" s="7" t="s">
        <v>66</v>
      </c>
      <c r="D36" s="7" t="s">
        <v>67</v>
      </c>
      <c r="E36" s="7" t="s">
        <v>14</v>
      </c>
      <c r="F36" s="7" t="s">
        <v>74</v>
      </c>
      <c r="G36" s="7" t="s">
        <v>16</v>
      </c>
      <c r="H36" s="11" t="s">
        <v>97</v>
      </c>
      <c r="I36" s="11" t="s">
        <v>98</v>
      </c>
      <c r="J36" s="7" t="s">
        <v>14</v>
      </c>
      <c r="K36" s="7" t="s">
        <v>14</v>
      </c>
      <c r="L36" s="7" t="s">
        <v>14</v>
      </c>
      <c r="M36" s="7">
        <v>0.2</v>
      </c>
      <c r="N36" s="7">
        <v>0.2</v>
      </c>
      <c r="O36" s="7">
        <v>0.2</v>
      </c>
      <c r="P36" s="7">
        <v>0.2</v>
      </c>
      <c r="Q36" s="7">
        <v>0.2</v>
      </c>
      <c r="R36" s="7">
        <v>0.2</v>
      </c>
      <c r="S36" s="7">
        <v>0.2</v>
      </c>
      <c r="T36" s="7">
        <v>0.2</v>
      </c>
      <c r="U36" s="7">
        <v>0.2</v>
      </c>
      <c r="V36" s="9">
        <f t="shared" si="1"/>
        <v>1.8</v>
      </c>
      <c r="W36" s="1"/>
      <c r="X36" s="1"/>
      <c r="Y36" s="1"/>
      <c r="Z36" s="1"/>
    </row>
    <row r="37">
      <c r="A37" s="7"/>
      <c r="B37" s="7"/>
      <c r="C37" s="7"/>
      <c r="D37" s="7"/>
      <c r="E37" s="7"/>
      <c r="F37" s="7"/>
      <c r="G37" s="7"/>
      <c r="H37" s="11"/>
      <c r="I37" s="1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9">
        <f t="shared" si="1"/>
        <v>0</v>
      </c>
      <c r="W37" s="1"/>
      <c r="X37" s="1"/>
      <c r="Y37" s="1"/>
      <c r="Z37" s="1"/>
    </row>
    <row r="38">
      <c r="A38" s="7"/>
      <c r="B38" s="7"/>
      <c r="C38" s="7"/>
      <c r="D38" s="7"/>
      <c r="E38" s="7"/>
      <c r="F38" s="7"/>
      <c r="G38" s="7"/>
      <c r="H38" s="11"/>
      <c r="I38" s="1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9">
        <f t="shared" si="1"/>
        <v>0</v>
      </c>
      <c r="W38" s="1"/>
      <c r="X38" s="1"/>
      <c r="Y38" s="1"/>
      <c r="Z38" s="1"/>
    </row>
    <row r="39">
      <c r="A39" s="7"/>
      <c r="B39" s="7"/>
      <c r="C39" s="7"/>
      <c r="D39" s="7"/>
      <c r="E39" s="7"/>
      <c r="F39" s="7"/>
      <c r="G39" s="7"/>
      <c r="H39" s="10"/>
      <c r="I39" s="1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9">
        <f t="shared" si="1"/>
        <v>0</v>
      </c>
      <c r="W39" s="1"/>
      <c r="X39" s="1"/>
      <c r="Y39" s="1"/>
      <c r="Z39" s="1"/>
    </row>
    <row r="40">
      <c r="A40" s="4"/>
      <c r="B40" s="4"/>
      <c r="C40" s="4"/>
      <c r="D40" s="4"/>
      <c r="E40" s="2"/>
      <c r="F40" s="2"/>
      <c r="G40" s="4"/>
      <c r="H40" s="4"/>
      <c r="I40" s="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  <c r="W40" s="1"/>
      <c r="X40" s="1"/>
      <c r="Y40" s="1"/>
      <c r="Z40" s="1"/>
    </row>
    <row r="41">
      <c r="A41" s="7"/>
      <c r="B41" s="7"/>
      <c r="C41" s="7"/>
      <c r="D41" s="7"/>
      <c r="E41" s="7"/>
      <c r="F41" s="7"/>
      <c r="G41" s="7"/>
      <c r="H41" s="10"/>
      <c r="I41" s="1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9">
        <f t="shared" ref="V41:V1000" si="2">SUM(B41:U41)</f>
        <v>0</v>
      </c>
      <c r="W41" s="1"/>
      <c r="X41" s="1"/>
      <c r="Y41" s="1"/>
      <c r="Z41" s="1"/>
    </row>
    <row r="42">
      <c r="A42" s="7"/>
      <c r="B42" s="7"/>
      <c r="C42" s="7"/>
      <c r="D42" s="7"/>
      <c r="E42" s="7"/>
      <c r="F42" s="7"/>
      <c r="G42" s="7"/>
      <c r="H42" s="10"/>
      <c r="I42" s="1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9">
        <f t="shared" si="2"/>
        <v>0</v>
      </c>
      <c r="W42" s="1"/>
      <c r="X42" s="1"/>
      <c r="Y42" s="1"/>
      <c r="Z42" s="1"/>
    </row>
    <row r="43">
      <c r="A43" s="7"/>
      <c r="B43" s="7"/>
      <c r="C43" s="7"/>
      <c r="D43" s="7"/>
      <c r="E43" s="7"/>
      <c r="F43" s="7"/>
      <c r="G43" s="7"/>
      <c r="H43" s="10"/>
      <c r="I43" s="1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9">
        <f t="shared" si="2"/>
        <v>0</v>
      </c>
      <c r="W43" s="1"/>
      <c r="X43" s="1"/>
      <c r="Y43" s="1"/>
      <c r="Z43" s="1"/>
    </row>
    <row r="44">
      <c r="A44" s="7"/>
      <c r="B44" s="7"/>
      <c r="C44" s="7"/>
      <c r="D44" s="7"/>
      <c r="E44" s="7"/>
      <c r="F44" s="7"/>
      <c r="G44" s="7"/>
      <c r="H44" s="10"/>
      <c r="I44" s="1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9">
        <f t="shared" si="2"/>
        <v>0</v>
      </c>
      <c r="W44" s="1"/>
      <c r="X44" s="1"/>
      <c r="Y44" s="1"/>
      <c r="Z44" s="1"/>
    </row>
    <row r="45">
      <c r="A45" s="7"/>
      <c r="B45" s="7"/>
      <c r="C45" s="7"/>
      <c r="D45" s="7"/>
      <c r="E45" s="7"/>
      <c r="F45" s="7"/>
      <c r="G45" s="7"/>
      <c r="H45" s="10"/>
      <c r="I45" s="1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9">
        <f t="shared" si="2"/>
        <v>0</v>
      </c>
      <c r="W45" s="1"/>
      <c r="X45" s="1"/>
      <c r="Y45" s="1"/>
      <c r="Z45" s="1"/>
    </row>
    <row r="46">
      <c r="A46" s="7"/>
      <c r="B46" s="7"/>
      <c r="C46" s="7"/>
      <c r="D46" s="7"/>
      <c r="E46" s="7"/>
      <c r="F46" s="7"/>
      <c r="G46" s="7"/>
      <c r="H46" s="8"/>
      <c r="I46" s="1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9">
        <f t="shared" si="2"/>
        <v>0</v>
      </c>
      <c r="W46" s="1"/>
      <c r="X46" s="1"/>
      <c r="Y46" s="1"/>
      <c r="Z46" s="1"/>
    </row>
    <row r="47">
      <c r="A47" s="7"/>
      <c r="B47" s="7"/>
      <c r="C47" s="7"/>
      <c r="D47" s="7"/>
      <c r="E47" s="7"/>
      <c r="F47" s="7"/>
      <c r="G47" s="7"/>
      <c r="H47" s="10"/>
      <c r="I47" s="1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>
        <f t="shared" si="2"/>
        <v>0</v>
      </c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9">
        <f t="shared" si="2"/>
        <v>0</v>
      </c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9">
        <f t="shared" si="2"/>
        <v>0</v>
      </c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9">
        <f t="shared" si="2"/>
        <v>0</v>
      </c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>
        <f t="shared" si="2"/>
        <v>0</v>
      </c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>
        <f t="shared" si="2"/>
        <v>0</v>
      </c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>
        <f t="shared" si="2"/>
        <v>0</v>
      </c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9">
        <f t="shared" si="2"/>
        <v>0</v>
      </c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>
        <f t="shared" si="2"/>
        <v>0</v>
      </c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">
        <f t="shared" si="2"/>
        <v>0</v>
      </c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9">
        <f t="shared" si="2"/>
        <v>0</v>
      </c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9">
        <f t="shared" si="2"/>
        <v>0</v>
      </c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>
        <f t="shared" si="2"/>
        <v>0</v>
      </c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9">
        <f t="shared" si="2"/>
        <v>0</v>
      </c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9">
        <f t="shared" si="2"/>
        <v>0</v>
      </c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>
        <f t="shared" si="2"/>
        <v>0</v>
      </c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>
        <f t="shared" si="2"/>
        <v>0</v>
      </c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">
        <f t="shared" si="2"/>
        <v>0</v>
      </c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9">
        <f t="shared" si="2"/>
        <v>0</v>
      </c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9">
        <f t="shared" si="2"/>
        <v>0</v>
      </c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9">
        <f t="shared" si="2"/>
        <v>0</v>
      </c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9">
        <f t="shared" si="2"/>
        <v>0</v>
      </c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9">
        <f t="shared" si="2"/>
        <v>0</v>
      </c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9">
        <f t="shared" si="2"/>
        <v>0</v>
      </c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>
        <f t="shared" si="2"/>
        <v>0</v>
      </c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>
        <f t="shared" si="2"/>
        <v>0</v>
      </c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9">
        <f t="shared" si="2"/>
        <v>0</v>
      </c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9">
        <f t="shared" si="2"/>
        <v>0</v>
      </c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9">
        <f t="shared" si="2"/>
        <v>0</v>
      </c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9">
        <f t="shared" si="2"/>
        <v>0</v>
      </c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9">
        <f t="shared" si="2"/>
        <v>0</v>
      </c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9">
        <f t="shared" si="2"/>
        <v>0</v>
      </c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9">
        <f t="shared" si="2"/>
        <v>0</v>
      </c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9">
        <f t="shared" si="2"/>
        <v>0</v>
      </c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9">
        <f t="shared" si="2"/>
        <v>0</v>
      </c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9">
        <f t="shared" si="2"/>
        <v>0</v>
      </c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9">
        <f t="shared" si="2"/>
        <v>0</v>
      </c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9">
        <f t="shared" si="2"/>
        <v>0</v>
      </c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9">
        <f t="shared" si="2"/>
        <v>0</v>
      </c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9">
        <f t="shared" si="2"/>
        <v>0</v>
      </c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9">
        <f t="shared" si="2"/>
        <v>0</v>
      </c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9">
        <f t="shared" si="2"/>
        <v>0</v>
      </c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9">
        <f t="shared" si="2"/>
        <v>0</v>
      </c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9">
        <f t="shared" si="2"/>
        <v>0</v>
      </c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9">
        <f t="shared" si="2"/>
        <v>0</v>
      </c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9">
        <f t="shared" si="2"/>
        <v>0</v>
      </c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9">
        <f t="shared" si="2"/>
        <v>0</v>
      </c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9">
        <f t="shared" si="2"/>
        <v>0</v>
      </c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9">
        <f t="shared" si="2"/>
        <v>0</v>
      </c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9">
        <f t="shared" si="2"/>
        <v>0</v>
      </c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9">
        <f t="shared" si="2"/>
        <v>0</v>
      </c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9">
        <f t="shared" si="2"/>
        <v>0</v>
      </c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9">
        <f t="shared" si="2"/>
        <v>0</v>
      </c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9">
        <f t="shared" si="2"/>
        <v>0</v>
      </c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9">
        <f t="shared" si="2"/>
        <v>0</v>
      </c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9">
        <f t="shared" si="2"/>
        <v>0</v>
      </c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9">
        <f t="shared" si="2"/>
        <v>0</v>
      </c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9">
        <f t="shared" si="2"/>
        <v>0</v>
      </c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9">
        <f t="shared" si="2"/>
        <v>0</v>
      </c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9">
        <f t="shared" si="2"/>
        <v>0</v>
      </c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9">
        <f t="shared" si="2"/>
        <v>0</v>
      </c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9">
        <f t="shared" si="2"/>
        <v>0</v>
      </c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9">
        <f t="shared" si="2"/>
        <v>0</v>
      </c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9">
        <f t="shared" si="2"/>
        <v>0</v>
      </c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9">
        <f t="shared" si="2"/>
        <v>0</v>
      </c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9">
        <f t="shared" si="2"/>
        <v>0</v>
      </c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9">
        <f t="shared" si="2"/>
        <v>0</v>
      </c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9">
        <f t="shared" si="2"/>
        <v>0</v>
      </c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9">
        <f t="shared" si="2"/>
        <v>0</v>
      </c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9">
        <f t="shared" si="2"/>
        <v>0</v>
      </c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9">
        <f t="shared" si="2"/>
        <v>0</v>
      </c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9">
        <f t="shared" si="2"/>
        <v>0</v>
      </c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9">
        <f t="shared" si="2"/>
        <v>0</v>
      </c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9">
        <f t="shared" si="2"/>
        <v>0</v>
      </c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9">
        <f t="shared" si="2"/>
        <v>0</v>
      </c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9">
        <f t="shared" si="2"/>
        <v>0</v>
      </c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9">
        <f t="shared" si="2"/>
        <v>0</v>
      </c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9">
        <f t="shared" si="2"/>
        <v>0</v>
      </c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9">
        <f t="shared" si="2"/>
        <v>0</v>
      </c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9">
        <f t="shared" si="2"/>
        <v>0</v>
      </c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9">
        <f t="shared" si="2"/>
        <v>0</v>
      </c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9">
        <f t="shared" si="2"/>
        <v>0</v>
      </c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9">
        <f t="shared" si="2"/>
        <v>0</v>
      </c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9">
        <f t="shared" si="2"/>
        <v>0</v>
      </c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9">
        <f t="shared" si="2"/>
        <v>0</v>
      </c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9">
        <f t="shared" si="2"/>
        <v>0</v>
      </c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9">
        <f t="shared" si="2"/>
        <v>0</v>
      </c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9">
        <f t="shared" si="2"/>
        <v>0</v>
      </c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9">
        <f t="shared" si="2"/>
        <v>0</v>
      </c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9">
        <f t="shared" si="2"/>
        <v>0</v>
      </c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9">
        <f t="shared" si="2"/>
        <v>0</v>
      </c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9">
        <f t="shared" si="2"/>
        <v>0</v>
      </c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9">
        <f t="shared" si="2"/>
        <v>0</v>
      </c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9">
        <f t="shared" si="2"/>
        <v>0</v>
      </c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9">
        <f t="shared" si="2"/>
        <v>0</v>
      </c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9">
        <f t="shared" si="2"/>
        <v>0</v>
      </c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9">
        <f t="shared" si="2"/>
        <v>0</v>
      </c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9">
        <f t="shared" si="2"/>
        <v>0</v>
      </c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9">
        <f t="shared" si="2"/>
        <v>0</v>
      </c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9">
        <f t="shared" si="2"/>
        <v>0</v>
      </c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9">
        <f t="shared" si="2"/>
        <v>0</v>
      </c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9">
        <f t="shared" si="2"/>
        <v>0</v>
      </c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9">
        <f t="shared" si="2"/>
        <v>0</v>
      </c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9">
        <f t="shared" si="2"/>
        <v>0</v>
      </c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9">
        <f t="shared" si="2"/>
        <v>0</v>
      </c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9">
        <f t="shared" si="2"/>
        <v>0</v>
      </c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9">
        <f t="shared" si="2"/>
        <v>0</v>
      </c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9">
        <f t="shared" si="2"/>
        <v>0</v>
      </c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9">
        <f t="shared" si="2"/>
        <v>0</v>
      </c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9">
        <f t="shared" si="2"/>
        <v>0</v>
      </c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9">
        <f t="shared" si="2"/>
        <v>0</v>
      </c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9">
        <f t="shared" si="2"/>
        <v>0</v>
      </c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9">
        <f t="shared" si="2"/>
        <v>0</v>
      </c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9">
        <f t="shared" si="2"/>
        <v>0</v>
      </c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9">
        <f t="shared" si="2"/>
        <v>0</v>
      </c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9">
        <f t="shared" si="2"/>
        <v>0</v>
      </c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9">
        <f t="shared" si="2"/>
        <v>0</v>
      </c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9">
        <f t="shared" si="2"/>
        <v>0</v>
      </c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9">
        <f t="shared" si="2"/>
        <v>0</v>
      </c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9">
        <f t="shared" si="2"/>
        <v>0</v>
      </c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9">
        <f t="shared" si="2"/>
        <v>0</v>
      </c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9">
        <f t="shared" si="2"/>
        <v>0</v>
      </c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9">
        <f t="shared" si="2"/>
        <v>0</v>
      </c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9">
        <f t="shared" si="2"/>
        <v>0</v>
      </c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9">
        <f t="shared" si="2"/>
        <v>0</v>
      </c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9">
        <f t="shared" si="2"/>
        <v>0</v>
      </c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9">
        <f t="shared" si="2"/>
        <v>0</v>
      </c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9">
        <f t="shared" si="2"/>
        <v>0</v>
      </c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9">
        <f t="shared" si="2"/>
        <v>0</v>
      </c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9">
        <f t="shared" si="2"/>
        <v>0</v>
      </c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9">
        <f t="shared" si="2"/>
        <v>0</v>
      </c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9">
        <f t="shared" si="2"/>
        <v>0</v>
      </c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9">
        <f t="shared" si="2"/>
        <v>0</v>
      </c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9">
        <f t="shared" si="2"/>
        <v>0</v>
      </c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9">
        <f t="shared" si="2"/>
        <v>0</v>
      </c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9">
        <f t="shared" si="2"/>
        <v>0</v>
      </c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9">
        <f t="shared" si="2"/>
        <v>0</v>
      </c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9">
        <f t="shared" si="2"/>
        <v>0</v>
      </c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9">
        <f t="shared" si="2"/>
        <v>0</v>
      </c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9">
        <f t="shared" si="2"/>
        <v>0</v>
      </c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9">
        <f t="shared" si="2"/>
        <v>0</v>
      </c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9">
        <f t="shared" si="2"/>
        <v>0</v>
      </c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9">
        <f t="shared" si="2"/>
        <v>0</v>
      </c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9">
        <f t="shared" si="2"/>
        <v>0</v>
      </c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9">
        <f t="shared" si="2"/>
        <v>0</v>
      </c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9">
        <f t="shared" si="2"/>
        <v>0</v>
      </c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9">
        <f t="shared" si="2"/>
        <v>0</v>
      </c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9">
        <f t="shared" si="2"/>
        <v>0</v>
      </c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9">
        <f t="shared" si="2"/>
        <v>0</v>
      </c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9">
        <f t="shared" si="2"/>
        <v>0</v>
      </c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9">
        <f t="shared" si="2"/>
        <v>0</v>
      </c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9">
        <f t="shared" si="2"/>
        <v>0</v>
      </c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9">
        <f t="shared" si="2"/>
        <v>0</v>
      </c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9">
        <f t="shared" si="2"/>
        <v>0</v>
      </c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9">
        <f t="shared" si="2"/>
        <v>0</v>
      </c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9">
        <f t="shared" si="2"/>
        <v>0</v>
      </c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9">
        <f t="shared" si="2"/>
        <v>0</v>
      </c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9">
        <f t="shared" si="2"/>
        <v>0</v>
      </c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9">
        <f t="shared" si="2"/>
        <v>0</v>
      </c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9">
        <f t="shared" si="2"/>
        <v>0</v>
      </c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9">
        <f t="shared" si="2"/>
        <v>0</v>
      </c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9">
        <f t="shared" si="2"/>
        <v>0</v>
      </c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9">
        <f t="shared" si="2"/>
        <v>0</v>
      </c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9">
        <f t="shared" si="2"/>
        <v>0</v>
      </c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9">
        <f t="shared" si="2"/>
        <v>0</v>
      </c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9">
        <f t="shared" si="2"/>
        <v>0</v>
      </c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9">
        <f t="shared" si="2"/>
        <v>0</v>
      </c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9">
        <f t="shared" si="2"/>
        <v>0</v>
      </c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9">
        <f t="shared" si="2"/>
        <v>0</v>
      </c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9">
        <f t="shared" si="2"/>
        <v>0</v>
      </c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9">
        <f t="shared" si="2"/>
        <v>0</v>
      </c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9">
        <f t="shared" si="2"/>
        <v>0</v>
      </c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9">
        <f t="shared" si="2"/>
        <v>0</v>
      </c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9">
        <f t="shared" si="2"/>
        <v>0</v>
      </c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9">
        <f t="shared" si="2"/>
        <v>0</v>
      </c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9">
        <f t="shared" si="2"/>
        <v>0</v>
      </c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9">
        <f t="shared" si="2"/>
        <v>0</v>
      </c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9">
        <f t="shared" si="2"/>
        <v>0</v>
      </c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9">
        <f t="shared" si="2"/>
        <v>0</v>
      </c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9">
        <f t="shared" si="2"/>
        <v>0</v>
      </c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9">
        <f t="shared" si="2"/>
        <v>0</v>
      </c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9">
        <f t="shared" si="2"/>
        <v>0</v>
      </c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9">
        <f t="shared" si="2"/>
        <v>0</v>
      </c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9">
        <f t="shared" si="2"/>
        <v>0</v>
      </c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9">
        <f t="shared" si="2"/>
        <v>0</v>
      </c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9">
        <f t="shared" si="2"/>
        <v>0</v>
      </c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9">
        <f t="shared" si="2"/>
        <v>0</v>
      </c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9">
        <f t="shared" si="2"/>
        <v>0</v>
      </c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9">
        <f t="shared" si="2"/>
        <v>0</v>
      </c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9">
        <f t="shared" si="2"/>
        <v>0</v>
      </c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9">
        <f t="shared" si="2"/>
        <v>0</v>
      </c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9">
        <f t="shared" si="2"/>
        <v>0</v>
      </c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9">
        <f t="shared" si="2"/>
        <v>0</v>
      </c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9">
        <f t="shared" si="2"/>
        <v>0</v>
      </c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9">
        <f t="shared" si="2"/>
        <v>0</v>
      </c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9">
        <f t="shared" si="2"/>
        <v>0</v>
      </c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9">
        <f t="shared" si="2"/>
        <v>0</v>
      </c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9">
        <f t="shared" si="2"/>
        <v>0</v>
      </c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9">
        <f t="shared" si="2"/>
        <v>0</v>
      </c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9">
        <f t="shared" si="2"/>
        <v>0</v>
      </c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9">
        <f t="shared" si="2"/>
        <v>0</v>
      </c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9">
        <f t="shared" si="2"/>
        <v>0</v>
      </c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9">
        <f t="shared" si="2"/>
        <v>0</v>
      </c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9">
        <f t="shared" si="2"/>
        <v>0</v>
      </c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9">
        <f t="shared" si="2"/>
        <v>0</v>
      </c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9">
        <f t="shared" si="2"/>
        <v>0</v>
      </c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9">
        <f t="shared" si="2"/>
        <v>0</v>
      </c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9">
        <f t="shared" si="2"/>
        <v>0</v>
      </c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9">
        <f t="shared" si="2"/>
        <v>0</v>
      </c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9">
        <f t="shared" si="2"/>
        <v>0</v>
      </c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9">
        <f t="shared" si="2"/>
        <v>0</v>
      </c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9">
        <f t="shared" si="2"/>
        <v>0</v>
      </c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9">
        <f t="shared" si="2"/>
        <v>0</v>
      </c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9">
        <f t="shared" si="2"/>
        <v>0</v>
      </c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9">
        <f t="shared" si="2"/>
        <v>0</v>
      </c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9">
        <f t="shared" si="2"/>
        <v>0</v>
      </c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9">
        <f t="shared" si="2"/>
        <v>0</v>
      </c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9">
        <f t="shared" si="2"/>
        <v>0</v>
      </c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9">
        <f t="shared" si="2"/>
        <v>0</v>
      </c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9">
        <f t="shared" si="2"/>
        <v>0</v>
      </c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9">
        <f t="shared" si="2"/>
        <v>0</v>
      </c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9">
        <f t="shared" si="2"/>
        <v>0</v>
      </c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9">
        <f t="shared" si="2"/>
        <v>0</v>
      </c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9">
        <f t="shared" si="2"/>
        <v>0</v>
      </c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9">
        <f t="shared" si="2"/>
        <v>0</v>
      </c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9">
        <f t="shared" si="2"/>
        <v>0</v>
      </c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9">
        <f t="shared" si="2"/>
        <v>0</v>
      </c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9">
        <f t="shared" si="2"/>
        <v>0</v>
      </c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9">
        <f t="shared" si="2"/>
        <v>0</v>
      </c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9">
        <f t="shared" si="2"/>
        <v>0</v>
      </c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9">
        <f t="shared" si="2"/>
        <v>0</v>
      </c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9">
        <f t="shared" si="2"/>
        <v>0</v>
      </c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9">
        <f t="shared" si="2"/>
        <v>0</v>
      </c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9">
        <f t="shared" si="2"/>
        <v>0</v>
      </c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9">
        <f t="shared" si="2"/>
        <v>0</v>
      </c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9">
        <f t="shared" si="2"/>
        <v>0</v>
      </c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9">
        <f t="shared" si="2"/>
        <v>0</v>
      </c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9">
        <f t="shared" si="2"/>
        <v>0</v>
      </c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9">
        <f t="shared" si="2"/>
        <v>0</v>
      </c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9">
        <f t="shared" si="2"/>
        <v>0</v>
      </c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9">
        <f t="shared" si="2"/>
        <v>0</v>
      </c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9">
        <f t="shared" si="2"/>
        <v>0</v>
      </c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9">
        <f t="shared" si="2"/>
        <v>0</v>
      </c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9">
        <f t="shared" si="2"/>
        <v>0</v>
      </c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9">
        <f t="shared" si="2"/>
        <v>0</v>
      </c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9">
        <f t="shared" si="2"/>
        <v>0</v>
      </c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9">
        <f t="shared" si="2"/>
        <v>0</v>
      </c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9">
        <f t="shared" si="2"/>
        <v>0</v>
      </c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9">
        <f t="shared" si="2"/>
        <v>0</v>
      </c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9">
        <f t="shared" si="2"/>
        <v>0</v>
      </c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9">
        <f t="shared" si="2"/>
        <v>0</v>
      </c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9">
        <f t="shared" si="2"/>
        <v>0</v>
      </c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9">
        <f t="shared" si="2"/>
        <v>0</v>
      </c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9">
        <f t="shared" si="2"/>
        <v>0</v>
      </c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9">
        <f t="shared" si="2"/>
        <v>0</v>
      </c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9">
        <f t="shared" si="2"/>
        <v>0</v>
      </c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9">
        <f t="shared" si="2"/>
        <v>0</v>
      </c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9">
        <f t="shared" si="2"/>
        <v>0</v>
      </c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9">
        <f t="shared" si="2"/>
        <v>0</v>
      </c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9">
        <f t="shared" si="2"/>
        <v>0</v>
      </c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9">
        <f t="shared" si="2"/>
        <v>0</v>
      </c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9">
        <f t="shared" si="2"/>
        <v>0</v>
      </c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9">
        <f t="shared" si="2"/>
        <v>0</v>
      </c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9">
        <f t="shared" si="2"/>
        <v>0</v>
      </c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9">
        <f t="shared" si="2"/>
        <v>0</v>
      </c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9">
        <f t="shared" si="2"/>
        <v>0</v>
      </c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9">
        <f t="shared" si="2"/>
        <v>0</v>
      </c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9">
        <f t="shared" si="2"/>
        <v>0</v>
      </c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9">
        <f t="shared" si="2"/>
        <v>0</v>
      </c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9">
        <f t="shared" si="2"/>
        <v>0</v>
      </c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9">
        <f t="shared" si="2"/>
        <v>0</v>
      </c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9">
        <f t="shared" si="2"/>
        <v>0</v>
      </c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9">
        <f t="shared" si="2"/>
        <v>0</v>
      </c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9">
        <f t="shared" si="2"/>
        <v>0</v>
      </c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9">
        <f t="shared" si="2"/>
        <v>0</v>
      </c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9">
        <f t="shared" si="2"/>
        <v>0</v>
      </c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9">
        <f t="shared" si="2"/>
        <v>0</v>
      </c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9">
        <f t="shared" si="2"/>
        <v>0</v>
      </c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9">
        <f t="shared" si="2"/>
        <v>0</v>
      </c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9">
        <f t="shared" si="2"/>
        <v>0</v>
      </c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9">
        <f t="shared" si="2"/>
        <v>0</v>
      </c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9">
        <f t="shared" si="2"/>
        <v>0</v>
      </c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9">
        <f t="shared" si="2"/>
        <v>0</v>
      </c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9">
        <f t="shared" si="2"/>
        <v>0</v>
      </c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9">
        <f t="shared" si="2"/>
        <v>0</v>
      </c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9">
        <f t="shared" si="2"/>
        <v>0</v>
      </c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9">
        <f t="shared" si="2"/>
        <v>0</v>
      </c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9">
        <f t="shared" si="2"/>
        <v>0</v>
      </c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9">
        <f t="shared" si="2"/>
        <v>0</v>
      </c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9">
        <f t="shared" si="2"/>
        <v>0</v>
      </c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9">
        <f t="shared" si="2"/>
        <v>0</v>
      </c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9">
        <f t="shared" si="2"/>
        <v>0</v>
      </c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9">
        <f t="shared" si="2"/>
        <v>0</v>
      </c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9">
        <f t="shared" si="2"/>
        <v>0</v>
      </c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9">
        <f t="shared" si="2"/>
        <v>0</v>
      </c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9">
        <f t="shared" si="2"/>
        <v>0</v>
      </c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9">
        <f t="shared" si="2"/>
        <v>0</v>
      </c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9">
        <f t="shared" si="2"/>
        <v>0</v>
      </c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9">
        <f t="shared" si="2"/>
        <v>0</v>
      </c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9">
        <f t="shared" si="2"/>
        <v>0</v>
      </c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9">
        <f t="shared" si="2"/>
        <v>0</v>
      </c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9">
        <f t="shared" si="2"/>
        <v>0</v>
      </c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9">
        <f t="shared" si="2"/>
        <v>0</v>
      </c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9">
        <f t="shared" si="2"/>
        <v>0</v>
      </c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9">
        <f t="shared" si="2"/>
        <v>0</v>
      </c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9">
        <f t="shared" si="2"/>
        <v>0</v>
      </c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9">
        <f t="shared" si="2"/>
        <v>0</v>
      </c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9">
        <f t="shared" si="2"/>
        <v>0</v>
      </c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9">
        <f t="shared" si="2"/>
        <v>0</v>
      </c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9">
        <f t="shared" si="2"/>
        <v>0</v>
      </c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9">
        <f t="shared" si="2"/>
        <v>0</v>
      </c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9">
        <f t="shared" si="2"/>
        <v>0</v>
      </c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9">
        <f t="shared" si="2"/>
        <v>0</v>
      </c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9">
        <f t="shared" si="2"/>
        <v>0</v>
      </c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9">
        <f t="shared" si="2"/>
        <v>0</v>
      </c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9">
        <f t="shared" si="2"/>
        <v>0</v>
      </c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9">
        <f t="shared" si="2"/>
        <v>0</v>
      </c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9">
        <f t="shared" si="2"/>
        <v>0</v>
      </c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9">
        <f t="shared" si="2"/>
        <v>0</v>
      </c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9">
        <f t="shared" si="2"/>
        <v>0</v>
      </c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9">
        <f t="shared" si="2"/>
        <v>0</v>
      </c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9">
        <f t="shared" si="2"/>
        <v>0</v>
      </c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9">
        <f t="shared" si="2"/>
        <v>0</v>
      </c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9">
        <f t="shared" si="2"/>
        <v>0</v>
      </c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9">
        <f t="shared" si="2"/>
        <v>0</v>
      </c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9">
        <f t="shared" si="2"/>
        <v>0</v>
      </c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9">
        <f t="shared" si="2"/>
        <v>0</v>
      </c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9">
        <f t="shared" si="2"/>
        <v>0</v>
      </c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9">
        <f t="shared" si="2"/>
        <v>0</v>
      </c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9">
        <f t="shared" si="2"/>
        <v>0</v>
      </c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9">
        <f t="shared" si="2"/>
        <v>0</v>
      </c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9">
        <f t="shared" si="2"/>
        <v>0</v>
      </c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9">
        <f t="shared" si="2"/>
        <v>0</v>
      </c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9">
        <f t="shared" si="2"/>
        <v>0</v>
      </c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9">
        <f t="shared" si="2"/>
        <v>0</v>
      </c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9">
        <f t="shared" si="2"/>
        <v>0</v>
      </c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9">
        <f t="shared" si="2"/>
        <v>0</v>
      </c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9">
        <f t="shared" si="2"/>
        <v>0</v>
      </c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9">
        <f t="shared" si="2"/>
        <v>0</v>
      </c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9">
        <f t="shared" si="2"/>
        <v>0</v>
      </c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9">
        <f t="shared" si="2"/>
        <v>0</v>
      </c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9">
        <f t="shared" si="2"/>
        <v>0</v>
      </c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9">
        <f t="shared" si="2"/>
        <v>0</v>
      </c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9">
        <f t="shared" si="2"/>
        <v>0</v>
      </c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9">
        <f t="shared" si="2"/>
        <v>0</v>
      </c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9">
        <f t="shared" si="2"/>
        <v>0</v>
      </c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9">
        <f t="shared" si="2"/>
        <v>0</v>
      </c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9">
        <f t="shared" si="2"/>
        <v>0</v>
      </c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9">
        <f t="shared" si="2"/>
        <v>0</v>
      </c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9">
        <f t="shared" si="2"/>
        <v>0</v>
      </c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9">
        <f t="shared" si="2"/>
        <v>0</v>
      </c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9">
        <f t="shared" si="2"/>
        <v>0</v>
      </c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9">
        <f t="shared" si="2"/>
        <v>0</v>
      </c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9">
        <f t="shared" si="2"/>
        <v>0</v>
      </c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9">
        <f t="shared" si="2"/>
        <v>0</v>
      </c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9">
        <f t="shared" si="2"/>
        <v>0</v>
      </c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9">
        <f t="shared" si="2"/>
        <v>0</v>
      </c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9">
        <f t="shared" si="2"/>
        <v>0</v>
      </c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9">
        <f t="shared" si="2"/>
        <v>0</v>
      </c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9">
        <f t="shared" si="2"/>
        <v>0</v>
      </c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9">
        <f t="shared" si="2"/>
        <v>0</v>
      </c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9">
        <f t="shared" si="2"/>
        <v>0</v>
      </c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9">
        <f t="shared" si="2"/>
        <v>0</v>
      </c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9">
        <f t="shared" si="2"/>
        <v>0</v>
      </c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9">
        <f t="shared" si="2"/>
        <v>0</v>
      </c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9">
        <f t="shared" si="2"/>
        <v>0</v>
      </c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9">
        <f t="shared" si="2"/>
        <v>0</v>
      </c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9">
        <f t="shared" si="2"/>
        <v>0</v>
      </c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9">
        <f t="shared" si="2"/>
        <v>0</v>
      </c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9">
        <f t="shared" si="2"/>
        <v>0</v>
      </c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9">
        <f t="shared" si="2"/>
        <v>0</v>
      </c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9">
        <f t="shared" si="2"/>
        <v>0</v>
      </c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9">
        <f t="shared" si="2"/>
        <v>0</v>
      </c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9">
        <f t="shared" si="2"/>
        <v>0</v>
      </c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9">
        <f t="shared" si="2"/>
        <v>0</v>
      </c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9">
        <f t="shared" si="2"/>
        <v>0</v>
      </c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9">
        <f t="shared" si="2"/>
        <v>0</v>
      </c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9">
        <f t="shared" si="2"/>
        <v>0</v>
      </c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9">
        <f t="shared" si="2"/>
        <v>0</v>
      </c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9">
        <f t="shared" si="2"/>
        <v>0</v>
      </c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9">
        <f t="shared" si="2"/>
        <v>0</v>
      </c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9">
        <f t="shared" si="2"/>
        <v>0</v>
      </c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9">
        <f t="shared" si="2"/>
        <v>0</v>
      </c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9">
        <f t="shared" si="2"/>
        <v>0</v>
      </c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9">
        <f t="shared" si="2"/>
        <v>0</v>
      </c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9">
        <f t="shared" si="2"/>
        <v>0</v>
      </c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9">
        <f t="shared" si="2"/>
        <v>0</v>
      </c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9">
        <f t="shared" si="2"/>
        <v>0</v>
      </c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9">
        <f t="shared" si="2"/>
        <v>0</v>
      </c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9">
        <f t="shared" si="2"/>
        <v>0</v>
      </c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9">
        <f t="shared" si="2"/>
        <v>0</v>
      </c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9">
        <f t="shared" si="2"/>
        <v>0</v>
      </c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9">
        <f t="shared" si="2"/>
        <v>0</v>
      </c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9">
        <f t="shared" si="2"/>
        <v>0</v>
      </c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9">
        <f t="shared" si="2"/>
        <v>0</v>
      </c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9">
        <f t="shared" si="2"/>
        <v>0</v>
      </c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9">
        <f t="shared" si="2"/>
        <v>0</v>
      </c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9">
        <f t="shared" si="2"/>
        <v>0</v>
      </c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9">
        <f t="shared" si="2"/>
        <v>0</v>
      </c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9">
        <f t="shared" si="2"/>
        <v>0</v>
      </c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9">
        <f t="shared" si="2"/>
        <v>0</v>
      </c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9">
        <f t="shared" si="2"/>
        <v>0</v>
      </c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9">
        <f t="shared" si="2"/>
        <v>0</v>
      </c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9">
        <f t="shared" si="2"/>
        <v>0</v>
      </c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9">
        <f t="shared" si="2"/>
        <v>0</v>
      </c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9">
        <f t="shared" si="2"/>
        <v>0</v>
      </c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9">
        <f t="shared" si="2"/>
        <v>0</v>
      </c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9">
        <f t="shared" si="2"/>
        <v>0</v>
      </c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9">
        <f t="shared" si="2"/>
        <v>0</v>
      </c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9">
        <f t="shared" si="2"/>
        <v>0</v>
      </c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9">
        <f t="shared" si="2"/>
        <v>0</v>
      </c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9">
        <f t="shared" si="2"/>
        <v>0</v>
      </c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9">
        <f t="shared" si="2"/>
        <v>0</v>
      </c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9">
        <f t="shared" si="2"/>
        <v>0</v>
      </c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9">
        <f t="shared" si="2"/>
        <v>0</v>
      </c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9">
        <f t="shared" si="2"/>
        <v>0</v>
      </c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9">
        <f t="shared" si="2"/>
        <v>0</v>
      </c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9">
        <f t="shared" si="2"/>
        <v>0</v>
      </c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9">
        <f t="shared" si="2"/>
        <v>0</v>
      </c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9">
        <f t="shared" si="2"/>
        <v>0</v>
      </c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9">
        <f t="shared" si="2"/>
        <v>0</v>
      </c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9">
        <f t="shared" si="2"/>
        <v>0</v>
      </c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9">
        <f t="shared" si="2"/>
        <v>0</v>
      </c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9">
        <f t="shared" si="2"/>
        <v>0</v>
      </c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9">
        <f t="shared" si="2"/>
        <v>0</v>
      </c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9">
        <f t="shared" si="2"/>
        <v>0</v>
      </c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9">
        <f t="shared" si="2"/>
        <v>0</v>
      </c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9">
        <f t="shared" si="2"/>
        <v>0</v>
      </c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9">
        <f t="shared" si="2"/>
        <v>0</v>
      </c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9">
        <f t="shared" si="2"/>
        <v>0</v>
      </c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9">
        <f t="shared" si="2"/>
        <v>0</v>
      </c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9">
        <f t="shared" si="2"/>
        <v>0</v>
      </c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9">
        <f t="shared" si="2"/>
        <v>0</v>
      </c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9">
        <f t="shared" si="2"/>
        <v>0</v>
      </c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9">
        <f t="shared" si="2"/>
        <v>0</v>
      </c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9">
        <f t="shared" si="2"/>
        <v>0</v>
      </c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9">
        <f t="shared" si="2"/>
        <v>0</v>
      </c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9">
        <f t="shared" si="2"/>
        <v>0</v>
      </c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9">
        <f t="shared" si="2"/>
        <v>0</v>
      </c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9">
        <f t="shared" si="2"/>
        <v>0</v>
      </c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9">
        <f t="shared" si="2"/>
        <v>0</v>
      </c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9">
        <f t="shared" si="2"/>
        <v>0</v>
      </c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9">
        <f t="shared" si="2"/>
        <v>0</v>
      </c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9">
        <f t="shared" si="2"/>
        <v>0</v>
      </c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9">
        <f t="shared" si="2"/>
        <v>0</v>
      </c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9">
        <f t="shared" si="2"/>
        <v>0</v>
      </c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9">
        <f t="shared" si="2"/>
        <v>0</v>
      </c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9">
        <f t="shared" si="2"/>
        <v>0</v>
      </c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9">
        <f t="shared" si="2"/>
        <v>0</v>
      </c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9">
        <f t="shared" si="2"/>
        <v>0</v>
      </c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9">
        <f t="shared" si="2"/>
        <v>0</v>
      </c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9">
        <f t="shared" si="2"/>
        <v>0</v>
      </c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9">
        <f t="shared" si="2"/>
        <v>0</v>
      </c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9">
        <f t="shared" si="2"/>
        <v>0</v>
      </c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9">
        <f t="shared" si="2"/>
        <v>0</v>
      </c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9">
        <f t="shared" si="2"/>
        <v>0</v>
      </c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9">
        <f t="shared" si="2"/>
        <v>0</v>
      </c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9">
        <f t="shared" si="2"/>
        <v>0</v>
      </c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9">
        <f t="shared" si="2"/>
        <v>0</v>
      </c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9">
        <f t="shared" si="2"/>
        <v>0</v>
      </c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9">
        <f t="shared" si="2"/>
        <v>0</v>
      </c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9">
        <f t="shared" si="2"/>
        <v>0</v>
      </c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9">
        <f t="shared" si="2"/>
        <v>0</v>
      </c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9">
        <f t="shared" si="2"/>
        <v>0</v>
      </c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9">
        <f t="shared" si="2"/>
        <v>0</v>
      </c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9">
        <f t="shared" si="2"/>
        <v>0</v>
      </c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9">
        <f t="shared" si="2"/>
        <v>0</v>
      </c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9">
        <f t="shared" si="2"/>
        <v>0</v>
      </c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9">
        <f t="shared" si="2"/>
        <v>0</v>
      </c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9">
        <f t="shared" si="2"/>
        <v>0</v>
      </c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9">
        <f t="shared" si="2"/>
        <v>0</v>
      </c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9">
        <f t="shared" si="2"/>
        <v>0</v>
      </c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9">
        <f t="shared" si="2"/>
        <v>0</v>
      </c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9">
        <f t="shared" si="2"/>
        <v>0</v>
      </c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9">
        <f t="shared" si="2"/>
        <v>0</v>
      </c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9">
        <f t="shared" si="2"/>
        <v>0</v>
      </c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9">
        <f t="shared" si="2"/>
        <v>0</v>
      </c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9">
        <f t="shared" si="2"/>
        <v>0</v>
      </c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9">
        <f t="shared" si="2"/>
        <v>0</v>
      </c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9">
        <f t="shared" si="2"/>
        <v>0</v>
      </c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9">
        <f t="shared" si="2"/>
        <v>0</v>
      </c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9">
        <f t="shared" si="2"/>
        <v>0</v>
      </c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9">
        <f t="shared" si="2"/>
        <v>0</v>
      </c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si="2"/>
        <v>0</v>
      </c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9">
        <f t="shared" si="2"/>
        <v>0</v>
      </c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9">
        <f t="shared" si="2"/>
        <v>0</v>
      </c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9">
        <f t="shared" si="2"/>
        <v>0</v>
      </c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9">
        <f t="shared" si="2"/>
        <v>0</v>
      </c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9">
        <f t="shared" si="2"/>
        <v>0</v>
      </c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9">
        <f t="shared" si="2"/>
        <v>0</v>
      </c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9">
        <f t="shared" si="2"/>
        <v>0</v>
      </c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9">
        <f t="shared" si="2"/>
        <v>0</v>
      </c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9">
        <f t="shared" si="2"/>
        <v>0</v>
      </c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9">
        <f t="shared" si="2"/>
        <v>0</v>
      </c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9">
        <f t="shared" si="2"/>
        <v>0</v>
      </c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9">
        <f t="shared" si="2"/>
        <v>0</v>
      </c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9">
        <f t="shared" si="2"/>
        <v>0</v>
      </c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9">
        <f t="shared" si="2"/>
        <v>0</v>
      </c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9">
        <f t="shared" si="2"/>
        <v>0</v>
      </c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9">
        <f t="shared" si="2"/>
        <v>0</v>
      </c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9">
        <f t="shared" si="2"/>
        <v>0</v>
      </c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9">
        <f t="shared" si="2"/>
        <v>0</v>
      </c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9">
        <f t="shared" si="2"/>
        <v>0</v>
      </c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9">
        <f t="shared" si="2"/>
        <v>0</v>
      </c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9">
        <f t="shared" si="2"/>
        <v>0</v>
      </c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9">
        <f t="shared" si="2"/>
        <v>0</v>
      </c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9">
        <f t="shared" si="2"/>
        <v>0</v>
      </c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9">
        <f t="shared" si="2"/>
        <v>0</v>
      </c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9">
        <f t="shared" si="2"/>
        <v>0</v>
      </c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9">
        <f t="shared" si="2"/>
        <v>0</v>
      </c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9">
        <f t="shared" si="2"/>
        <v>0</v>
      </c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9">
        <f t="shared" si="2"/>
        <v>0</v>
      </c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9">
        <f t="shared" si="2"/>
        <v>0</v>
      </c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9">
        <f t="shared" si="2"/>
        <v>0</v>
      </c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9">
        <f t="shared" si="2"/>
        <v>0</v>
      </c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9">
        <f t="shared" si="2"/>
        <v>0</v>
      </c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9">
        <f t="shared" si="2"/>
        <v>0</v>
      </c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9">
        <f t="shared" si="2"/>
        <v>0</v>
      </c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9">
        <f t="shared" si="2"/>
        <v>0</v>
      </c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9">
        <f t="shared" si="2"/>
        <v>0</v>
      </c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9">
        <f t="shared" si="2"/>
        <v>0</v>
      </c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9">
        <f t="shared" si="2"/>
        <v>0</v>
      </c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9">
        <f t="shared" si="2"/>
        <v>0</v>
      </c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9">
        <f t="shared" si="2"/>
        <v>0</v>
      </c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9">
        <f t="shared" si="2"/>
        <v>0</v>
      </c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9">
        <f t="shared" si="2"/>
        <v>0</v>
      </c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9">
        <f t="shared" si="2"/>
        <v>0</v>
      </c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9">
        <f t="shared" si="2"/>
        <v>0</v>
      </c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9">
        <f t="shared" si="2"/>
        <v>0</v>
      </c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9">
        <f t="shared" si="2"/>
        <v>0</v>
      </c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9">
        <f t="shared" si="2"/>
        <v>0</v>
      </c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9">
        <f t="shared" si="2"/>
        <v>0</v>
      </c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9">
        <f t="shared" si="2"/>
        <v>0</v>
      </c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9">
        <f t="shared" si="2"/>
        <v>0</v>
      </c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9">
        <f t="shared" si="2"/>
        <v>0</v>
      </c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9">
        <f t="shared" si="2"/>
        <v>0</v>
      </c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9">
        <f t="shared" si="2"/>
        <v>0</v>
      </c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9">
        <f t="shared" si="2"/>
        <v>0</v>
      </c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9">
        <f t="shared" si="2"/>
        <v>0</v>
      </c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9">
        <f t="shared" si="2"/>
        <v>0</v>
      </c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9">
        <f t="shared" si="2"/>
        <v>0</v>
      </c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9">
        <f t="shared" si="2"/>
        <v>0</v>
      </c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9">
        <f t="shared" si="2"/>
        <v>0</v>
      </c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9">
        <f t="shared" si="2"/>
        <v>0</v>
      </c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9">
        <f t="shared" si="2"/>
        <v>0</v>
      </c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9">
        <f t="shared" si="2"/>
        <v>0</v>
      </c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9">
        <f t="shared" si="2"/>
        <v>0</v>
      </c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9">
        <f t="shared" si="2"/>
        <v>0</v>
      </c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9">
        <f t="shared" si="2"/>
        <v>0</v>
      </c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9">
        <f t="shared" si="2"/>
        <v>0</v>
      </c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9">
        <f t="shared" si="2"/>
        <v>0</v>
      </c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9">
        <f t="shared" si="2"/>
        <v>0</v>
      </c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9">
        <f t="shared" si="2"/>
        <v>0</v>
      </c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9">
        <f t="shared" si="2"/>
        <v>0</v>
      </c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9">
        <f t="shared" si="2"/>
        <v>0</v>
      </c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9">
        <f t="shared" si="2"/>
        <v>0</v>
      </c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9">
        <f t="shared" si="2"/>
        <v>0</v>
      </c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9">
        <f t="shared" si="2"/>
        <v>0</v>
      </c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9">
        <f t="shared" si="2"/>
        <v>0</v>
      </c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9">
        <f t="shared" si="2"/>
        <v>0</v>
      </c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9">
        <f t="shared" si="2"/>
        <v>0</v>
      </c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9">
        <f t="shared" si="2"/>
        <v>0</v>
      </c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9">
        <f t="shared" si="2"/>
        <v>0</v>
      </c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9">
        <f t="shared" si="2"/>
        <v>0</v>
      </c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9">
        <f t="shared" si="2"/>
        <v>0</v>
      </c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9">
        <f t="shared" si="2"/>
        <v>0</v>
      </c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9">
        <f t="shared" si="2"/>
        <v>0</v>
      </c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9">
        <f t="shared" si="2"/>
        <v>0</v>
      </c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9">
        <f t="shared" si="2"/>
        <v>0</v>
      </c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9">
        <f t="shared" si="2"/>
        <v>0</v>
      </c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9">
        <f t="shared" si="2"/>
        <v>0</v>
      </c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9">
        <f t="shared" si="2"/>
        <v>0</v>
      </c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9">
        <f t="shared" si="2"/>
        <v>0</v>
      </c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9">
        <f t="shared" si="2"/>
        <v>0</v>
      </c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9">
        <f t="shared" si="2"/>
        <v>0</v>
      </c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9">
        <f t="shared" si="2"/>
        <v>0</v>
      </c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9">
        <f t="shared" si="2"/>
        <v>0</v>
      </c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9">
        <f t="shared" si="2"/>
        <v>0</v>
      </c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9">
        <f t="shared" si="2"/>
        <v>0</v>
      </c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9">
        <f t="shared" si="2"/>
        <v>0</v>
      </c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9">
        <f t="shared" si="2"/>
        <v>0</v>
      </c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9">
        <f t="shared" si="2"/>
        <v>0</v>
      </c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9">
        <f t="shared" si="2"/>
        <v>0</v>
      </c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9">
        <f t="shared" si="2"/>
        <v>0</v>
      </c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9">
        <f t="shared" si="2"/>
        <v>0</v>
      </c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9">
        <f t="shared" si="2"/>
        <v>0</v>
      </c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9">
        <f t="shared" si="2"/>
        <v>0</v>
      </c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9">
        <f t="shared" si="2"/>
        <v>0</v>
      </c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9">
        <f t="shared" si="2"/>
        <v>0</v>
      </c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9">
        <f t="shared" si="2"/>
        <v>0</v>
      </c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9">
        <f t="shared" si="2"/>
        <v>0</v>
      </c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9">
        <f t="shared" si="2"/>
        <v>0</v>
      </c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9">
        <f t="shared" si="2"/>
        <v>0</v>
      </c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9">
        <f t="shared" si="2"/>
        <v>0</v>
      </c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9">
        <f t="shared" si="2"/>
        <v>0</v>
      </c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9">
        <f t="shared" si="2"/>
        <v>0</v>
      </c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9">
        <f t="shared" si="2"/>
        <v>0</v>
      </c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9">
        <f t="shared" si="2"/>
        <v>0</v>
      </c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9">
        <f t="shared" si="2"/>
        <v>0</v>
      </c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9">
        <f t="shared" si="2"/>
        <v>0</v>
      </c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9">
        <f t="shared" si="2"/>
        <v>0</v>
      </c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9">
        <f t="shared" si="2"/>
        <v>0</v>
      </c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9">
        <f t="shared" si="2"/>
        <v>0</v>
      </c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9">
        <f t="shared" si="2"/>
        <v>0</v>
      </c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9">
        <f t="shared" si="2"/>
        <v>0</v>
      </c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9">
        <f t="shared" si="2"/>
        <v>0</v>
      </c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9">
        <f t="shared" si="2"/>
        <v>0</v>
      </c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9">
        <f t="shared" si="2"/>
        <v>0</v>
      </c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9">
        <f t="shared" si="2"/>
        <v>0</v>
      </c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9">
        <f t="shared" si="2"/>
        <v>0</v>
      </c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9">
        <f t="shared" si="2"/>
        <v>0</v>
      </c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9">
        <f t="shared" si="2"/>
        <v>0</v>
      </c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9">
        <f t="shared" si="2"/>
        <v>0</v>
      </c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9">
        <f t="shared" si="2"/>
        <v>0</v>
      </c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9">
        <f t="shared" si="2"/>
        <v>0</v>
      </c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9">
        <f t="shared" si="2"/>
        <v>0</v>
      </c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9">
        <f t="shared" si="2"/>
        <v>0</v>
      </c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9">
        <f t="shared" si="2"/>
        <v>0</v>
      </c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9">
        <f t="shared" si="2"/>
        <v>0</v>
      </c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9">
        <f t="shared" si="2"/>
        <v>0</v>
      </c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9">
        <f t="shared" si="2"/>
        <v>0</v>
      </c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9">
        <f t="shared" si="2"/>
        <v>0</v>
      </c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9">
        <f t="shared" si="2"/>
        <v>0</v>
      </c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9">
        <f t="shared" si="2"/>
        <v>0</v>
      </c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9">
        <f t="shared" si="2"/>
        <v>0</v>
      </c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9">
        <f t="shared" si="2"/>
        <v>0</v>
      </c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9">
        <f t="shared" si="2"/>
        <v>0</v>
      </c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9">
        <f t="shared" si="2"/>
        <v>0</v>
      </c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9">
        <f t="shared" si="2"/>
        <v>0</v>
      </c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9">
        <f t="shared" si="2"/>
        <v>0</v>
      </c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9">
        <f t="shared" si="2"/>
        <v>0</v>
      </c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9">
        <f t="shared" si="2"/>
        <v>0</v>
      </c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9">
        <f t="shared" si="2"/>
        <v>0</v>
      </c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9">
        <f t="shared" si="2"/>
        <v>0</v>
      </c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9">
        <f t="shared" si="2"/>
        <v>0</v>
      </c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9">
        <f t="shared" si="2"/>
        <v>0</v>
      </c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9">
        <f t="shared" si="2"/>
        <v>0</v>
      </c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9">
        <f t="shared" si="2"/>
        <v>0</v>
      </c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9">
        <f t="shared" si="2"/>
        <v>0</v>
      </c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9">
        <f t="shared" si="2"/>
        <v>0</v>
      </c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9">
        <f t="shared" si="2"/>
        <v>0</v>
      </c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9">
        <f t="shared" si="2"/>
        <v>0</v>
      </c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9">
        <f t="shared" si="2"/>
        <v>0</v>
      </c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9">
        <f t="shared" si="2"/>
        <v>0</v>
      </c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9">
        <f t="shared" si="2"/>
        <v>0</v>
      </c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9">
        <f t="shared" si="2"/>
        <v>0</v>
      </c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9">
        <f t="shared" si="2"/>
        <v>0</v>
      </c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9">
        <f t="shared" si="2"/>
        <v>0</v>
      </c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9">
        <f t="shared" si="2"/>
        <v>0</v>
      </c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9">
        <f t="shared" si="2"/>
        <v>0</v>
      </c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9">
        <f t="shared" si="2"/>
        <v>0</v>
      </c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9">
        <f t="shared" si="2"/>
        <v>0</v>
      </c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9">
        <f t="shared" si="2"/>
        <v>0</v>
      </c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9">
        <f t="shared" si="2"/>
        <v>0</v>
      </c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9">
        <f t="shared" si="2"/>
        <v>0</v>
      </c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9">
        <f t="shared" si="2"/>
        <v>0</v>
      </c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9">
        <f t="shared" si="2"/>
        <v>0</v>
      </c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9">
        <f t="shared" si="2"/>
        <v>0</v>
      </c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9">
        <f t="shared" si="2"/>
        <v>0</v>
      </c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9">
        <f t="shared" si="2"/>
        <v>0</v>
      </c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9">
        <f t="shared" si="2"/>
        <v>0</v>
      </c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9">
        <f t="shared" si="2"/>
        <v>0</v>
      </c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9">
        <f t="shared" si="2"/>
        <v>0</v>
      </c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9">
        <f t="shared" si="2"/>
        <v>0</v>
      </c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9">
        <f t="shared" si="2"/>
        <v>0</v>
      </c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9">
        <f t="shared" si="2"/>
        <v>0</v>
      </c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9">
        <f t="shared" si="2"/>
        <v>0</v>
      </c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9">
        <f t="shared" si="2"/>
        <v>0</v>
      </c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9">
        <f t="shared" si="2"/>
        <v>0</v>
      </c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9">
        <f t="shared" si="2"/>
        <v>0</v>
      </c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9">
        <f t="shared" si="2"/>
        <v>0</v>
      </c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9">
        <f t="shared" si="2"/>
        <v>0</v>
      </c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9">
        <f t="shared" si="2"/>
        <v>0</v>
      </c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9">
        <f t="shared" si="2"/>
        <v>0</v>
      </c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9">
        <f t="shared" si="2"/>
        <v>0</v>
      </c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9">
        <f t="shared" si="2"/>
        <v>0</v>
      </c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9">
        <f t="shared" si="2"/>
        <v>0</v>
      </c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9">
        <f t="shared" si="2"/>
        <v>0</v>
      </c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9">
        <f t="shared" si="2"/>
        <v>0</v>
      </c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9">
        <f t="shared" si="2"/>
        <v>0</v>
      </c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9">
        <f t="shared" si="2"/>
        <v>0</v>
      </c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9">
        <f t="shared" si="2"/>
        <v>0</v>
      </c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9">
        <f t="shared" si="2"/>
        <v>0</v>
      </c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9">
        <f t="shared" si="2"/>
        <v>0</v>
      </c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9">
        <f t="shared" si="2"/>
        <v>0</v>
      </c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9">
        <f t="shared" si="2"/>
        <v>0</v>
      </c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9">
        <f t="shared" si="2"/>
        <v>0</v>
      </c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9">
        <f t="shared" si="2"/>
        <v>0</v>
      </c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9">
        <f t="shared" si="2"/>
        <v>0</v>
      </c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9">
        <f t="shared" si="2"/>
        <v>0</v>
      </c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9">
        <f t="shared" si="2"/>
        <v>0</v>
      </c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9">
        <f t="shared" si="2"/>
        <v>0</v>
      </c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9">
        <f t="shared" si="2"/>
        <v>0</v>
      </c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9">
        <f t="shared" si="2"/>
        <v>0</v>
      </c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9">
        <f t="shared" si="2"/>
        <v>0</v>
      </c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9">
        <f t="shared" si="2"/>
        <v>0</v>
      </c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9">
        <f t="shared" si="2"/>
        <v>0</v>
      </c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9">
        <f t="shared" si="2"/>
        <v>0</v>
      </c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9">
        <f t="shared" si="2"/>
        <v>0</v>
      </c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9">
        <f t="shared" si="2"/>
        <v>0</v>
      </c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9">
        <f t="shared" si="2"/>
        <v>0</v>
      </c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9">
        <f t="shared" si="2"/>
        <v>0</v>
      </c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9">
        <f t="shared" si="2"/>
        <v>0</v>
      </c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9">
        <f t="shared" si="2"/>
        <v>0</v>
      </c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9">
        <f t="shared" si="2"/>
        <v>0</v>
      </c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9">
        <f t="shared" si="2"/>
        <v>0</v>
      </c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9">
        <f t="shared" si="2"/>
        <v>0</v>
      </c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9">
        <f t="shared" si="2"/>
        <v>0</v>
      </c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9">
        <f t="shared" si="2"/>
        <v>0</v>
      </c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9">
        <f t="shared" si="2"/>
        <v>0</v>
      </c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9">
        <f t="shared" si="2"/>
        <v>0</v>
      </c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9">
        <f t="shared" si="2"/>
        <v>0</v>
      </c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9">
        <f t="shared" si="2"/>
        <v>0</v>
      </c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9">
        <f t="shared" si="2"/>
        <v>0</v>
      </c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9">
        <f t="shared" si="2"/>
        <v>0</v>
      </c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9">
        <f t="shared" si="2"/>
        <v>0</v>
      </c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9">
        <f t="shared" si="2"/>
        <v>0</v>
      </c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9">
        <f t="shared" si="2"/>
        <v>0</v>
      </c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9">
        <f t="shared" si="2"/>
        <v>0</v>
      </c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9">
        <f t="shared" si="2"/>
        <v>0</v>
      </c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9">
        <f t="shared" si="2"/>
        <v>0</v>
      </c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9">
        <f t="shared" si="2"/>
        <v>0</v>
      </c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9">
        <f t="shared" si="2"/>
        <v>0</v>
      </c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9">
        <f t="shared" si="2"/>
        <v>0</v>
      </c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9">
        <f t="shared" si="2"/>
        <v>0</v>
      </c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9">
        <f t="shared" si="2"/>
        <v>0</v>
      </c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9">
        <f t="shared" si="2"/>
        <v>0</v>
      </c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9">
        <f t="shared" si="2"/>
        <v>0</v>
      </c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9">
        <f t="shared" si="2"/>
        <v>0</v>
      </c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9">
        <f t="shared" si="2"/>
        <v>0</v>
      </c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9">
        <f t="shared" si="2"/>
        <v>0</v>
      </c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9">
        <f t="shared" si="2"/>
        <v>0</v>
      </c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9">
        <f t="shared" si="2"/>
        <v>0</v>
      </c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9">
        <f t="shared" si="2"/>
        <v>0</v>
      </c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9">
        <f t="shared" si="2"/>
        <v>0</v>
      </c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9">
        <f t="shared" si="2"/>
        <v>0</v>
      </c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9">
        <f t="shared" si="2"/>
        <v>0</v>
      </c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9">
        <f t="shared" si="2"/>
        <v>0</v>
      </c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9">
        <f t="shared" si="2"/>
        <v>0</v>
      </c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9">
        <f t="shared" si="2"/>
        <v>0</v>
      </c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9">
        <f t="shared" si="2"/>
        <v>0</v>
      </c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9">
        <f t="shared" si="2"/>
        <v>0</v>
      </c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9">
        <f t="shared" si="2"/>
        <v>0</v>
      </c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9">
        <f t="shared" si="2"/>
        <v>0</v>
      </c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9">
        <f t="shared" si="2"/>
        <v>0</v>
      </c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9">
        <f t="shared" si="2"/>
        <v>0</v>
      </c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9">
        <f t="shared" si="2"/>
        <v>0</v>
      </c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9">
        <f t="shared" si="2"/>
        <v>0</v>
      </c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9">
        <f t="shared" si="2"/>
        <v>0</v>
      </c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9">
        <f t="shared" si="2"/>
        <v>0</v>
      </c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9">
        <f t="shared" si="2"/>
        <v>0</v>
      </c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9">
        <f t="shared" si="2"/>
        <v>0</v>
      </c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9">
        <f t="shared" si="2"/>
        <v>0</v>
      </c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9">
        <f t="shared" si="2"/>
        <v>0</v>
      </c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9">
        <f t="shared" si="2"/>
        <v>0</v>
      </c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9">
        <f t="shared" si="2"/>
        <v>0</v>
      </c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9">
        <f t="shared" si="2"/>
        <v>0</v>
      </c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9">
        <f t="shared" si="2"/>
        <v>0</v>
      </c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9">
        <f t="shared" si="2"/>
        <v>0</v>
      </c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9">
        <f t="shared" si="2"/>
        <v>0</v>
      </c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9">
        <f t="shared" si="2"/>
        <v>0</v>
      </c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9">
        <f t="shared" si="2"/>
        <v>0</v>
      </c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9">
        <f t="shared" si="2"/>
        <v>0</v>
      </c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9">
        <f t="shared" si="2"/>
        <v>0</v>
      </c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9">
        <f t="shared" si="2"/>
        <v>0</v>
      </c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9">
        <f t="shared" si="2"/>
        <v>0</v>
      </c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9">
        <f t="shared" si="2"/>
        <v>0</v>
      </c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9">
        <f t="shared" si="2"/>
        <v>0</v>
      </c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9">
        <f t="shared" si="2"/>
        <v>0</v>
      </c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9">
        <f t="shared" si="2"/>
        <v>0</v>
      </c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9">
        <f t="shared" si="2"/>
        <v>0</v>
      </c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9">
        <f t="shared" si="2"/>
        <v>0</v>
      </c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9">
        <f t="shared" si="2"/>
        <v>0</v>
      </c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9">
        <f t="shared" si="2"/>
        <v>0</v>
      </c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9">
        <f t="shared" si="2"/>
        <v>0</v>
      </c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9">
        <f t="shared" si="2"/>
        <v>0</v>
      </c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9">
        <f t="shared" si="2"/>
        <v>0</v>
      </c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9">
        <f t="shared" si="2"/>
        <v>0</v>
      </c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9">
        <f t="shared" si="2"/>
        <v>0</v>
      </c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9">
        <f t="shared" si="2"/>
        <v>0</v>
      </c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9">
        <f t="shared" si="2"/>
        <v>0</v>
      </c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9">
        <f t="shared" si="2"/>
        <v>0</v>
      </c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9">
        <f t="shared" si="2"/>
        <v>0</v>
      </c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9">
        <f t="shared" si="2"/>
        <v>0</v>
      </c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9">
        <f t="shared" si="2"/>
        <v>0</v>
      </c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9">
        <f t="shared" si="2"/>
        <v>0</v>
      </c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9">
        <f t="shared" si="2"/>
        <v>0</v>
      </c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9">
        <f t="shared" si="2"/>
        <v>0</v>
      </c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9">
        <f t="shared" si="2"/>
        <v>0</v>
      </c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9">
        <f t="shared" si="2"/>
        <v>0</v>
      </c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9">
        <f t="shared" si="2"/>
        <v>0</v>
      </c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9">
        <f t="shared" si="2"/>
        <v>0</v>
      </c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9">
        <f t="shared" si="2"/>
        <v>0</v>
      </c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9">
        <f t="shared" si="2"/>
        <v>0</v>
      </c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9">
        <f t="shared" si="2"/>
        <v>0</v>
      </c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9">
        <f t="shared" si="2"/>
        <v>0</v>
      </c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9">
        <f t="shared" si="2"/>
        <v>0</v>
      </c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9">
        <f t="shared" si="2"/>
        <v>0</v>
      </c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9">
        <f t="shared" si="2"/>
        <v>0</v>
      </c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9">
        <f t="shared" si="2"/>
        <v>0</v>
      </c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9">
        <f t="shared" si="2"/>
        <v>0</v>
      </c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9">
        <f t="shared" si="2"/>
        <v>0</v>
      </c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9">
        <f t="shared" si="2"/>
        <v>0</v>
      </c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9">
        <f t="shared" si="2"/>
        <v>0</v>
      </c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9">
        <f t="shared" si="2"/>
        <v>0</v>
      </c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9">
        <f t="shared" si="2"/>
        <v>0</v>
      </c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9">
        <f t="shared" si="2"/>
        <v>0</v>
      </c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9">
        <f t="shared" si="2"/>
        <v>0</v>
      </c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9">
        <f t="shared" si="2"/>
        <v>0</v>
      </c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9">
        <f t="shared" si="2"/>
        <v>0</v>
      </c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9">
        <f t="shared" si="2"/>
        <v>0</v>
      </c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9">
        <f t="shared" si="2"/>
        <v>0</v>
      </c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9">
        <f t="shared" si="2"/>
        <v>0</v>
      </c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9">
        <f t="shared" si="2"/>
        <v>0</v>
      </c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9">
        <f t="shared" si="2"/>
        <v>0</v>
      </c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9">
        <f t="shared" si="2"/>
        <v>0</v>
      </c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9">
        <f t="shared" si="2"/>
        <v>0</v>
      </c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9">
        <f t="shared" si="2"/>
        <v>0</v>
      </c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9">
        <f t="shared" si="2"/>
        <v>0</v>
      </c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9">
        <f t="shared" si="2"/>
        <v>0</v>
      </c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9">
        <f t="shared" si="2"/>
        <v>0</v>
      </c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9">
        <f t="shared" si="2"/>
        <v>0</v>
      </c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9">
        <f t="shared" si="2"/>
        <v>0</v>
      </c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9">
        <f t="shared" si="2"/>
        <v>0</v>
      </c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9">
        <f t="shared" si="2"/>
        <v>0</v>
      </c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9">
        <f t="shared" si="2"/>
        <v>0</v>
      </c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9">
        <f t="shared" si="2"/>
        <v>0</v>
      </c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9">
        <f t="shared" si="2"/>
        <v>0</v>
      </c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9">
        <f t="shared" si="2"/>
        <v>0</v>
      </c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9">
        <f t="shared" si="2"/>
        <v>0</v>
      </c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9">
        <f t="shared" si="2"/>
        <v>0</v>
      </c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9">
        <f t="shared" si="2"/>
        <v>0</v>
      </c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9">
        <f t="shared" si="2"/>
        <v>0</v>
      </c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9">
        <f t="shared" si="2"/>
        <v>0</v>
      </c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9">
        <f t="shared" si="2"/>
        <v>0</v>
      </c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9">
        <f t="shared" si="2"/>
        <v>0</v>
      </c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9">
        <f t="shared" si="2"/>
        <v>0</v>
      </c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9">
        <f t="shared" si="2"/>
        <v>0</v>
      </c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9">
        <f t="shared" si="2"/>
        <v>0</v>
      </c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9">
        <f t="shared" si="2"/>
        <v>0</v>
      </c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9">
        <f t="shared" si="2"/>
        <v>0</v>
      </c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9">
        <f t="shared" si="2"/>
        <v>0</v>
      </c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9">
        <f t="shared" si="2"/>
        <v>0</v>
      </c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9">
        <f t="shared" si="2"/>
        <v>0</v>
      </c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9">
        <f t="shared" si="2"/>
        <v>0</v>
      </c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9">
        <f t="shared" si="2"/>
        <v>0</v>
      </c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9">
        <f t="shared" si="2"/>
        <v>0</v>
      </c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9">
        <f t="shared" si="2"/>
        <v>0</v>
      </c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9">
        <f t="shared" si="2"/>
        <v>0</v>
      </c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9">
        <f t="shared" si="2"/>
        <v>0</v>
      </c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9">
        <f t="shared" si="2"/>
        <v>0</v>
      </c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9">
        <f t="shared" si="2"/>
        <v>0</v>
      </c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9">
        <f t="shared" si="2"/>
        <v>0</v>
      </c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9">
        <f t="shared" si="2"/>
        <v>0</v>
      </c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9">
        <f t="shared" si="2"/>
        <v>0</v>
      </c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9">
        <f t="shared" si="2"/>
        <v>0</v>
      </c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9">
        <f t="shared" si="2"/>
        <v>0</v>
      </c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9">
        <f t="shared" si="2"/>
        <v>0</v>
      </c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9">
        <f t="shared" si="2"/>
        <v>0</v>
      </c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9">
        <f t="shared" si="2"/>
        <v>0</v>
      </c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9">
        <f t="shared" si="2"/>
        <v>0</v>
      </c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9">
        <f t="shared" si="2"/>
        <v>0</v>
      </c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9">
        <f t="shared" si="2"/>
        <v>0</v>
      </c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9">
        <f t="shared" si="2"/>
        <v>0</v>
      </c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9">
        <f t="shared" si="2"/>
        <v>0</v>
      </c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9">
        <f t="shared" si="2"/>
        <v>0</v>
      </c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9">
        <f t="shared" si="2"/>
        <v>0</v>
      </c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9">
        <f t="shared" si="2"/>
        <v>0</v>
      </c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9">
        <f t="shared" si="2"/>
        <v>0</v>
      </c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9">
        <f t="shared" si="2"/>
        <v>0</v>
      </c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9">
        <f t="shared" si="2"/>
        <v>0</v>
      </c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9">
        <f t="shared" si="2"/>
        <v>0</v>
      </c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9">
        <f t="shared" si="2"/>
        <v>0</v>
      </c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9">
        <f t="shared" si="2"/>
        <v>0</v>
      </c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9">
        <f t="shared" si="2"/>
        <v>0</v>
      </c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9">
        <f t="shared" si="2"/>
        <v>0</v>
      </c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9">
        <f t="shared" si="2"/>
        <v>0</v>
      </c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9">
        <f t="shared" si="2"/>
        <v>0</v>
      </c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9">
        <f t="shared" si="2"/>
        <v>0</v>
      </c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9">
        <f t="shared" si="2"/>
        <v>0</v>
      </c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9">
        <f t="shared" si="2"/>
        <v>0</v>
      </c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9">
        <f t="shared" si="2"/>
        <v>0</v>
      </c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9">
        <f t="shared" si="2"/>
        <v>0</v>
      </c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9">
        <f t="shared" si="2"/>
        <v>0</v>
      </c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9">
        <f t="shared" si="2"/>
        <v>0</v>
      </c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9">
        <f t="shared" si="2"/>
        <v>0</v>
      </c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9">
        <f t="shared" si="2"/>
        <v>0</v>
      </c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9">
        <f t="shared" si="2"/>
        <v>0</v>
      </c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9">
        <f t="shared" si="2"/>
        <v>0</v>
      </c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9">
        <f t="shared" si="2"/>
        <v>0</v>
      </c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9">
        <f t="shared" si="2"/>
        <v>0</v>
      </c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9">
        <f t="shared" si="2"/>
        <v>0</v>
      </c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9">
        <f t="shared" si="2"/>
        <v>0</v>
      </c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9">
        <f t="shared" si="2"/>
        <v>0</v>
      </c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9">
        <f t="shared" si="2"/>
        <v>0</v>
      </c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9">
        <f t="shared" si="2"/>
        <v>0</v>
      </c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9">
        <f t="shared" si="2"/>
        <v>0</v>
      </c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9">
        <f t="shared" si="2"/>
        <v>0</v>
      </c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9">
        <f t="shared" si="2"/>
        <v>0</v>
      </c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9">
        <f t="shared" si="2"/>
        <v>0</v>
      </c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9">
        <f t="shared" si="2"/>
        <v>0</v>
      </c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9">
        <f t="shared" si="2"/>
        <v>0</v>
      </c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9">
        <f t="shared" si="2"/>
        <v>0</v>
      </c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9">
        <f t="shared" si="2"/>
        <v>0</v>
      </c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9">
        <f t="shared" si="2"/>
        <v>0</v>
      </c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9">
        <f t="shared" si="2"/>
        <v>0</v>
      </c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9">
        <f t="shared" si="2"/>
        <v>0</v>
      </c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9">
        <f t="shared" si="2"/>
        <v>0</v>
      </c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9">
        <f t="shared" si="2"/>
        <v>0</v>
      </c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9">
        <f t="shared" si="2"/>
        <v>0</v>
      </c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9">
        <f t="shared" si="2"/>
        <v>0</v>
      </c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9">
        <f t="shared" si="2"/>
        <v>0</v>
      </c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9">
        <f t="shared" si="2"/>
        <v>0</v>
      </c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9">
        <f t="shared" si="2"/>
        <v>0</v>
      </c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9">
        <f t="shared" si="2"/>
        <v>0</v>
      </c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9">
        <f t="shared" si="2"/>
        <v>0</v>
      </c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9">
        <f t="shared" si="2"/>
        <v>0</v>
      </c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9">
        <f t="shared" si="2"/>
        <v>0</v>
      </c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9">
        <f t="shared" si="2"/>
        <v>0</v>
      </c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9">
        <f t="shared" si="2"/>
        <v>0</v>
      </c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9">
        <f t="shared" si="2"/>
        <v>0</v>
      </c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9">
        <f t="shared" si="2"/>
        <v>0</v>
      </c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9">
        <f t="shared" si="2"/>
        <v>0</v>
      </c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9">
        <f t="shared" si="2"/>
        <v>0</v>
      </c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9">
        <f t="shared" si="2"/>
        <v>0</v>
      </c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9">
        <f t="shared" si="2"/>
        <v>0</v>
      </c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9">
        <f t="shared" si="2"/>
        <v>0</v>
      </c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9">
        <f t="shared" si="2"/>
        <v>0</v>
      </c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9">
        <f t="shared" si="2"/>
        <v>0</v>
      </c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9">
        <f t="shared" si="2"/>
        <v>0</v>
      </c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9">
        <f t="shared" si="2"/>
        <v>0</v>
      </c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9">
        <f t="shared" si="2"/>
        <v>0</v>
      </c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9">
        <f t="shared" si="2"/>
        <v>0</v>
      </c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9">
        <f t="shared" si="2"/>
        <v>0</v>
      </c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9">
        <f t="shared" si="2"/>
        <v>0</v>
      </c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9">
        <f t="shared" si="2"/>
        <v>0</v>
      </c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9">
        <f t="shared" si="2"/>
        <v>0</v>
      </c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9">
        <f t="shared" si="2"/>
        <v>0</v>
      </c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9">
        <f t="shared" si="2"/>
        <v>0</v>
      </c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9">
        <f t="shared" si="2"/>
        <v>0</v>
      </c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9">
        <f t="shared" si="2"/>
        <v>0</v>
      </c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9">
        <f t="shared" si="2"/>
        <v>0</v>
      </c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9">
        <f t="shared" si="2"/>
        <v>0</v>
      </c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9">
        <f t="shared" si="2"/>
        <v>0</v>
      </c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9">
        <f t="shared" si="2"/>
        <v>0</v>
      </c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9">
        <f t="shared" si="2"/>
        <v>0</v>
      </c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9">
        <f t="shared" si="2"/>
        <v>0</v>
      </c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9">
        <f t="shared" si="2"/>
        <v>0</v>
      </c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9">
        <f t="shared" si="2"/>
        <v>0</v>
      </c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9">
        <f t="shared" si="2"/>
        <v>0</v>
      </c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9">
        <f t="shared" si="2"/>
        <v>0</v>
      </c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9">
        <f t="shared" si="2"/>
        <v>0</v>
      </c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9">
        <f t="shared" si="2"/>
        <v>0</v>
      </c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9">
        <f t="shared" si="2"/>
        <v>0</v>
      </c>
      <c r="W1000" s="1"/>
      <c r="X1000" s="1"/>
      <c r="Y1000" s="1"/>
      <c r="Z1000" s="1"/>
    </row>
  </sheetData>
  <dataValidations>
    <dataValidation type="list" allowBlank="1" showErrorMessage="1" sqref="B2:B1000">
      <formula1>'預算欄位參數表'!$B$2:$B$22</formula1>
    </dataValidation>
    <dataValidation type="list" allowBlank="1" showErrorMessage="1" sqref="D2:D1000">
      <formula1>'預算欄位參數表'!$E$2:E1000</formula1>
    </dataValidation>
    <dataValidation type="list" allowBlank="1" showErrorMessage="1" sqref="E2:E1000">
      <formula1>"NA"</formula1>
    </dataValidation>
    <dataValidation type="list" allowBlank="1" showErrorMessage="1" sqref="G2:G1000">
      <formula1>'預算欄位參數表'!$G$2:G1000</formula1>
    </dataValidation>
    <dataValidation type="list" allowBlank="1" showErrorMessage="1" sqref="C2:C1000">
      <formula1>'預算欄位參數表'!$C$2:C1000</formula1>
    </dataValidation>
    <dataValidation type="list" allowBlank="1" showErrorMessage="1" sqref="A2:A1000">
      <formula1>'預算欄位參數表'!$A$2:$A1000</formula1>
    </dataValidation>
    <dataValidation type="list" allowBlank="1" showErrorMessage="1" sqref="F2:F1000">
      <formula1>'預算欄位參數表'!$H$2:$H1000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5" max="5" width="16.0"/>
    <col customWidth="1" min="6" max="6" width="50.63"/>
    <col customWidth="1" min="7" max="7" width="13.13"/>
    <col customWidth="1" min="8" max="8" width="28.88"/>
    <col customWidth="1" min="9" max="9" width="39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40</v>
      </c>
      <c r="I1" s="2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  <c r="AA1" s="1"/>
    </row>
    <row r="2">
      <c r="A2" s="7" t="s">
        <v>10</v>
      </c>
      <c r="B2" s="7" t="s">
        <v>99</v>
      </c>
      <c r="C2" s="7" t="s">
        <v>66</v>
      </c>
      <c r="D2" s="7" t="s">
        <v>67</v>
      </c>
      <c r="E2" s="7" t="s">
        <v>14</v>
      </c>
      <c r="F2" s="2" t="s">
        <v>74</v>
      </c>
      <c r="G2" s="2" t="s">
        <v>42</v>
      </c>
      <c r="H2" s="7" t="s">
        <v>100</v>
      </c>
      <c r="I2" s="16" t="s">
        <v>101</v>
      </c>
      <c r="J2" s="17">
        <v>14429.0</v>
      </c>
      <c r="K2" s="17">
        <v>14429.0</v>
      </c>
      <c r="L2" s="17">
        <v>14429.0</v>
      </c>
      <c r="M2" s="17">
        <v>5429.0</v>
      </c>
      <c r="N2" s="17">
        <v>5429.0</v>
      </c>
      <c r="O2" s="17">
        <v>5429.0</v>
      </c>
      <c r="P2" s="17">
        <v>5429.0</v>
      </c>
      <c r="Q2" s="17">
        <v>9429.0</v>
      </c>
      <c r="R2" s="17">
        <v>5429.0</v>
      </c>
      <c r="S2" s="17">
        <v>9429.0</v>
      </c>
      <c r="T2" s="17">
        <v>5429.0</v>
      </c>
      <c r="U2" s="17">
        <v>5429.0</v>
      </c>
      <c r="V2" s="6">
        <f t="shared" ref="V2:V41" si="1">SUM(B2:U2)</f>
        <v>100148</v>
      </c>
      <c r="W2" s="1"/>
      <c r="X2" s="1"/>
      <c r="Y2" s="1"/>
      <c r="Z2" s="1"/>
      <c r="AA2" s="1"/>
    </row>
    <row r="3">
      <c r="A3" s="7" t="s">
        <v>10</v>
      </c>
      <c r="B3" s="7" t="s">
        <v>99</v>
      </c>
      <c r="C3" s="7" t="s">
        <v>66</v>
      </c>
      <c r="D3" s="7" t="s">
        <v>67</v>
      </c>
      <c r="E3" s="7" t="s">
        <v>14</v>
      </c>
      <c r="F3" s="7" t="s">
        <v>26</v>
      </c>
      <c r="G3" s="2" t="s">
        <v>42</v>
      </c>
      <c r="H3" s="7" t="s">
        <v>102</v>
      </c>
      <c r="I3" s="16" t="s">
        <v>103</v>
      </c>
      <c r="J3" s="18">
        <v>168.0</v>
      </c>
      <c r="K3" s="18">
        <v>168.0</v>
      </c>
      <c r="L3" s="18">
        <v>168.0</v>
      </c>
      <c r="M3" s="18">
        <v>168.0</v>
      </c>
      <c r="N3" s="18">
        <v>168.0</v>
      </c>
      <c r="O3" s="18">
        <v>168.0</v>
      </c>
      <c r="P3" s="18">
        <v>168.0</v>
      </c>
      <c r="Q3" s="18">
        <v>168.0</v>
      </c>
      <c r="R3" s="18">
        <v>168.0</v>
      </c>
      <c r="S3" s="18">
        <v>168.0</v>
      </c>
      <c r="T3" s="18">
        <v>168.0</v>
      </c>
      <c r="U3" s="18">
        <v>168.0</v>
      </c>
      <c r="V3" s="9">
        <f t="shared" si="1"/>
        <v>2016</v>
      </c>
      <c r="W3" s="1"/>
      <c r="X3" s="1"/>
      <c r="Y3" s="1"/>
      <c r="Z3" s="1"/>
      <c r="AA3" s="1"/>
    </row>
    <row r="4">
      <c r="A4" s="7" t="s">
        <v>10</v>
      </c>
      <c r="B4" s="7" t="s">
        <v>99</v>
      </c>
      <c r="C4" s="7" t="s">
        <v>66</v>
      </c>
      <c r="D4" s="7" t="s">
        <v>67</v>
      </c>
      <c r="E4" s="7" t="s">
        <v>14</v>
      </c>
      <c r="F4" s="7" t="s">
        <v>15</v>
      </c>
      <c r="G4" s="2" t="s">
        <v>42</v>
      </c>
      <c r="H4" s="7" t="s">
        <v>104</v>
      </c>
      <c r="I4" s="1" t="s">
        <v>105</v>
      </c>
      <c r="J4" s="9">
        <f t="shared" ref="J4:U4" si="2">756/12</f>
        <v>63</v>
      </c>
      <c r="K4" s="9">
        <f t="shared" si="2"/>
        <v>63</v>
      </c>
      <c r="L4" s="9">
        <f t="shared" si="2"/>
        <v>63</v>
      </c>
      <c r="M4" s="9">
        <f t="shared" si="2"/>
        <v>63</v>
      </c>
      <c r="N4" s="9">
        <f t="shared" si="2"/>
        <v>63</v>
      </c>
      <c r="O4" s="9">
        <f t="shared" si="2"/>
        <v>63</v>
      </c>
      <c r="P4" s="9">
        <f t="shared" si="2"/>
        <v>63</v>
      </c>
      <c r="Q4" s="9">
        <f t="shared" si="2"/>
        <v>63</v>
      </c>
      <c r="R4" s="9">
        <f t="shared" si="2"/>
        <v>63</v>
      </c>
      <c r="S4" s="9">
        <f t="shared" si="2"/>
        <v>63</v>
      </c>
      <c r="T4" s="9">
        <f t="shared" si="2"/>
        <v>63</v>
      </c>
      <c r="U4" s="9">
        <f t="shared" si="2"/>
        <v>63</v>
      </c>
      <c r="V4" s="9">
        <f t="shared" si="1"/>
        <v>756</v>
      </c>
      <c r="W4" s="1"/>
      <c r="X4" s="1"/>
      <c r="Y4" s="1"/>
      <c r="Z4" s="1"/>
      <c r="AA4" s="1"/>
    </row>
    <row r="5">
      <c r="A5" s="7" t="s">
        <v>10</v>
      </c>
      <c r="B5" s="7" t="s">
        <v>99</v>
      </c>
      <c r="C5" s="7" t="s">
        <v>66</v>
      </c>
      <c r="D5" s="7" t="s">
        <v>67</v>
      </c>
      <c r="E5" s="7" t="s">
        <v>14</v>
      </c>
      <c r="F5" s="7" t="s">
        <v>26</v>
      </c>
      <c r="G5" s="2" t="s">
        <v>42</v>
      </c>
      <c r="H5" s="7" t="s">
        <v>106</v>
      </c>
      <c r="I5" s="1" t="s">
        <v>107</v>
      </c>
      <c r="J5" s="9">
        <f t="shared" ref="J5:U5" si="3">756/12</f>
        <v>63</v>
      </c>
      <c r="K5" s="9">
        <f t="shared" si="3"/>
        <v>63</v>
      </c>
      <c r="L5" s="9">
        <f t="shared" si="3"/>
        <v>63</v>
      </c>
      <c r="M5" s="9">
        <f t="shared" si="3"/>
        <v>63</v>
      </c>
      <c r="N5" s="9">
        <f t="shared" si="3"/>
        <v>63</v>
      </c>
      <c r="O5" s="9">
        <f t="shared" si="3"/>
        <v>63</v>
      </c>
      <c r="P5" s="9">
        <f t="shared" si="3"/>
        <v>63</v>
      </c>
      <c r="Q5" s="9">
        <f t="shared" si="3"/>
        <v>63</v>
      </c>
      <c r="R5" s="9">
        <f t="shared" si="3"/>
        <v>63</v>
      </c>
      <c r="S5" s="9">
        <f t="shared" si="3"/>
        <v>63</v>
      </c>
      <c r="T5" s="9">
        <f t="shared" si="3"/>
        <v>63</v>
      </c>
      <c r="U5" s="9">
        <f t="shared" si="3"/>
        <v>63</v>
      </c>
      <c r="V5" s="9">
        <f t="shared" si="1"/>
        <v>756</v>
      </c>
      <c r="W5" s="1"/>
      <c r="X5" s="1"/>
      <c r="Y5" s="1"/>
      <c r="Z5" s="1"/>
      <c r="AA5" s="1"/>
    </row>
    <row r="6">
      <c r="A6" s="7" t="s">
        <v>10</v>
      </c>
      <c r="B6" s="7" t="s">
        <v>99</v>
      </c>
      <c r="C6" s="7" t="s">
        <v>66</v>
      </c>
      <c r="D6" s="7" t="s">
        <v>67</v>
      </c>
      <c r="E6" s="7" t="s">
        <v>14</v>
      </c>
      <c r="F6" s="2" t="s">
        <v>74</v>
      </c>
      <c r="G6" s="2" t="s">
        <v>42</v>
      </c>
      <c r="H6" s="1" t="s">
        <v>108</v>
      </c>
      <c r="I6" s="19" t="s">
        <v>109</v>
      </c>
      <c r="J6" s="9">
        <v>199.0</v>
      </c>
      <c r="K6" s="9">
        <v>199.0</v>
      </c>
      <c r="L6" s="9">
        <v>199.0</v>
      </c>
      <c r="M6" s="9">
        <v>199.0</v>
      </c>
      <c r="N6" s="9">
        <v>199.0</v>
      </c>
      <c r="O6" s="9">
        <v>199.0</v>
      </c>
      <c r="P6" s="9">
        <v>199.0</v>
      </c>
      <c r="Q6" s="9">
        <v>199.0</v>
      </c>
      <c r="R6" s="9">
        <v>199.0</v>
      </c>
      <c r="S6" s="9">
        <v>199.0</v>
      </c>
      <c r="T6" s="9">
        <v>199.0</v>
      </c>
      <c r="U6" s="9">
        <v>199.0</v>
      </c>
      <c r="V6" s="9">
        <f t="shared" si="1"/>
        <v>2388</v>
      </c>
      <c r="W6" s="1"/>
      <c r="X6" s="1"/>
      <c r="Y6" s="1"/>
      <c r="Z6" s="1"/>
      <c r="AA6" s="1"/>
    </row>
    <row r="7">
      <c r="A7" s="7" t="s">
        <v>10</v>
      </c>
      <c r="B7" s="7" t="s">
        <v>99</v>
      </c>
      <c r="C7" s="7" t="s">
        <v>66</v>
      </c>
      <c r="D7" s="7" t="s">
        <v>67</v>
      </c>
      <c r="E7" s="7" t="s">
        <v>14</v>
      </c>
      <c r="F7" s="2" t="s">
        <v>74</v>
      </c>
      <c r="G7" s="2" t="s">
        <v>42</v>
      </c>
      <c r="H7" s="20" t="s">
        <v>110</v>
      </c>
      <c r="I7" s="21" t="s">
        <v>111</v>
      </c>
      <c r="J7" s="17">
        <v>55000.0</v>
      </c>
      <c r="K7" s="17">
        <v>40000.0</v>
      </c>
      <c r="L7" s="17">
        <v>55000.0</v>
      </c>
      <c r="M7" s="17">
        <v>42000.0</v>
      </c>
      <c r="N7" s="17">
        <v>42000.0</v>
      </c>
      <c r="O7" s="17">
        <v>42000.0</v>
      </c>
      <c r="P7" s="17">
        <v>45000.0</v>
      </c>
      <c r="Q7" s="17">
        <v>45000.0</v>
      </c>
      <c r="R7" s="17">
        <v>45000.0</v>
      </c>
      <c r="S7" s="17">
        <v>50000.0</v>
      </c>
      <c r="T7" s="17">
        <v>42000.0</v>
      </c>
      <c r="U7" s="17">
        <v>42000.0</v>
      </c>
      <c r="V7" s="9">
        <f t="shared" si="1"/>
        <v>545000</v>
      </c>
      <c r="W7" s="1"/>
      <c r="X7" s="1"/>
      <c r="Y7" s="1"/>
      <c r="Z7" s="1"/>
      <c r="AA7" s="1"/>
    </row>
    <row r="8">
      <c r="A8" s="7" t="s">
        <v>10</v>
      </c>
      <c r="B8" s="7" t="s">
        <v>99</v>
      </c>
      <c r="C8" s="7" t="s">
        <v>66</v>
      </c>
      <c r="D8" s="7" t="s">
        <v>67</v>
      </c>
      <c r="E8" s="7" t="s">
        <v>14</v>
      </c>
      <c r="F8" s="2" t="s">
        <v>74</v>
      </c>
      <c r="G8" s="2" t="s">
        <v>42</v>
      </c>
      <c r="H8" s="1" t="s">
        <v>112</v>
      </c>
      <c r="I8" s="19" t="s">
        <v>113</v>
      </c>
      <c r="J8" s="17">
        <v>5600.0</v>
      </c>
      <c r="K8" s="17">
        <v>5600.0</v>
      </c>
      <c r="L8" s="17">
        <v>5600.0</v>
      </c>
      <c r="M8" s="17">
        <v>5600.0</v>
      </c>
      <c r="N8" s="17">
        <v>5600.0</v>
      </c>
      <c r="O8" s="17">
        <v>5600.0</v>
      </c>
      <c r="P8" s="17">
        <v>5600.0</v>
      </c>
      <c r="Q8" s="17">
        <v>5600.0</v>
      </c>
      <c r="R8" s="17">
        <v>5600.0</v>
      </c>
      <c r="S8" s="17">
        <v>5600.0</v>
      </c>
      <c r="T8" s="17">
        <v>5600.0</v>
      </c>
      <c r="U8" s="17">
        <v>5600.0</v>
      </c>
      <c r="V8" s="9">
        <f t="shared" si="1"/>
        <v>67200</v>
      </c>
      <c r="W8" s="1"/>
      <c r="X8" s="1"/>
      <c r="Y8" s="1"/>
      <c r="Z8" s="1"/>
      <c r="AA8" s="1"/>
    </row>
    <row r="9">
      <c r="A9" s="7" t="s">
        <v>10</v>
      </c>
      <c r="B9" s="7" t="s">
        <v>99</v>
      </c>
      <c r="C9" s="7" t="s">
        <v>66</v>
      </c>
      <c r="D9" s="7" t="s">
        <v>67</v>
      </c>
      <c r="E9" s="7" t="s">
        <v>14</v>
      </c>
      <c r="F9" s="2" t="s">
        <v>74</v>
      </c>
      <c r="G9" s="2" t="s">
        <v>42</v>
      </c>
      <c r="H9" s="1" t="s">
        <v>114</v>
      </c>
      <c r="I9" s="22" t="s">
        <v>115</v>
      </c>
      <c r="J9" s="17">
        <v>8400.0</v>
      </c>
      <c r="K9" s="17">
        <v>8400.0</v>
      </c>
      <c r="L9" s="17">
        <v>8400.0</v>
      </c>
      <c r="M9" s="17">
        <v>15330.0</v>
      </c>
      <c r="N9" s="17">
        <v>15330.0</v>
      </c>
      <c r="O9" s="17">
        <v>15330.0</v>
      </c>
      <c r="P9" s="17">
        <v>15330.0</v>
      </c>
      <c r="Q9" s="17">
        <v>15330.0</v>
      </c>
      <c r="R9" s="17">
        <v>15330.0</v>
      </c>
      <c r="S9" s="17">
        <v>15330.0</v>
      </c>
      <c r="T9" s="17">
        <v>15330.0</v>
      </c>
      <c r="U9" s="17">
        <v>15330.0</v>
      </c>
      <c r="V9" s="9">
        <f t="shared" si="1"/>
        <v>163170</v>
      </c>
      <c r="W9" s="1"/>
      <c r="X9" s="1"/>
      <c r="Y9" s="1"/>
      <c r="Z9" s="1"/>
      <c r="AA9" s="1"/>
    </row>
    <row r="10">
      <c r="A10" s="7" t="s">
        <v>10</v>
      </c>
      <c r="B10" s="7" t="s">
        <v>99</v>
      </c>
      <c r="C10" s="7" t="s">
        <v>66</v>
      </c>
      <c r="D10" s="7" t="s">
        <v>67</v>
      </c>
      <c r="E10" s="7" t="s">
        <v>14</v>
      </c>
      <c r="F10" s="2" t="s">
        <v>74</v>
      </c>
      <c r="G10" s="2" t="s">
        <v>42</v>
      </c>
      <c r="H10" s="1" t="s">
        <v>116</v>
      </c>
      <c r="I10" s="23" t="s">
        <v>117</v>
      </c>
      <c r="J10" s="9">
        <v>33000.0</v>
      </c>
      <c r="K10" s="9">
        <v>33000.0</v>
      </c>
      <c r="L10" s="9">
        <v>33000.0</v>
      </c>
      <c r="M10" s="9">
        <v>38000.0</v>
      </c>
      <c r="N10" s="9">
        <v>33000.0</v>
      </c>
      <c r="O10" s="9">
        <v>33000.0</v>
      </c>
      <c r="P10" s="9">
        <v>33000.0</v>
      </c>
      <c r="Q10" s="9">
        <v>33000.0</v>
      </c>
      <c r="R10" s="9">
        <v>40000.0</v>
      </c>
      <c r="S10" s="9">
        <v>40000.0</v>
      </c>
      <c r="T10" s="9">
        <v>33000.0</v>
      </c>
      <c r="U10" s="9">
        <v>40000.0</v>
      </c>
      <c r="V10" s="9">
        <f t="shared" si="1"/>
        <v>422000</v>
      </c>
      <c r="W10" s="1"/>
      <c r="X10" s="1"/>
      <c r="Y10" s="1"/>
      <c r="Z10" s="1"/>
      <c r="AA10" s="1"/>
    </row>
    <row r="11">
      <c r="A11" s="7" t="s">
        <v>10</v>
      </c>
      <c r="B11" s="7" t="s">
        <v>99</v>
      </c>
      <c r="C11" s="7" t="s">
        <v>66</v>
      </c>
      <c r="D11" s="7" t="s">
        <v>67</v>
      </c>
      <c r="E11" s="7" t="s">
        <v>14</v>
      </c>
      <c r="F11" s="2" t="s">
        <v>74</v>
      </c>
      <c r="G11" s="2" t="s">
        <v>42</v>
      </c>
      <c r="H11" s="1" t="s">
        <v>118</v>
      </c>
      <c r="I11" s="23" t="s">
        <v>119</v>
      </c>
      <c r="J11" s="7">
        <v>7000.0</v>
      </c>
      <c r="K11" s="7">
        <v>7000.0</v>
      </c>
      <c r="L11" s="7">
        <v>7000.0</v>
      </c>
      <c r="M11" s="7">
        <v>7000.0</v>
      </c>
      <c r="N11" s="7">
        <v>7000.0</v>
      </c>
      <c r="O11" s="7">
        <v>7000.0</v>
      </c>
      <c r="P11" s="7">
        <v>7000.0</v>
      </c>
      <c r="Q11" s="7">
        <v>7000.0</v>
      </c>
      <c r="R11" s="7">
        <v>7000.0</v>
      </c>
      <c r="S11" s="7">
        <v>7000.0</v>
      </c>
      <c r="T11" s="7">
        <v>7000.0</v>
      </c>
      <c r="U11" s="7">
        <v>7000.0</v>
      </c>
      <c r="V11" s="9">
        <f t="shared" si="1"/>
        <v>84000</v>
      </c>
      <c r="W11" s="1"/>
      <c r="X11" s="1"/>
      <c r="Y11" s="1"/>
      <c r="Z11" s="1"/>
      <c r="AA11" s="1"/>
    </row>
    <row r="12">
      <c r="A12" s="7" t="s">
        <v>10</v>
      </c>
      <c r="B12" s="7" t="s">
        <v>99</v>
      </c>
      <c r="C12" s="7" t="s">
        <v>66</v>
      </c>
      <c r="D12" s="7" t="s">
        <v>67</v>
      </c>
      <c r="E12" s="7" t="s">
        <v>14</v>
      </c>
      <c r="F12" s="2" t="s">
        <v>74</v>
      </c>
      <c r="G12" s="2" t="s">
        <v>42</v>
      </c>
      <c r="H12" s="1" t="s">
        <v>120</v>
      </c>
      <c r="I12" s="24" t="s">
        <v>121</v>
      </c>
      <c r="J12" s="9">
        <v>20000.0</v>
      </c>
      <c r="K12" s="9">
        <v>20000.0</v>
      </c>
      <c r="L12" s="9">
        <v>20000.0</v>
      </c>
      <c r="M12" s="9">
        <v>20000.0</v>
      </c>
      <c r="N12" s="9">
        <v>10000.0</v>
      </c>
      <c r="O12" s="9">
        <v>10000.0</v>
      </c>
      <c r="P12" s="9">
        <v>20000.0</v>
      </c>
      <c r="Q12" s="9">
        <v>20000.0</v>
      </c>
      <c r="R12" s="9">
        <v>20000.0</v>
      </c>
      <c r="S12" s="9">
        <v>20000.0</v>
      </c>
      <c r="T12" s="9">
        <v>10000.0</v>
      </c>
      <c r="U12" s="9">
        <v>20000.0</v>
      </c>
      <c r="V12" s="9">
        <f t="shared" si="1"/>
        <v>210000</v>
      </c>
      <c r="W12" s="1"/>
      <c r="X12" s="1"/>
      <c r="Y12" s="1"/>
      <c r="Z12" s="1"/>
      <c r="AA12" s="1"/>
    </row>
    <row r="13">
      <c r="A13" s="7" t="s">
        <v>10</v>
      </c>
      <c r="B13" s="7" t="s">
        <v>99</v>
      </c>
      <c r="C13" s="7" t="s">
        <v>66</v>
      </c>
      <c r="D13" s="7" t="s">
        <v>67</v>
      </c>
      <c r="E13" s="7" t="s">
        <v>14</v>
      </c>
      <c r="F13" s="2" t="s">
        <v>74</v>
      </c>
      <c r="G13" s="2" t="s">
        <v>42</v>
      </c>
      <c r="H13" s="1" t="s">
        <v>122</v>
      </c>
      <c r="I13" s="25" t="s">
        <v>123</v>
      </c>
      <c r="J13" s="17">
        <v>10000.0</v>
      </c>
      <c r="K13" s="17">
        <v>10000.0</v>
      </c>
      <c r="L13" s="17">
        <v>10000.0</v>
      </c>
      <c r="M13" s="17">
        <v>10000.0</v>
      </c>
      <c r="N13" s="17">
        <v>10000.0</v>
      </c>
      <c r="O13" s="17">
        <v>10000.0</v>
      </c>
      <c r="P13" s="17">
        <v>10000.0</v>
      </c>
      <c r="Q13" s="17">
        <v>10000.0</v>
      </c>
      <c r="R13" s="17">
        <v>10000.0</v>
      </c>
      <c r="S13" s="17">
        <v>10000.0</v>
      </c>
      <c r="T13" s="17">
        <v>10000.0</v>
      </c>
      <c r="U13" s="17">
        <v>10000.0</v>
      </c>
      <c r="V13" s="9">
        <f t="shared" si="1"/>
        <v>120000</v>
      </c>
      <c r="W13" s="1"/>
      <c r="X13" s="1"/>
      <c r="Y13" s="1"/>
      <c r="Z13" s="1"/>
      <c r="AA13" s="1"/>
    </row>
    <row r="14">
      <c r="A14" s="7" t="s">
        <v>10</v>
      </c>
      <c r="B14" s="7" t="s">
        <v>99</v>
      </c>
      <c r="C14" s="7" t="s">
        <v>66</v>
      </c>
      <c r="D14" s="7" t="s">
        <v>67</v>
      </c>
      <c r="E14" s="7" t="s">
        <v>14</v>
      </c>
      <c r="F14" s="2" t="s">
        <v>74</v>
      </c>
      <c r="G14" s="2" t="s">
        <v>42</v>
      </c>
      <c r="H14" s="1" t="s">
        <v>124</v>
      </c>
      <c r="I14" s="25" t="s">
        <v>125</v>
      </c>
      <c r="J14" s="7">
        <v>6056.0</v>
      </c>
      <c r="K14" s="7">
        <v>6056.0</v>
      </c>
      <c r="L14" s="7">
        <v>6056.0</v>
      </c>
      <c r="M14" s="7">
        <v>6056.0</v>
      </c>
      <c r="N14" s="7">
        <v>6056.0</v>
      </c>
      <c r="O14" s="7">
        <v>6056.0</v>
      </c>
      <c r="P14" s="7">
        <v>6056.0</v>
      </c>
      <c r="Q14" s="7">
        <v>6056.0</v>
      </c>
      <c r="R14" s="7">
        <v>6056.0</v>
      </c>
      <c r="S14" s="7">
        <v>6056.0</v>
      </c>
      <c r="T14" s="7">
        <v>6056.0</v>
      </c>
      <c r="U14" s="7">
        <v>6056.0</v>
      </c>
      <c r="V14" s="9">
        <f t="shared" si="1"/>
        <v>72672</v>
      </c>
      <c r="W14" s="1"/>
      <c r="X14" s="1"/>
      <c r="Y14" s="1"/>
      <c r="Z14" s="1"/>
      <c r="AA14" s="1"/>
    </row>
    <row r="15">
      <c r="A15" s="7" t="s">
        <v>10</v>
      </c>
      <c r="B15" s="7" t="s">
        <v>99</v>
      </c>
      <c r="C15" s="7" t="s">
        <v>66</v>
      </c>
      <c r="D15" s="7" t="s">
        <v>67</v>
      </c>
      <c r="E15" s="7" t="s">
        <v>14</v>
      </c>
      <c r="F15" s="7" t="s">
        <v>26</v>
      </c>
      <c r="G15" s="2" t="s">
        <v>42</v>
      </c>
      <c r="H15" s="1" t="s">
        <v>126</v>
      </c>
      <c r="I15" s="7" t="s">
        <v>127</v>
      </c>
      <c r="J15" s="7">
        <v>1000.0</v>
      </c>
      <c r="K15" s="7">
        <v>1000.0</v>
      </c>
      <c r="L15" s="7">
        <v>1000.0</v>
      </c>
      <c r="M15" s="7">
        <v>1000.0</v>
      </c>
      <c r="N15" s="7">
        <v>1000.0</v>
      </c>
      <c r="O15" s="7">
        <v>1000.0</v>
      </c>
      <c r="P15" s="7">
        <v>1000.0</v>
      </c>
      <c r="Q15" s="7">
        <v>1000.0</v>
      </c>
      <c r="R15" s="7">
        <v>1000.0</v>
      </c>
      <c r="S15" s="7">
        <v>1000.0</v>
      </c>
      <c r="T15" s="7">
        <v>1000.0</v>
      </c>
      <c r="U15" s="7">
        <v>1000.0</v>
      </c>
      <c r="V15" s="9">
        <f t="shared" si="1"/>
        <v>12000</v>
      </c>
      <c r="W15" s="1"/>
      <c r="X15" s="1"/>
      <c r="Y15" s="1"/>
      <c r="Z15" s="1"/>
      <c r="AA15" s="1"/>
    </row>
    <row r="16">
      <c r="A16" s="7" t="s">
        <v>10</v>
      </c>
      <c r="B16" s="7" t="s">
        <v>99</v>
      </c>
      <c r="C16" s="7" t="s">
        <v>66</v>
      </c>
      <c r="D16" s="7" t="s">
        <v>67</v>
      </c>
      <c r="E16" s="7" t="s">
        <v>14</v>
      </c>
      <c r="F16" s="2" t="s">
        <v>74</v>
      </c>
      <c r="G16" s="2" t="s">
        <v>42</v>
      </c>
      <c r="H16" s="1" t="s">
        <v>128</v>
      </c>
      <c r="I16" s="25" t="s">
        <v>129</v>
      </c>
      <c r="J16" s="7">
        <v>964.0</v>
      </c>
      <c r="K16" s="7">
        <v>964.0</v>
      </c>
      <c r="L16" s="7">
        <v>964.0</v>
      </c>
      <c r="M16" s="7">
        <v>964.0</v>
      </c>
      <c r="N16" s="7">
        <v>964.0</v>
      </c>
      <c r="O16" s="7">
        <v>964.0</v>
      </c>
      <c r="P16" s="7">
        <v>964.0</v>
      </c>
      <c r="Q16" s="7">
        <v>964.0</v>
      </c>
      <c r="R16" s="7">
        <v>964.0</v>
      </c>
      <c r="S16" s="7">
        <v>964.0</v>
      </c>
      <c r="T16" s="7">
        <v>964.0</v>
      </c>
      <c r="U16" s="7">
        <v>964.0</v>
      </c>
      <c r="V16" s="9">
        <f t="shared" si="1"/>
        <v>11568</v>
      </c>
      <c r="W16" s="1"/>
      <c r="X16" s="1"/>
      <c r="Y16" s="1"/>
      <c r="Z16" s="1"/>
      <c r="AA16" s="1"/>
    </row>
    <row r="17">
      <c r="A17" s="7" t="s">
        <v>10</v>
      </c>
      <c r="B17" s="7" t="s">
        <v>99</v>
      </c>
      <c r="C17" s="7" t="s">
        <v>66</v>
      </c>
      <c r="D17" s="7" t="s">
        <v>67</v>
      </c>
      <c r="E17" s="7" t="s">
        <v>14</v>
      </c>
      <c r="F17" s="2" t="s">
        <v>74</v>
      </c>
      <c r="G17" s="2" t="s">
        <v>42</v>
      </c>
      <c r="H17" s="12" t="s">
        <v>130</v>
      </c>
      <c r="I17" s="12" t="s">
        <v>131</v>
      </c>
      <c r="J17" s="26">
        <v>3366.0</v>
      </c>
      <c r="K17" s="26">
        <v>3366.0</v>
      </c>
      <c r="L17" s="26">
        <v>3366.0</v>
      </c>
      <c r="M17" s="26">
        <v>3366.0</v>
      </c>
      <c r="N17" s="26">
        <v>3366.0</v>
      </c>
      <c r="O17" s="26">
        <v>3366.0</v>
      </c>
      <c r="P17" s="26">
        <v>3366.0</v>
      </c>
      <c r="Q17" s="26">
        <v>3366.0</v>
      </c>
      <c r="R17" s="26">
        <v>3366.0</v>
      </c>
      <c r="S17" s="26">
        <v>3366.0</v>
      </c>
      <c r="T17" s="26">
        <v>3366.0</v>
      </c>
      <c r="U17" s="26">
        <v>3366.0</v>
      </c>
      <c r="V17" s="9">
        <f t="shared" si="1"/>
        <v>40392</v>
      </c>
      <c r="W17" s="1"/>
      <c r="X17" s="1"/>
      <c r="Y17" s="1"/>
      <c r="Z17" s="1"/>
      <c r="AA17" s="1"/>
    </row>
    <row r="18">
      <c r="A18" s="7" t="s">
        <v>10</v>
      </c>
      <c r="B18" s="7" t="s">
        <v>99</v>
      </c>
      <c r="C18" s="7" t="s">
        <v>66</v>
      </c>
      <c r="D18" s="7" t="s">
        <v>67</v>
      </c>
      <c r="E18" s="7" t="s">
        <v>14</v>
      </c>
      <c r="F18" s="7" t="s">
        <v>26</v>
      </c>
      <c r="G18" s="2" t="s">
        <v>42</v>
      </c>
      <c r="H18" s="1" t="s">
        <v>132</v>
      </c>
      <c r="I18" s="27" t="s">
        <v>133</v>
      </c>
      <c r="J18" s="9">
        <v>450.0</v>
      </c>
      <c r="K18" s="9">
        <v>450.0</v>
      </c>
      <c r="L18" s="9">
        <v>450.0</v>
      </c>
      <c r="M18" s="9">
        <v>450.0</v>
      </c>
      <c r="N18" s="9">
        <v>450.0</v>
      </c>
      <c r="O18" s="9">
        <v>450.0</v>
      </c>
      <c r="P18" s="9">
        <v>450.0</v>
      </c>
      <c r="Q18" s="9">
        <v>450.0</v>
      </c>
      <c r="R18" s="9">
        <v>450.0</v>
      </c>
      <c r="S18" s="9">
        <v>450.0</v>
      </c>
      <c r="T18" s="9">
        <v>450.0</v>
      </c>
      <c r="U18" s="9">
        <v>450.0</v>
      </c>
      <c r="V18" s="9">
        <f t="shared" si="1"/>
        <v>5400</v>
      </c>
      <c r="W18" s="1"/>
      <c r="X18" s="1"/>
      <c r="Y18" s="1"/>
      <c r="Z18" s="1"/>
      <c r="AA18" s="1"/>
    </row>
    <row r="19">
      <c r="A19" s="7" t="s">
        <v>10</v>
      </c>
      <c r="B19" s="7" t="s">
        <v>99</v>
      </c>
      <c r="C19" s="7" t="s">
        <v>66</v>
      </c>
      <c r="D19" s="7" t="s">
        <v>67</v>
      </c>
      <c r="E19" s="7" t="s">
        <v>14</v>
      </c>
      <c r="F19" s="2" t="s">
        <v>68</v>
      </c>
      <c r="G19" s="2" t="s">
        <v>42</v>
      </c>
      <c r="H19" s="1" t="s">
        <v>134</v>
      </c>
      <c r="I19" s="1" t="s">
        <v>135</v>
      </c>
      <c r="J19" s="9">
        <f t="shared" ref="J19:U19" si="4">5148/12</f>
        <v>429</v>
      </c>
      <c r="K19" s="9">
        <f t="shared" si="4"/>
        <v>429</v>
      </c>
      <c r="L19" s="9">
        <f t="shared" si="4"/>
        <v>429</v>
      </c>
      <c r="M19" s="9">
        <f t="shared" si="4"/>
        <v>429</v>
      </c>
      <c r="N19" s="9">
        <f t="shared" si="4"/>
        <v>429</v>
      </c>
      <c r="O19" s="9">
        <f t="shared" si="4"/>
        <v>429</v>
      </c>
      <c r="P19" s="9">
        <f t="shared" si="4"/>
        <v>429</v>
      </c>
      <c r="Q19" s="9">
        <f t="shared" si="4"/>
        <v>429</v>
      </c>
      <c r="R19" s="9">
        <f t="shared" si="4"/>
        <v>429</v>
      </c>
      <c r="S19" s="9">
        <f t="shared" si="4"/>
        <v>429</v>
      </c>
      <c r="T19" s="9">
        <f t="shared" si="4"/>
        <v>429</v>
      </c>
      <c r="U19" s="9">
        <f t="shared" si="4"/>
        <v>429</v>
      </c>
      <c r="V19" s="9">
        <f t="shared" si="1"/>
        <v>5148</v>
      </c>
      <c r="W19" s="1"/>
      <c r="X19" s="1"/>
      <c r="Y19" s="1"/>
      <c r="Z19" s="1"/>
      <c r="AA19" s="1"/>
    </row>
    <row r="20">
      <c r="A20" s="7" t="s">
        <v>10</v>
      </c>
      <c r="B20" s="7" t="s">
        <v>99</v>
      </c>
      <c r="C20" s="7" t="s">
        <v>66</v>
      </c>
      <c r="D20" s="7" t="s">
        <v>67</v>
      </c>
      <c r="E20" s="7" t="s">
        <v>14</v>
      </c>
      <c r="F20" s="2" t="s">
        <v>68</v>
      </c>
      <c r="G20" s="2" t="s">
        <v>42</v>
      </c>
      <c r="H20" s="1" t="s">
        <v>136</v>
      </c>
      <c r="I20" s="1" t="s">
        <v>137</v>
      </c>
      <c r="J20" s="28">
        <f t="shared" ref="J20:U20" si="5">1504/12</f>
        <v>125.3333333</v>
      </c>
      <c r="K20" s="28">
        <f t="shared" si="5"/>
        <v>125.3333333</v>
      </c>
      <c r="L20" s="28">
        <f t="shared" si="5"/>
        <v>125.3333333</v>
      </c>
      <c r="M20" s="28">
        <f t="shared" si="5"/>
        <v>125.3333333</v>
      </c>
      <c r="N20" s="28">
        <f t="shared" si="5"/>
        <v>125.3333333</v>
      </c>
      <c r="O20" s="28">
        <f t="shared" si="5"/>
        <v>125.3333333</v>
      </c>
      <c r="P20" s="28">
        <f t="shared" si="5"/>
        <v>125.3333333</v>
      </c>
      <c r="Q20" s="28">
        <f t="shared" si="5"/>
        <v>125.3333333</v>
      </c>
      <c r="R20" s="28">
        <f t="shared" si="5"/>
        <v>125.3333333</v>
      </c>
      <c r="S20" s="28">
        <f t="shared" si="5"/>
        <v>125.3333333</v>
      </c>
      <c r="T20" s="28">
        <f t="shared" si="5"/>
        <v>125.3333333</v>
      </c>
      <c r="U20" s="28">
        <f t="shared" si="5"/>
        <v>125.3333333</v>
      </c>
      <c r="V20" s="9">
        <f t="shared" si="1"/>
        <v>1504</v>
      </c>
      <c r="W20" s="1"/>
      <c r="X20" s="1"/>
      <c r="Y20" s="1"/>
      <c r="Z20" s="1"/>
      <c r="AA20" s="1"/>
    </row>
    <row r="21">
      <c r="A21" s="7" t="s">
        <v>10</v>
      </c>
      <c r="B21" s="7" t="s">
        <v>99</v>
      </c>
      <c r="C21" s="7" t="s">
        <v>66</v>
      </c>
      <c r="D21" s="7" t="s">
        <v>67</v>
      </c>
      <c r="E21" s="7" t="s">
        <v>14</v>
      </c>
      <c r="F21" s="2" t="s">
        <v>68</v>
      </c>
      <c r="G21" s="2" t="s">
        <v>42</v>
      </c>
      <c r="H21" s="1" t="s">
        <v>138</v>
      </c>
      <c r="I21" s="1" t="s">
        <v>139</v>
      </c>
      <c r="J21" s="28">
        <f t="shared" ref="J21:U21" si="6">2272/12</f>
        <v>189.3333333</v>
      </c>
      <c r="K21" s="28">
        <f t="shared" si="6"/>
        <v>189.3333333</v>
      </c>
      <c r="L21" s="28">
        <f t="shared" si="6"/>
        <v>189.3333333</v>
      </c>
      <c r="M21" s="28">
        <f t="shared" si="6"/>
        <v>189.3333333</v>
      </c>
      <c r="N21" s="28">
        <f t="shared" si="6"/>
        <v>189.3333333</v>
      </c>
      <c r="O21" s="28">
        <f t="shared" si="6"/>
        <v>189.3333333</v>
      </c>
      <c r="P21" s="28">
        <f t="shared" si="6"/>
        <v>189.3333333</v>
      </c>
      <c r="Q21" s="28">
        <f t="shared" si="6"/>
        <v>189.3333333</v>
      </c>
      <c r="R21" s="28">
        <f t="shared" si="6"/>
        <v>189.3333333</v>
      </c>
      <c r="S21" s="28">
        <f t="shared" si="6"/>
        <v>189.3333333</v>
      </c>
      <c r="T21" s="28">
        <f t="shared" si="6"/>
        <v>189.3333333</v>
      </c>
      <c r="U21" s="28">
        <f t="shared" si="6"/>
        <v>189.3333333</v>
      </c>
      <c r="V21" s="9">
        <f t="shared" si="1"/>
        <v>2272</v>
      </c>
      <c r="W21" s="1"/>
      <c r="X21" s="1"/>
      <c r="Y21" s="1"/>
      <c r="Z21" s="1"/>
      <c r="AA21" s="1"/>
    </row>
    <row r="22">
      <c r="A22" s="7" t="s">
        <v>10</v>
      </c>
      <c r="B22" s="7" t="s">
        <v>99</v>
      </c>
      <c r="C22" s="7" t="s">
        <v>66</v>
      </c>
      <c r="D22" s="7" t="s">
        <v>67</v>
      </c>
      <c r="E22" s="7" t="s">
        <v>14</v>
      </c>
      <c r="F22" s="2" t="s">
        <v>68</v>
      </c>
      <c r="G22" s="2" t="s">
        <v>42</v>
      </c>
      <c r="H22" s="1" t="s">
        <v>140</v>
      </c>
      <c r="I22" s="1" t="s">
        <v>141</v>
      </c>
      <c r="J22" s="28">
        <f t="shared" ref="J22:U22" si="7">25417/12</f>
        <v>2118.083333</v>
      </c>
      <c r="K22" s="28">
        <f t="shared" si="7"/>
        <v>2118.083333</v>
      </c>
      <c r="L22" s="28">
        <f t="shared" si="7"/>
        <v>2118.083333</v>
      </c>
      <c r="M22" s="28">
        <f t="shared" si="7"/>
        <v>2118.083333</v>
      </c>
      <c r="N22" s="28">
        <f t="shared" si="7"/>
        <v>2118.083333</v>
      </c>
      <c r="O22" s="28">
        <f t="shared" si="7"/>
        <v>2118.083333</v>
      </c>
      <c r="P22" s="28">
        <f t="shared" si="7"/>
        <v>2118.083333</v>
      </c>
      <c r="Q22" s="28">
        <f t="shared" si="7"/>
        <v>2118.083333</v>
      </c>
      <c r="R22" s="28">
        <f t="shared" si="7"/>
        <v>2118.083333</v>
      </c>
      <c r="S22" s="28">
        <f t="shared" si="7"/>
        <v>2118.083333</v>
      </c>
      <c r="T22" s="28">
        <f t="shared" si="7"/>
        <v>2118.083333</v>
      </c>
      <c r="U22" s="28">
        <f t="shared" si="7"/>
        <v>2118.083333</v>
      </c>
      <c r="V22" s="9">
        <f t="shared" si="1"/>
        <v>25417</v>
      </c>
      <c r="W22" s="1"/>
      <c r="X22" s="1"/>
      <c r="Y22" s="1"/>
      <c r="Z22" s="1"/>
      <c r="AA22" s="1"/>
    </row>
    <row r="23">
      <c r="A23" s="7" t="s">
        <v>10</v>
      </c>
      <c r="B23" s="7" t="s">
        <v>99</v>
      </c>
      <c r="C23" s="7" t="s">
        <v>66</v>
      </c>
      <c r="D23" s="7" t="s">
        <v>67</v>
      </c>
      <c r="E23" s="7" t="s">
        <v>14</v>
      </c>
      <c r="F23" s="2" t="s">
        <v>68</v>
      </c>
      <c r="G23" s="2" t="s">
        <v>42</v>
      </c>
      <c r="H23" s="1" t="s">
        <v>142</v>
      </c>
      <c r="I23" s="29" t="s">
        <v>143</v>
      </c>
      <c r="J23" s="9">
        <f t="shared" ref="J23:U23" si="8">491*3</f>
        <v>1473</v>
      </c>
      <c r="K23" s="9">
        <f t="shared" si="8"/>
        <v>1473</v>
      </c>
      <c r="L23" s="9">
        <f t="shared" si="8"/>
        <v>1473</v>
      </c>
      <c r="M23" s="9">
        <f t="shared" si="8"/>
        <v>1473</v>
      </c>
      <c r="N23" s="9">
        <f t="shared" si="8"/>
        <v>1473</v>
      </c>
      <c r="O23" s="9">
        <f t="shared" si="8"/>
        <v>1473</v>
      </c>
      <c r="P23" s="9">
        <f t="shared" si="8"/>
        <v>1473</v>
      </c>
      <c r="Q23" s="9">
        <f t="shared" si="8"/>
        <v>1473</v>
      </c>
      <c r="R23" s="9">
        <f t="shared" si="8"/>
        <v>1473</v>
      </c>
      <c r="S23" s="9">
        <f t="shared" si="8"/>
        <v>1473</v>
      </c>
      <c r="T23" s="9">
        <f t="shared" si="8"/>
        <v>1473</v>
      </c>
      <c r="U23" s="9">
        <f t="shared" si="8"/>
        <v>1473</v>
      </c>
      <c r="V23" s="9">
        <f t="shared" si="1"/>
        <v>17676</v>
      </c>
      <c r="W23" s="1"/>
      <c r="X23" s="1"/>
      <c r="Y23" s="1"/>
      <c r="Z23" s="1"/>
      <c r="AA23" s="1"/>
    </row>
    <row r="24">
      <c r="A24" s="7" t="s">
        <v>10</v>
      </c>
      <c r="B24" s="7" t="s">
        <v>99</v>
      </c>
      <c r="C24" s="7" t="s">
        <v>66</v>
      </c>
      <c r="D24" s="7" t="s">
        <v>67</v>
      </c>
      <c r="E24" s="7" t="s">
        <v>14</v>
      </c>
      <c r="F24" s="2" t="s">
        <v>74</v>
      </c>
      <c r="G24" s="2" t="s">
        <v>42</v>
      </c>
      <c r="H24" s="1" t="s">
        <v>144</v>
      </c>
      <c r="I24" s="25" t="s">
        <v>145</v>
      </c>
      <c r="J24" s="7">
        <v>101.0</v>
      </c>
      <c r="K24" s="7">
        <v>101.0</v>
      </c>
      <c r="L24" s="7">
        <v>101.0</v>
      </c>
      <c r="M24" s="7">
        <v>101.0</v>
      </c>
      <c r="N24" s="7">
        <v>101.0</v>
      </c>
      <c r="O24" s="7">
        <v>101.0</v>
      </c>
      <c r="P24" s="7">
        <v>101.0</v>
      </c>
      <c r="Q24" s="7">
        <v>101.0</v>
      </c>
      <c r="R24" s="7">
        <v>101.0</v>
      </c>
      <c r="S24" s="7">
        <v>101.0</v>
      </c>
      <c r="T24" s="7">
        <v>101.0</v>
      </c>
      <c r="U24" s="7">
        <v>101.0</v>
      </c>
      <c r="V24" s="9">
        <f t="shared" si="1"/>
        <v>1212</v>
      </c>
      <c r="W24" s="1"/>
      <c r="X24" s="1"/>
      <c r="Y24" s="1"/>
      <c r="Z24" s="1"/>
      <c r="AA24" s="1"/>
    </row>
    <row r="25">
      <c r="A25" s="7" t="s">
        <v>10</v>
      </c>
      <c r="B25" s="7" t="s">
        <v>99</v>
      </c>
      <c r="C25" s="7" t="s">
        <v>66</v>
      </c>
      <c r="D25" s="7" t="s">
        <v>67</v>
      </c>
      <c r="E25" s="7" t="s">
        <v>14</v>
      </c>
      <c r="F25" s="7" t="s">
        <v>26</v>
      </c>
      <c r="G25" s="2" t="s">
        <v>42</v>
      </c>
      <c r="H25" s="1" t="s">
        <v>146</v>
      </c>
      <c r="I25" s="30" t="s">
        <v>147</v>
      </c>
      <c r="J25" s="17">
        <v>204.0</v>
      </c>
      <c r="K25" s="31">
        <v>204.0</v>
      </c>
      <c r="L25" s="31">
        <v>204.0</v>
      </c>
      <c r="M25" s="17">
        <v>204.0</v>
      </c>
      <c r="N25" s="31">
        <v>204.0</v>
      </c>
      <c r="O25" s="31">
        <v>204.0</v>
      </c>
      <c r="P25" s="17">
        <v>204.0</v>
      </c>
      <c r="Q25" s="31">
        <v>204.0</v>
      </c>
      <c r="R25" s="31">
        <v>204.0</v>
      </c>
      <c r="S25" s="17">
        <v>204.0</v>
      </c>
      <c r="T25" s="31">
        <v>204.0</v>
      </c>
      <c r="U25" s="31">
        <v>204.0</v>
      </c>
      <c r="V25" s="9">
        <f t="shared" si="1"/>
        <v>2448</v>
      </c>
      <c r="W25" s="1"/>
      <c r="X25" s="1"/>
      <c r="Y25" s="1"/>
      <c r="Z25" s="1"/>
      <c r="AA25" s="1"/>
    </row>
    <row r="26">
      <c r="A26" s="7" t="s">
        <v>10</v>
      </c>
      <c r="B26" s="7" t="s">
        <v>99</v>
      </c>
      <c r="C26" s="7" t="s">
        <v>66</v>
      </c>
      <c r="D26" s="7" t="s">
        <v>67</v>
      </c>
      <c r="E26" s="7" t="s">
        <v>14</v>
      </c>
      <c r="F26" s="7" t="s">
        <v>26</v>
      </c>
      <c r="G26" s="2" t="s">
        <v>42</v>
      </c>
      <c r="H26" s="1" t="s">
        <v>148</v>
      </c>
      <c r="I26" s="7" t="s">
        <v>149</v>
      </c>
      <c r="J26" s="7">
        <v>2500.0</v>
      </c>
      <c r="K26" s="7">
        <v>2500.0</v>
      </c>
      <c r="L26" s="7">
        <v>2500.0</v>
      </c>
      <c r="M26" s="7">
        <v>2500.0</v>
      </c>
      <c r="N26" s="7">
        <v>2500.0</v>
      </c>
      <c r="O26" s="7">
        <v>2500.0</v>
      </c>
      <c r="P26" s="7">
        <v>2500.0</v>
      </c>
      <c r="Q26" s="7">
        <v>2500.0</v>
      </c>
      <c r="R26" s="7">
        <v>2500.0</v>
      </c>
      <c r="S26" s="7">
        <v>2500.0</v>
      </c>
      <c r="T26" s="7">
        <v>2500.0</v>
      </c>
      <c r="U26" s="7">
        <v>2500.0</v>
      </c>
      <c r="V26" s="9">
        <f t="shared" si="1"/>
        <v>30000</v>
      </c>
      <c r="W26" s="1"/>
      <c r="X26" s="1"/>
      <c r="Y26" s="1"/>
      <c r="Z26" s="1"/>
      <c r="AA26" s="1"/>
    </row>
    <row r="27">
      <c r="A27" s="7" t="s">
        <v>10</v>
      </c>
      <c r="B27" s="7" t="s">
        <v>99</v>
      </c>
      <c r="C27" s="7" t="s">
        <v>66</v>
      </c>
      <c r="D27" s="7" t="s">
        <v>67</v>
      </c>
      <c r="E27" s="7" t="s">
        <v>14</v>
      </c>
      <c r="F27" s="7" t="s">
        <v>71</v>
      </c>
      <c r="G27" s="2" t="s">
        <v>42</v>
      </c>
      <c r="H27" s="32" t="s">
        <v>150</v>
      </c>
      <c r="I27" s="12" t="s">
        <v>151</v>
      </c>
      <c r="J27" s="12">
        <v>360.0</v>
      </c>
      <c r="K27" s="12">
        <v>360.0</v>
      </c>
      <c r="L27" s="12">
        <v>360.0</v>
      </c>
      <c r="M27" s="12">
        <v>360.0</v>
      </c>
      <c r="N27" s="12">
        <v>360.0</v>
      </c>
      <c r="O27" s="12">
        <v>360.0</v>
      </c>
      <c r="P27" s="12">
        <v>360.0</v>
      </c>
      <c r="Q27" s="12">
        <v>360.0</v>
      </c>
      <c r="R27" s="12">
        <v>360.0</v>
      </c>
      <c r="S27" s="12">
        <v>360.0</v>
      </c>
      <c r="T27" s="12">
        <v>360.0</v>
      </c>
      <c r="U27" s="12">
        <v>360.0</v>
      </c>
      <c r="V27" s="9">
        <f t="shared" si="1"/>
        <v>4320</v>
      </c>
      <c r="W27" s="1"/>
      <c r="X27" s="1"/>
      <c r="Y27" s="1"/>
      <c r="Z27" s="1"/>
      <c r="AA27" s="1"/>
    </row>
    <row r="28">
      <c r="A28" s="7" t="s">
        <v>10</v>
      </c>
      <c r="B28" s="7" t="s">
        <v>99</v>
      </c>
      <c r="C28" s="7" t="s">
        <v>66</v>
      </c>
      <c r="D28" s="7" t="s">
        <v>67</v>
      </c>
      <c r="E28" s="7" t="s">
        <v>14</v>
      </c>
      <c r="F28" s="2" t="s">
        <v>74</v>
      </c>
      <c r="G28" s="2" t="s">
        <v>42</v>
      </c>
      <c r="H28" s="33" t="s">
        <v>152</v>
      </c>
      <c r="I28" s="25" t="s">
        <v>153</v>
      </c>
      <c r="J28" s="17">
        <v>4000.0</v>
      </c>
      <c r="K28" s="17">
        <v>4000.0</v>
      </c>
      <c r="L28" s="17">
        <v>4000.0</v>
      </c>
      <c r="M28" s="17">
        <v>4000.0</v>
      </c>
      <c r="N28" s="17">
        <v>4000.0</v>
      </c>
      <c r="O28" s="17">
        <v>4000.0</v>
      </c>
      <c r="P28" s="17">
        <v>4000.0</v>
      </c>
      <c r="Q28" s="17">
        <v>4000.0</v>
      </c>
      <c r="R28" s="17">
        <v>4000.0</v>
      </c>
      <c r="S28" s="17">
        <v>4000.0</v>
      </c>
      <c r="T28" s="17">
        <v>4000.0</v>
      </c>
      <c r="U28" s="17">
        <v>4000.0</v>
      </c>
      <c r="V28" s="9">
        <f t="shared" si="1"/>
        <v>48000</v>
      </c>
      <c r="W28" s="1"/>
      <c r="X28" s="1"/>
      <c r="Y28" s="1"/>
      <c r="Z28" s="1"/>
      <c r="AA28" s="1"/>
    </row>
    <row r="29">
      <c r="A29" s="7" t="s">
        <v>10</v>
      </c>
      <c r="B29" s="7" t="s">
        <v>99</v>
      </c>
      <c r="C29" s="7" t="s">
        <v>66</v>
      </c>
      <c r="D29" s="7" t="s">
        <v>67</v>
      </c>
      <c r="E29" s="7" t="s">
        <v>14</v>
      </c>
      <c r="F29" s="1" t="s">
        <v>74</v>
      </c>
      <c r="G29" s="1" t="s">
        <v>42</v>
      </c>
      <c r="H29" s="1" t="s">
        <v>154</v>
      </c>
      <c r="I29" s="25" t="s">
        <v>155</v>
      </c>
      <c r="J29" s="17">
        <v>6000.0</v>
      </c>
      <c r="K29" s="17">
        <v>6000.0</v>
      </c>
      <c r="L29" s="17">
        <v>6000.0</v>
      </c>
      <c r="M29" s="17">
        <v>6000.0</v>
      </c>
      <c r="N29" s="17">
        <v>6000.0</v>
      </c>
      <c r="O29" s="17">
        <v>6000.0</v>
      </c>
      <c r="P29" s="17">
        <v>6000.0</v>
      </c>
      <c r="Q29" s="17">
        <v>6000.0</v>
      </c>
      <c r="R29" s="17">
        <v>6000.0</v>
      </c>
      <c r="S29" s="17">
        <v>6000.0</v>
      </c>
      <c r="T29" s="17">
        <v>6000.0</v>
      </c>
      <c r="U29" s="17">
        <v>6000.0</v>
      </c>
      <c r="V29" s="9">
        <f t="shared" si="1"/>
        <v>72000</v>
      </c>
      <c r="W29" s="1"/>
      <c r="X29" s="1"/>
      <c r="Y29" s="1"/>
      <c r="Z29" s="1"/>
      <c r="AA29" s="1"/>
    </row>
    <row r="30">
      <c r="A30" s="7" t="s">
        <v>10</v>
      </c>
      <c r="B30" s="7" t="s">
        <v>99</v>
      </c>
      <c r="C30" s="7" t="s">
        <v>66</v>
      </c>
      <c r="D30" s="7" t="s">
        <v>67</v>
      </c>
      <c r="E30" s="7" t="s">
        <v>14</v>
      </c>
      <c r="F30" s="1" t="s">
        <v>74</v>
      </c>
      <c r="G30" s="1" t="s">
        <v>42</v>
      </c>
      <c r="H30" s="34" t="s">
        <v>156</v>
      </c>
      <c r="I30" s="19" t="s">
        <v>157</v>
      </c>
      <c r="J30" s="7">
        <v>0.0</v>
      </c>
      <c r="K30" s="7">
        <v>0.0</v>
      </c>
      <c r="L30" s="17">
        <v>2500.0</v>
      </c>
      <c r="M30" s="7">
        <v>0.0</v>
      </c>
      <c r="N30" s="17">
        <v>2500.0</v>
      </c>
      <c r="O30" s="7">
        <v>0.0</v>
      </c>
      <c r="P30" s="17">
        <v>2500.0</v>
      </c>
      <c r="Q30" s="7">
        <v>0.0</v>
      </c>
      <c r="R30" s="17">
        <v>2500.0</v>
      </c>
      <c r="S30" s="7">
        <v>0.0</v>
      </c>
      <c r="T30" s="17">
        <v>2500.0</v>
      </c>
      <c r="U30" s="7">
        <v>0.0</v>
      </c>
      <c r="V30" s="9">
        <f t="shared" si="1"/>
        <v>12500</v>
      </c>
      <c r="W30" s="1"/>
      <c r="X30" s="1"/>
      <c r="Y30" s="1"/>
      <c r="Z30" s="1"/>
      <c r="AA30" s="1"/>
    </row>
    <row r="31">
      <c r="A31" s="7" t="s">
        <v>10</v>
      </c>
      <c r="B31" s="7" t="s">
        <v>99</v>
      </c>
      <c r="C31" s="7" t="s">
        <v>66</v>
      </c>
      <c r="D31" s="7" t="s">
        <v>67</v>
      </c>
      <c r="E31" s="7" t="s">
        <v>14</v>
      </c>
      <c r="F31" s="1" t="s">
        <v>74</v>
      </c>
      <c r="G31" s="1" t="s">
        <v>42</v>
      </c>
      <c r="H31" s="12" t="s">
        <v>158</v>
      </c>
      <c r="I31" s="12" t="s">
        <v>159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10000.0</v>
      </c>
      <c r="V31" s="9">
        <f t="shared" si="1"/>
        <v>10000</v>
      </c>
      <c r="W31" s="1"/>
      <c r="X31" s="1"/>
      <c r="Y31" s="1"/>
      <c r="Z31" s="1"/>
      <c r="AA31" s="1"/>
    </row>
    <row r="32">
      <c r="A32" s="7" t="s">
        <v>10</v>
      </c>
      <c r="B32" s="7" t="s">
        <v>99</v>
      </c>
      <c r="C32" s="7" t="s">
        <v>66</v>
      </c>
      <c r="D32" s="7" t="s">
        <v>67</v>
      </c>
      <c r="E32" s="7" t="s">
        <v>14</v>
      </c>
      <c r="F32" s="1" t="s">
        <v>74</v>
      </c>
      <c r="G32" s="1" t="s">
        <v>42</v>
      </c>
      <c r="H32" s="1" t="s">
        <v>160</v>
      </c>
      <c r="I32" s="19" t="s">
        <v>161</v>
      </c>
      <c r="J32" s="17">
        <v>5500.0</v>
      </c>
      <c r="K32" s="7">
        <v>0.0</v>
      </c>
      <c r="L32" s="7">
        <v>0.0</v>
      </c>
      <c r="M32" s="17">
        <v>5500.0</v>
      </c>
      <c r="N32" s="7">
        <v>0.0</v>
      </c>
      <c r="O32" s="7">
        <v>0.0</v>
      </c>
      <c r="P32" s="17">
        <v>5500.0</v>
      </c>
      <c r="Q32" s="7">
        <v>0.0</v>
      </c>
      <c r="R32" s="7">
        <v>0.0</v>
      </c>
      <c r="S32" s="17">
        <v>5500.0</v>
      </c>
      <c r="T32" s="7">
        <v>0.0</v>
      </c>
      <c r="U32" s="7">
        <v>0.0</v>
      </c>
      <c r="V32" s="9">
        <f t="shared" si="1"/>
        <v>22000</v>
      </c>
      <c r="W32" s="1"/>
      <c r="X32" s="1"/>
      <c r="Y32" s="1"/>
      <c r="Z32" s="1"/>
      <c r="AA32" s="1"/>
    </row>
    <row r="33">
      <c r="A33" s="7" t="s">
        <v>10</v>
      </c>
      <c r="B33" s="7" t="s">
        <v>99</v>
      </c>
      <c r="C33" s="7" t="s">
        <v>66</v>
      </c>
      <c r="D33" s="7" t="s">
        <v>67</v>
      </c>
      <c r="E33" s="7" t="s">
        <v>14</v>
      </c>
      <c r="F33" s="1" t="s">
        <v>74</v>
      </c>
      <c r="G33" s="1" t="s">
        <v>42</v>
      </c>
      <c r="H33" s="1" t="s">
        <v>162</v>
      </c>
      <c r="I33" s="19" t="s">
        <v>163</v>
      </c>
      <c r="J33" s="7">
        <v>0.0</v>
      </c>
      <c r="K33" s="7">
        <v>0.0</v>
      </c>
      <c r="L33" s="7">
        <v>0.0</v>
      </c>
      <c r="M33" s="17">
        <v>3300.0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17">
        <v>3300.0</v>
      </c>
      <c r="T33" s="7">
        <v>0.0</v>
      </c>
      <c r="U33" s="7">
        <v>0.0</v>
      </c>
      <c r="V33" s="9">
        <f t="shared" si="1"/>
        <v>6600</v>
      </c>
      <c r="W33" s="1"/>
      <c r="X33" s="1"/>
      <c r="Y33" s="1"/>
      <c r="Z33" s="1"/>
      <c r="AA33" s="1"/>
    </row>
    <row r="34">
      <c r="A34" s="7" t="s">
        <v>10</v>
      </c>
      <c r="B34" s="7" t="s">
        <v>99</v>
      </c>
      <c r="C34" s="7" t="s">
        <v>66</v>
      </c>
      <c r="D34" s="7" t="s">
        <v>67</v>
      </c>
      <c r="E34" s="7" t="s">
        <v>14</v>
      </c>
      <c r="F34" s="1" t="s">
        <v>74</v>
      </c>
      <c r="G34" s="1" t="s">
        <v>42</v>
      </c>
      <c r="H34" s="1" t="s">
        <v>164</v>
      </c>
      <c r="I34" s="19" t="s">
        <v>165</v>
      </c>
      <c r="J34" s="7">
        <v>0.0</v>
      </c>
      <c r="K34" s="7">
        <v>0.0</v>
      </c>
      <c r="L34" s="17">
        <v>4000.0</v>
      </c>
      <c r="M34" s="7">
        <v>0.0</v>
      </c>
      <c r="N34" s="7">
        <v>0.0</v>
      </c>
      <c r="O34" s="17">
        <v>4000.0</v>
      </c>
      <c r="P34" s="7">
        <v>0.0</v>
      </c>
      <c r="Q34" s="7">
        <v>0.0</v>
      </c>
      <c r="R34" s="17">
        <v>4000.0</v>
      </c>
      <c r="S34" s="7">
        <v>0.0</v>
      </c>
      <c r="T34" s="7">
        <v>0.0</v>
      </c>
      <c r="U34" s="17">
        <v>4000.0</v>
      </c>
      <c r="V34" s="9">
        <f t="shared" si="1"/>
        <v>16000</v>
      </c>
      <c r="W34" s="1"/>
      <c r="X34" s="1"/>
      <c r="Y34" s="1"/>
      <c r="Z34" s="1"/>
      <c r="AA34" s="1"/>
    </row>
    <row r="35">
      <c r="A35" s="7" t="s">
        <v>10</v>
      </c>
      <c r="B35" s="7" t="s">
        <v>99</v>
      </c>
      <c r="C35" s="7" t="s">
        <v>66</v>
      </c>
      <c r="D35" s="7" t="s">
        <v>67</v>
      </c>
      <c r="E35" s="7" t="s">
        <v>14</v>
      </c>
      <c r="F35" s="1" t="s">
        <v>74</v>
      </c>
      <c r="G35" s="1" t="s">
        <v>42</v>
      </c>
      <c r="H35" s="1" t="s">
        <v>166</v>
      </c>
      <c r="I35" s="19" t="s">
        <v>167</v>
      </c>
      <c r="J35" s="7">
        <v>0.0</v>
      </c>
      <c r="K35" s="17">
        <v>9000.0</v>
      </c>
      <c r="L35" s="7">
        <v>0.0</v>
      </c>
      <c r="M35" s="7">
        <v>0.0</v>
      </c>
      <c r="N35" s="17">
        <v>9000.0</v>
      </c>
      <c r="O35" s="7">
        <v>0.0</v>
      </c>
      <c r="P35" s="7">
        <v>0.0</v>
      </c>
      <c r="Q35" s="17">
        <v>9000.0</v>
      </c>
      <c r="R35" s="7">
        <v>0.0</v>
      </c>
      <c r="S35" s="7">
        <v>0.0</v>
      </c>
      <c r="T35" s="17">
        <v>9000.0</v>
      </c>
      <c r="U35" s="7">
        <v>0.0</v>
      </c>
      <c r="V35" s="9">
        <f t="shared" si="1"/>
        <v>36000</v>
      </c>
      <c r="W35" s="1"/>
      <c r="X35" s="1"/>
      <c r="Y35" s="1"/>
      <c r="Z35" s="1"/>
      <c r="AA35" s="1"/>
    </row>
    <row r="36">
      <c r="A36" s="7" t="s">
        <v>10</v>
      </c>
      <c r="B36" s="7" t="s">
        <v>99</v>
      </c>
      <c r="C36" s="7" t="s">
        <v>66</v>
      </c>
      <c r="D36" s="7" t="s">
        <v>67</v>
      </c>
      <c r="E36" s="7" t="s">
        <v>14</v>
      </c>
      <c r="F36" s="2" t="s">
        <v>74</v>
      </c>
      <c r="G36" s="2" t="s">
        <v>42</v>
      </c>
      <c r="H36" s="1" t="s">
        <v>168</v>
      </c>
      <c r="I36" s="25" t="s">
        <v>169</v>
      </c>
      <c r="J36" s="17">
        <v>3000.0</v>
      </c>
      <c r="K36" s="7">
        <v>0.0</v>
      </c>
      <c r="L36" s="7">
        <v>0.0</v>
      </c>
      <c r="M36" s="17">
        <v>3000.0</v>
      </c>
      <c r="N36" s="7">
        <v>0.0</v>
      </c>
      <c r="O36" s="7">
        <v>0.0</v>
      </c>
      <c r="P36" s="17">
        <v>3000.0</v>
      </c>
      <c r="Q36" s="7">
        <v>0.0</v>
      </c>
      <c r="R36" s="7">
        <v>0.0</v>
      </c>
      <c r="S36" s="17">
        <v>3000.0</v>
      </c>
      <c r="T36" s="7">
        <v>0.0</v>
      </c>
      <c r="U36" s="7">
        <v>0.0</v>
      </c>
      <c r="V36" s="9">
        <f t="shared" si="1"/>
        <v>12000</v>
      </c>
      <c r="W36" s="1"/>
      <c r="X36" s="1"/>
      <c r="Y36" s="1"/>
      <c r="Z36" s="1"/>
      <c r="AA36" s="1"/>
    </row>
    <row r="37">
      <c r="A37" s="7" t="s">
        <v>10</v>
      </c>
      <c r="B37" s="7" t="s">
        <v>99</v>
      </c>
      <c r="C37" s="7" t="s">
        <v>66</v>
      </c>
      <c r="D37" s="7" t="s">
        <v>67</v>
      </c>
      <c r="E37" s="7" t="s">
        <v>14</v>
      </c>
      <c r="F37" s="2" t="s">
        <v>74</v>
      </c>
      <c r="G37" s="2" t="s">
        <v>42</v>
      </c>
      <c r="H37" s="7" t="s">
        <v>170</v>
      </c>
      <c r="I37" s="35" t="s">
        <v>171</v>
      </c>
      <c r="J37" s="17">
        <v>653940.0</v>
      </c>
      <c r="K37" s="17">
        <v>653940.0</v>
      </c>
      <c r="L37" s="17">
        <v>653940.0</v>
      </c>
      <c r="M37" s="17">
        <v>653940.0</v>
      </c>
      <c r="N37" s="17">
        <v>653940.0</v>
      </c>
      <c r="O37" s="17">
        <v>653940.0</v>
      </c>
      <c r="P37" s="17">
        <v>653940.0</v>
      </c>
      <c r="Q37" s="17">
        <v>653940.0</v>
      </c>
      <c r="R37" s="17">
        <v>653940.0</v>
      </c>
      <c r="S37" s="17">
        <v>653940.0</v>
      </c>
      <c r="T37" s="17">
        <v>653940.0</v>
      </c>
      <c r="U37" s="17">
        <v>653940.0</v>
      </c>
      <c r="V37" s="9">
        <f t="shared" si="1"/>
        <v>7847280</v>
      </c>
      <c r="W37" s="1"/>
      <c r="X37" s="1"/>
      <c r="Y37" s="1"/>
      <c r="Z37" s="1"/>
      <c r="AA37" s="1"/>
    </row>
    <row r="38">
      <c r="A38" s="7" t="s">
        <v>10</v>
      </c>
      <c r="B38" s="7" t="s">
        <v>99</v>
      </c>
      <c r="C38" s="7" t="s">
        <v>66</v>
      </c>
      <c r="D38" s="7" t="s">
        <v>67</v>
      </c>
      <c r="E38" s="7" t="s">
        <v>14</v>
      </c>
      <c r="F38" s="2" t="s">
        <v>74</v>
      </c>
      <c r="G38" s="2" t="s">
        <v>42</v>
      </c>
      <c r="H38" s="1" t="s">
        <v>172</v>
      </c>
      <c r="I38" s="27" t="s">
        <v>173</v>
      </c>
      <c r="J38" s="9">
        <v>42000.0</v>
      </c>
      <c r="K38" s="9">
        <v>42000.0</v>
      </c>
      <c r="L38" s="9">
        <v>42000.0</v>
      </c>
      <c r="M38" s="9">
        <v>42000.0</v>
      </c>
      <c r="N38" s="9">
        <v>42000.0</v>
      </c>
      <c r="O38" s="9">
        <v>42000.0</v>
      </c>
      <c r="P38" s="9">
        <v>42000.0</v>
      </c>
      <c r="Q38" s="9">
        <v>42000.0</v>
      </c>
      <c r="R38" s="9">
        <v>42000.0</v>
      </c>
      <c r="S38" s="9">
        <v>42000.0</v>
      </c>
      <c r="T38" s="9">
        <v>42000.0</v>
      </c>
      <c r="U38" s="9">
        <v>42000.0</v>
      </c>
      <c r="V38" s="9">
        <f t="shared" si="1"/>
        <v>504000</v>
      </c>
      <c r="W38" s="1"/>
      <c r="X38" s="1"/>
      <c r="Y38" s="1"/>
      <c r="Z38" s="1"/>
      <c r="AA38" s="1"/>
    </row>
    <row r="39">
      <c r="A39" s="7" t="s">
        <v>86</v>
      </c>
      <c r="B39" s="7" t="s">
        <v>99</v>
      </c>
      <c r="C39" s="7" t="s">
        <v>66</v>
      </c>
      <c r="D39" s="7" t="s">
        <v>67</v>
      </c>
      <c r="E39" s="7" t="s">
        <v>14</v>
      </c>
      <c r="F39" s="1" t="s">
        <v>74</v>
      </c>
      <c r="G39" s="1" t="s">
        <v>42</v>
      </c>
      <c r="H39" s="1" t="s">
        <v>174</v>
      </c>
      <c r="I39" s="1" t="s">
        <v>175</v>
      </c>
      <c r="J39" s="17">
        <v>744.0</v>
      </c>
      <c r="K39" s="17">
        <v>744.0</v>
      </c>
      <c r="L39" s="17">
        <v>744.0</v>
      </c>
      <c r="M39" s="17">
        <v>744.0</v>
      </c>
      <c r="N39" s="17">
        <v>744.0</v>
      </c>
      <c r="O39" s="17">
        <v>744.0</v>
      </c>
      <c r="P39" s="17">
        <v>744.0</v>
      </c>
      <c r="Q39" s="17">
        <v>744.0</v>
      </c>
      <c r="R39" s="17">
        <v>744.0</v>
      </c>
      <c r="S39" s="17">
        <v>744.0</v>
      </c>
      <c r="T39" s="17">
        <v>744.0</v>
      </c>
      <c r="U39" s="17">
        <v>744.0</v>
      </c>
      <c r="V39" s="9">
        <f t="shared" si="1"/>
        <v>8928</v>
      </c>
      <c r="W39" s="1"/>
      <c r="X39" s="1"/>
      <c r="Y39" s="1"/>
      <c r="Z39" s="1"/>
      <c r="AA39" s="1"/>
    </row>
    <row r="40">
      <c r="A40" s="7" t="s">
        <v>86</v>
      </c>
      <c r="B40" s="7" t="s">
        <v>99</v>
      </c>
      <c r="C40" s="7" t="s">
        <v>66</v>
      </c>
      <c r="D40" s="7" t="s">
        <v>67</v>
      </c>
      <c r="E40" s="7" t="s">
        <v>14</v>
      </c>
      <c r="F40" s="2" t="s">
        <v>74</v>
      </c>
      <c r="G40" s="2" t="s">
        <v>42</v>
      </c>
      <c r="H40" s="1" t="s">
        <v>176</v>
      </c>
      <c r="I40" s="1" t="s">
        <v>177</v>
      </c>
      <c r="J40" s="9">
        <v>65000.0</v>
      </c>
      <c r="K40" s="9">
        <v>65000.0</v>
      </c>
      <c r="L40" s="9">
        <v>65000.0</v>
      </c>
      <c r="M40" s="9">
        <v>65000.0</v>
      </c>
      <c r="N40" s="9">
        <v>65000.0</v>
      </c>
      <c r="O40" s="9">
        <v>65000.0</v>
      </c>
      <c r="P40" s="9">
        <v>65000.0</v>
      </c>
      <c r="Q40" s="12">
        <v>0.0</v>
      </c>
      <c r="R40" s="12">
        <v>0.0</v>
      </c>
      <c r="S40" s="12">
        <v>0.0</v>
      </c>
      <c r="T40" s="12">
        <v>0.0</v>
      </c>
      <c r="U40" s="12">
        <v>0.0</v>
      </c>
      <c r="V40" s="9">
        <f t="shared" si="1"/>
        <v>455000</v>
      </c>
      <c r="W40" s="1"/>
      <c r="X40" s="1"/>
      <c r="Y40" s="1"/>
      <c r="Z40" s="1"/>
      <c r="AA40" s="1"/>
    </row>
    <row r="41">
      <c r="A41" s="7" t="s">
        <v>86</v>
      </c>
      <c r="B41" s="7" t="s">
        <v>99</v>
      </c>
      <c r="C41" s="7" t="s">
        <v>66</v>
      </c>
      <c r="D41" s="7" t="s">
        <v>67</v>
      </c>
      <c r="E41" s="7" t="s">
        <v>14</v>
      </c>
      <c r="F41" s="2" t="s">
        <v>74</v>
      </c>
      <c r="G41" s="2" t="s">
        <v>42</v>
      </c>
      <c r="H41" s="1" t="s">
        <v>178</v>
      </c>
      <c r="I41" s="1" t="s">
        <v>179</v>
      </c>
      <c r="J41" s="9">
        <v>1200.0</v>
      </c>
      <c r="K41" s="9">
        <v>1200.0</v>
      </c>
      <c r="L41" s="9">
        <v>1200.0</v>
      </c>
      <c r="M41" s="9">
        <v>1200.0</v>
      </c>
      <c r="N41" s="9">
        <v>1200.0</v>
      </c>
      <c r="O41" s="9">
        <v>1200.0</v>
      </c>
      <c r="P41" s="9">
        <v>1200.0</v>
      </c>
      <c r="Q41" s="12">
        <v>0.0</v>
      </c>
      <c r="R41" s="12">
        <v>0.0</v>
      </c>
      <c r="S41" s="12">
        <v>0.0</v>
      </c>
      <c r="T41" s="12">
        <v>0.0</v>
      </c>
      <c r="U41" s="12">
        <v>0.0</v>
      </c>
      <c r="V41" s="9">
        <f t="shared" si="1"/>
        <v>8400</v>
      </c>
      <c r="W41" s="1"/>
      <c r="X41" s="1"/>
      <c r="Y41" s="1"/>
      <c r="Z41" s="1"/>
      <c r="AA41" s="1"/>
    </row>
    <row r="42">
      <c r="A42" s="7"/>
      <c r="B42" s="7"/>
      <c r="C42" s="7"/>
      <c r="D42" s="7"/>
      <c r="E42" s="7"/>
      <c r="F42" s="2"/>
      <c r="G42" s="7"/>
      <c r="H42" s="1"/>
      <c r="I42" s="1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</row>
    <row r="43">
      <c r="A43" s="2"/>
      <c r="B43" s="2"/>
      <c r="C43" s="2"/>
      <c r="D43" s="2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9">
        <f t="shared" ref="V43:V999" si="9">SUM(B43:U43)</f>
        <v>0</v>
      </c>
      <c r="W43" s="1"/>
      <c r="X43" s="1"/>
      <c r="Y43" s="1"/>
      <c r="Z43" s="1"/>
      <c r="AA43" s="1"/>
    </row>
    <row r="44">
      <c r="A44" s="2"/>
      <c r="B44" s="2"/>
      <c r="C44" s="2"/>
      <c r="D44" s="2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9">
        <f t="shared" si="9"/>
        <v>0</v>
      </c>
      <c r="W44" s="1"/>
      <c r="X44" s="1"/>
      <c r="Y44" s="1"/>
      <c r="Z44" s="1"/>
      <c r="AA44" s="1"/>
    </row>
    <row r="45">
      <c r="A45" s="2"/>
      <c r="B45" s="2"/>
      <c r="C45" s="2"/>
      <c r="D45" s="2"/>
      <c r="E45" s="2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9">
        <f t="shared" si="9"/>
        <v>0</v>
      </c>
      <c r="W45" s="1"/>
      <c r="X45" s="1"/>
      <c r="Y45" s="1"/>
      <c r="Z45" s="1"/>
      <c r="AA45" s="1"/>
    </row>
    <row r="46">
      <c r="A46" s="2"/>
      <c r="B46" s="2"/>
      <c r="C46" s="2"/>
      <c r="D46" s="2"/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9">
        <f t="shared" si="9"/>
        <v>0</v>
      </c>
      <c r="W46" s="1"/>
      <c r="X46" s="1"/>
      <c r="Y46" s="1"/>
      <c r="Z46" s="1"/>
      <c r="AA46" s="1"/>
    </row>
    <row r="47">
      <c r="A47" s="2"/>
      <c r="B47" s="2"/>
      <c r="C47" s="2"/>
      <c r="D47" s="2"/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>
        <f t="shared" si="9"/>
        <v>0</v>
      </c>
      <c r="W47" s="1"/>
      <c r="X47" s="1"/>
      <c r="Y47" s="1"/>
      <c r="Z47" s="1"/>
      <c r="AA47" s="1"/>
    </row>
    <row r="48">
      <c r="A48" s="2"/>
      <c r="B48" s="2"/>
      <c r="C48" s="2"/>
      <c r="D48" s="2"/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9">
        <f t="shared" si="9"/>
        <v>0</v>
      </c>
      <c r="W48" s="1"/>
      <c r="X48" s="1"/>
      <c r="Y48" s="1"/>
      <c r="Z48" s="1"/>
      <c r="AA48" s="1"/>
    </row>
    <row r="49">
      <c r="A49" s="2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9">
        <f t="shared" si="9"/>
        <v>0</v>
      </c>
      <c r="W49" s="1"/>
      <c r="X49" s="1"/>
      <c r="Y49" s="1"/>
      <c r="Z49" s="1"/>
      <c r="AA49" s="1"/>
    </row>
    <row r="50">
      <c r="A50" s="2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9">
        <f t="shared" si="9"/>
        <v>0</v>
      </c>
      <c r="W50" s="1"/>
      <c r="X50" s="1"/>
      <c r="Y50" s="1"/>
      <c r="Z50" s="1"/>
      <c r="AA50" s="1"/>
    </row>
    <row r="51">
      <c r="A51" s="2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>
        <f t="shared" si="9"/>
        <v>0</v>
      </c>
      <c r="W51" s="1"/>
      <c r="X51" s="1"/>
      <c r="Y51" s="1"/>
      <c r="Z51" s="1"/>
      <c r="AA51" s="1"/>
    </row>
    <row r="52">
      <c r="A52" s="2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>
        <f t="shared" si="9"/>
        <v>0</v>
      </c>
      <c r="W52" s="1"/>
      <c r="X52" s="1"/>
      <c r="Y52" s="1"/>
      <c r="Z52" s="1"/>
      <c r="AA52" s="1"/>
    </row>
    <row r="53">
      <c r="A53" s="2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>
        <f t="shared" si="9"/>
        <v>0</v>
      </c>
      <c r="W53" s="1"/>
      <c r="X53" s="1"/>
      <c r="Y53" s="1"/>
      <c r="Z53" s="1"/>
      <c r="AA53" s="1"/>
    </row>
    <row r="54">
      <c r="A54" s="2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9">
        <f t="shared" si="9"/>
        <v>0</v>
      </c>
      <c r="W54" s="1"/>
      <c r="X54" s="1"/>
      <c r="Y54" s="1"/>
      <c r="Z54" s="1"/>
      <c r="AA54" s="1"/>
    </row>
    <row r="55">
      <c r="A55" s="2"/>
      <c r="B55" s="2"/>
      <c r="C55" s="2"/>
      <c r="D55" s="2"/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>
        <f t="shared" si="9"/>
        <v>0</v>
      </c>
      <c r="W55" s="1"/>
      <c r="X55" s="1"/>
      <c r="Y55" s="1"/>
      <c r="Z55" s="1"/>
      <c r="AA55" s="1"/>
    </row>
    <row r="56">
      <c r="A56" s="2"/>
      <c r="B56" s="2"/>
      <c r="C56" s="2"/>
      <c r="D56" s="2"/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">
        <f t="shared" si="9"/>
        <v>0</v>
      </c>
      <c r="W56" s="1"/>
      <c r="X56" s="1"/>
      <c r="Y56" s="1"/>
      <c r="Z56" s="1"/>
      <c r="AA56" s="1"/>
    </row>
    <row r="57">
      <c r="A57" s="2"/>
      <c r="B57" s="2"/>
      <c r="C57" s="2"/>
      <c r="D57" s="2"/>
      <c r="E57" s="2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9">
        <f t="shared" si="9"/>
        <v>0</v>
      </c>
      <c r="W57" s="1"/>
      <c r="X57" s="1"/>
      <c r="Y57" s="1"/>
      <c r="Z57" s="1"/>
      <c r="AA57" s="1"/>
    </row>
    <row r="58">
      <c r="A58" s="2"/>
      <c r="B58" s="2"/>
      <c r="C58" s="2"/>
      <c r="D58" s="2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9">
        <f t="shared" si="9"/>
        <v>0</v>
      </c>
      <c r="W58" s="1"/>
      <c r="X58" s="1"/>
      <c r="Y58" s="1"/>
      <c r="Z58" s="1"/>
      <c r="AA58" s="1"/>
    </row>
    <row r="59">
      <c r="A59" s="2"/>
      <c r="B59" s="2"/>
      <c r="C59" s="2"/>
      <c r="D59" s="2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>
        <f t="shared" si="9"/>
        <v>0</v>
      </c>
      <c r="W59" s="1"/>
      <c r="X59" s="1"/>
      <c r="Y59" s="1"/>
      <c r="Z59" s="1"/>
      <c r="AA59" s="1"/>
    </row>
    <row r="60">
      <c r="A60" s="2"/>
      <c r="B60" s="2"/>
      <c r="C60" s="2"/>
      <c r="D60" s="2"/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9">
        <f t="shared" si="9"/>
        <v>0</v>
      </c>
      <c r="W60" s="1"/>
      <c r="X60" s="1"/>
      <c r="Y60" s="1"/>
      <c r="Z60" s="1"/>
      <c r="AA60" s="1"/>
    </row>
    <row r="61">
      <c r="A61" s="2"/>
      <c r="B61" s="2"/>
      <c r="C61" s="2"/>
      <c r="D61" s="2"/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9">
        <f t="shared" si="9"/>
        <v>0</v>
      </c>
      <c r="W61" s="1"/>
      <c r="X61" s="1"/>
      <c r="Y61" s="1"/>
      <c r="Z61" s="1"/>
      <c r="AA61" s="1"/>
    </row>
    <row r="62">
      <c r="A62" s="2"/>
      <c r="B62" s="2"/>
      <c r="C62" s="2"/>
      <c r="D62" s="2"/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>
        <f t="shared" si="9"/>
        <v>0</v>
      </c>
      <c r="W62" s="1"/>
      <c r="X62" s="1"/>
      <c r="Y62" s="1"/>
      <c r="Z62" s="1"/>
      <c r="AA62" s="1"/>
    </row>
    <row r="63">
      <c r="A63" s="2"/>
      <c r="B63" s="2"/>
      <c r="C63" s="2"/>
      <c r="D63" s="2"/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>
        <f t="shared" si="9"/>
        <v>0</v>
      </c>
      <c r="W63" s="1"/>
      <c r="X63" s="1"/>
      <c r="Y63" s="1"/>
      <c r="Z63" s="1"/>
      <c r="AA63" s="1"/>
    </row>
    <row r="64">
      <c r="A64" s="2"/>
      <c r="B64" s="2"/>
      <c r="C64" s="2"/>
      <c r="D64" s="2"/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">
        <f t="shared" si="9"/>
        <v>0</v>
      </c>
      <c r="W64" s="1"/>
      <c r="X64" s="1"/>
      <c r="Y64" s="1"/>
      <c r="Z64" s="1"/>
      <c r="AA64" s="1"/>
    </row>
    <row r="65">
      <c r="A65" s="2"/>
      <c r="B65" s="2"/>
      <c r="C65" s="2"/>
      <c r="D65" s="2"/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9">
        <f t="shared" si="9"/>
        <v>0</v>
      </c>
      <c r="W65" s="1"/>
      <c r="X65" s="1"/>
      <c r="Y65" s="1"/>
      <c r="Z65" s="1"/>
      <c r="AA65" s="1"/>
    </row>
    <row r="66">
      <c r="A66" s="2"/>
      <c r="B66" s="2"/>
      <c r="C66" s="2"/>
      <c r="D66" s="2"/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9">
        <f t="shared" si="9"/>
        <v>0</v>
      </c>
      <c r="W66" s="1"/>
      <c r="X66" s="1"/>
      <c r="Y66" s="1"/>
      <c r="Z66" s="1"/>
      <c r="AA66" s="1"/>
    </row>
    <row r="67">
      <c r="A67" s="2"/>
      <c r="B67" s="2"/>
      <c r="C67" s="2"/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9">
        <f t="shared" si="9"/>
        <v>0</v>
      </c>
      <c r="W67" s="1"/>
      <c r="X67" s="1"/>
      <c r="Y67" s="1"/>
      <c r="Z67" s="1"/>
      <c r="AA67" s="1"/>
    </row>
    <row r="68">
      <c r="A68" s="2"/>
      <c r="B68" s="2"/>
      <c r="C68" s="2"/>
      <c r="D68" s="2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9">
        <f t="shared" si="9"/>
        <v>0</v>
      </c>
      <c r="W68" s="1"/>
      <c r="X68" s="1"/>
      <c r="Y68" s="1"/>
      <c r="Z68" s="1"/>
      <c r="AA68" s="1"/>
    </row>
    <row r="69">
      <c r="A69" s="2"/>
      <c r="B69" s="2"/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9">
        <f t="shared" si="9"/>
        <v>0</v>
      </c>
      <c r="W69" s="1"/>
      <c r="X69" s="1"/>
      <c r="Y69" s="1"/>
      <c r="Z69" s="1"/>
      <c r="AA69" s="1"/>
    </row>
    <row r="70">
      <c r="A70" s="2"/>
      <c r="B70" s="2"/>
      <c r="C70" s="2"/>
      <c r="D70" s="2"/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9">
        <f t="shared" si="9"/>
        <v>0</v>
      </c>
      <c r="W70" s="1"/>
      <c r="X70" s="1"/>
      <c r="Y70" s="1"/>
      <c r="Z70" s="1"/>
      <c r="AA70" s="1"/>
    </row>
    <row r="71">
      <c r="A71" s="2"/>
      <c r="B71" s="2"/>
      <c r="C71" s="2"/>
      <c r="D71" s="2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>
        <f t="shared" si="9"/>
        <v>0</v>
      </c>
      <c r="W71" s="1"/>
      <c r="X71" s="1"/>
      <c r="Y71" s="1"/>
      <c r="Z71" s="1"/>
      <c r="AA71" s="1"/>
    </row>
    <row r="72">
      <c r="A72" s="2"/>
      <c r="B72" s="2"/>
      <c r="C72" s="2"/>
      <c r="D72" s="2"/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>
        <f t="shared" si="9"/>
        <v>0</v>
      </c>
      <c r="W72" s="1"/>
      <c r="X72" s="1"/>
      <c r="Y72" s="1"/>
      <c r="Z72" s="1"/>
      <c r="AA72" s="1"/>
    </row>
    <row r="73">
      <c r="A73" s="2"/>
      <c r="B73" s="2"/>
      <c r="C73" s="2"/>
      <c r="D73" s="2"/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9">
        <f t="shared" si="9"/>
        <v>0</v>
      </c>
      <c r="W73" s="1"/>
      <c r="X73" s="1"/>
      <c r="Y73" s="1"/>
      <c r="Z73" s="1"/>
      <c r="AA73" s="1"/>
    </row>
    <row r="74">
      <c r="A74" s="2"/>
      <c r="B74" s="2"/>
      <c r="C74" s="2"/>
      <c r="D74" s="2"/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9">
        <f t="shared" si="9"/>
        <v>0</v>
      </c>
      <c r="W74" s="1"/>
      <c r="X74" s="1"/>
      <c r="Y74" s="1"/>
      <c r="Z74" s="1"/>
      <c r="AA74" s="1"/>
    </row>
    <row r="75">
      <c r="A75" s="2"/>
      <c r="B75" s="2"/>
      <c r="C75" s="2"/>
      <c r="D75" s="2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9">
        <f t="shared" si="9"/>
        <v>0</v>
      </c>
      <c r="W75" s="1"/>
      <c r="X75" s="1"/>
      <c r="Y75" s="1"/>
      <c r="Z75" s="1"/>
      <c r="AA75" s="1"/>
    </row>
    <row r="76">
      <c r="A76" s="2"/>
      <c r="B76" s="2"/>
      <c r="C76" s="2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9">
        <f t="shared" si="9"/>
        <v>0</v>
      </c>
      <c r="W76" s="1"/>
      <c r="X76" s="1"/>
      <c r="Y76" s="1"/>
      <c r="Z76" s="1"/>
      <c r="AA76" s="1"/>
    </row>
    <row r="77">
      <c r="A77" s="2"/>
      <c r="B77" s="2"/>
      <c r="C77" s="2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9">
        <f t="shared" si="9"/>
        <v>0</v>
      </c>
      <c r="W77" s="1"/>
      <c r="X77" s="1"/>
      <c r="Y77" s="1"/>
      <c r="Z77" s="1"/>
      <c r="AA77" s="1"/>
    </row>
    <row r="78">
      <c r="A78" s="2"/>
      <c r="B78" s="2"/>
      <c r="C78" s="2"/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9">
        <f t="shared" si="9"/>
        <v>0</v>
      </c>
      <c r="W78" s="1"/>
      <c r="X78" s="1"/>
      <c r="Y78" s="1"/>
      <c r="Z78" s="1"/>
      <c r="AA78" s="1"/>
    </row>
    <row r="79">
      <c r="A79" s="2"/>
      <c r="B79" s="2"/>
      <c r="C79" s="2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9">
        <f t="shared" si="9"/>
        <v>0</v>
      </c>
      <c r="W79" s="1"/>
      <c r="X79" s="1"/>
      <c r="Y79" s="1"/>
      <c r="Z79" s="1"/>
      <c r="AA79" s="1"/>
    </row>
    <row r="80">
      <c r="A80" s="2"/>
      <c r="B80" s="2"/>
      <c r="C80" s="2"/>
      <c r="D80" s="2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9">
        <f t="shared" si="9"/>
        <v>0</v>
      </c>
      <c r="W80" s="1"/>
      <c r="X80" s="1"/>
      <c r="Y80" s="1"/>
      <c r="Z80" s="1"/>
      <c r="AA80" s="1"/>
    </row>
    <row r="81">
      <c r="A81" s="2"/>
      <c r="B81" s="2"/>
      <c r="C81" s="2"/>
      <c r="D81" s="2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9">
        <f t="shared" si="9"/>
        <v>0</v>
      </c>
      <c r="W81" s="1"/>
      <c r="X81" s="1"/>
      <c r="Y81" s="1"/>
      <c r="Z81" s="1"/>
      <c r="AA81" s="1"/>
    </row>
    <row r="82">
      <c r="A82" s="2"/>
      <c r="B82" s="2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9">
        <f t="shared" si="9"/>
        <v>0</v>
      </c>
      <c r="W82" s="1"/>
      <c r="X82" s="1"/>
      <c r="Y82" s="1"/>
      <c r="Z82" s="1"/>
      <c r="AA82" s="1"/>
    </row>
    <row r="83">
      <c r="A83" s="2"/>
      <c r="B83" s="2"/>
      <c r="C83" s="2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9">
        <f t="shared" si="9"/>
        <v>0</v>
      </c>
      <c r="W83" s="1"/>
      <c r="X83" s="1"/>
      <c r="Y83" s="1"/>
      <c r="Z83" s="1"/>
      <c r="AA83" s="1"/>
    </row>
    <row r="84">
      <c r="A84" s="2"/>
      <c r="B84" s="2"/>
      <c r="C84" s="2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9">
        <f t="shared" si="9"/>
        <v>0</v>
      </c>
      <c r="W84" s="1"/>
      <c r="X84" s="1"/>
      <c r="Y84" s="1"/>
      <c r="Z84" s="1"/>
      <c r="AA84" s="1"/>
    </row>
    <row r="85">
      <c r="A85" s="2"/>
      <c r="B85" s="2"/>
      <c r="C85" s="2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9">
        <f t="shared" si="9"/>
        <v>0</v>
      </c>
      <c r="W85" s="1"/>
      <c r="X85" s="1"/>
      <c r="Y85" s="1"/>
      <c r="Z85" s="1"/>
      <c r="AA85" s="1"/>
    </row>
    <row r="86">
      <c r="A86" s="2"/>
      <c r="B86" s="2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9">
        <f t="shared" si="9"/>
        <v>0</v>
      </c>
      <c r="W86" s="1"/>
      <c r="X86" s="1"/>
      <c r="Y86" s="1"/>
      <c r="Z86" s="1"/>
      <c r="AA86" s="1"/>
    </row>
    <row r="87">
      <c r="A87" s="2"/>
      <c r="B87" s="2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9">
        <f t="shared" si="9"/>
        <v>0</v>
      </c>
      <c r="W87" s="1"/>
      <c r="X87" s="1"/>
      <c r="Y87" s="1"/>
      <c r="Z87" s="1"/>
      <c r="AA87" s="1"/>
    </row>
    <row r="88">
      <c r="A88" s="2"/>
      <c r="B88" s="2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9">
        <f t="shared" si="9"/>
        <v>0</v>
      </c>
      <c r="W88" s="1"/>
      <c r="X88" s="1"/>
      <c r="Y88" s="1"/>
      <c r="Z88" s="1"/>
      <c r="AA88" s="1"/>
    </row>
    <row r="89">
      <c r="A89" s="2"/>
      <c r="B89" s="2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9">
        <f t="shared" si="9"/>
        <v>0</v>
      </c>
      <c r="W89" s="1"/>
      <c r="X89" s="1"/>
      <c r="Y89" s="1"/>
      <c r="Z89" s="1"/>
      <c r="AA89" s="1"/>
    </row>
    <row r="90">
      <c r="A90" s="2"/>
      <c r="B90" s="2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9">
        <f t="shared" si="9"/>
        <v>0</v>
      </c>
      <c r="W90" s="1"/>
      <c r="X90" s="1"/>
      <c r="Y90" s="1"/>
      <c r="Z90" s="1"/>
      <c r="AA90" s="1"/>
    </row>
    <row r="91">
      <c r="A91" s="2"/>
      <c r="B91" s="2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9">
        <f t="shared" si="9"/>
        <v>0</v>
      </c>
      <c r="W91" s="1"/>
      <c r="X91" s="1"/>
      <c r="Y91" s="1"/>
      <c r="Z91" s="1"/>
      <c r="AA91" s="1"/>
    </row>
    <row r="92">
      <c r="A92" s="2"/>
      <c r="B92" s="2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9">
        <f t="shared" si="9"/>
        <v>0</v>
      </c>
      <c r="W92" s="1"/>
      <c r="X92" s="1"/>
      <c r="Y92" s="1"/>
      <c r="Z92" s="1"/>
      <c r="AA92" s="1"/>
    </row>
    <row r="93">
      <c r="A93" s="2"/>
      <c r="B93" s="2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9">
        <f t="shared" si="9"/>
        <v>0</v>
      </c>
      <c r="W93" s="1"/>
      <c r="X93" s="1"/>
      <c r="Y93" s="1"/>
      <c r="Z93" s="1"/>
      <c r="AA93" s="1"/>
    </row>
    <row r="94">
      <c r="A94" s="2"/>
      <c r="B94" s="2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9">
        <f t="shared" si="9"/>
        <v>0</v>
      </c>
      <c r="W94" s="1"/>
      <c r="X94" s="1"/>
      <c r="Y94" s="1"/>
      <c r="Z94" s="1"/>
      <c r="AA94" s="1"/>
    </row>
    <row r="95">
      <c r="A95" s="2"/>
      <c r="B95" s="2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9">
        <f t="shared" si="9"/>
        <v>0</v>
      </c>
      <c r="W95" s="1"/>
      <c r="X95" s="1"/>
      <c r="Y95" s="1"/>
      <c r="Z95" s="1"/>
      <c r="AA95" s="1"/>
    </row>
    <row r="96">
      <c r="A96" s="2"/>
      <c r="B96" s="2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9">
        <f t="shared" si="9"/>
        <v>0</v>
      </c>
      <c r="W96" s="1"/>
      <c r="X96" s="1"/>
      <c r="Y96" s="1"/>
      <c r="Z96" s="1"/>
      <c r="AA96" s="1"/>
    </row>
    <row r="97">
      <c r="A97" s="2"/>
      <c r="B97" s="2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9">
        <f t="shared" si="9"/>
        <v>0</v>
      </c>
      <c r="W97" s="1"/>
      <c r="X97" s="1"/>
      <c r="Y97" s="1"/>
      <c r="Z97" s="1"/>
      <c r="AA97" s="1"/>
    </row>
    <row r="98">
      <c r="A98" s="2"/>
      <c r="B98" s="2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9">
        <f t="shared" si="9"/>
        <v>0</v>
      </c>
      <c r="W98" s="1"/>
      <c r="X98" s="1"/>
      <c r="Y98" s="1"/>
      <c r="Z98" s="1"/>
      <c r="AA98" s="1"/>
    </row>
    <row r="99">
      <c r="A99" s="2"/>
      <c r="B99" s="2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9">
        <f t="shared" si="9"/>
        <v>0</v>
      </c>
      <c r="W99" s="1"/>
      <c r="X99" s="1"/>
      <c r="Y99" s="1"/>
      <c r="Z99" s="1"/>
      <c r="AA99" s="1"/>
    </row>
    <row r="100">
      <c r="A100" s="2"/>
      <c r="B100" s="2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9">
        <f t="shared" si="9"/>
        <v>0</v>
      </c>
      <c r="W100" s="1"/>
      <c r="X100" s="1"/>
      <c r="Y100" s="1"/>
      <c r="Z100" s="1"/>
      <c r="AA100" s="1"/>
    </row>
    <row r="101">
      <c r="A101" s="2"/>
      <c r="B101" s="2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9">
        <f t="shared" si="9"/>
        <v>0</v>
      </c>
      <c r="W101" s="1"/>
      <c r="X101" s="1"/>
      <c r="Y101" s="1"/>
      <c r="Z101" s="1"/>
      <c r="AA101" s="1"/>
    </row>
    <row r="102">
      <c r="A102" s="2"/>
      <c r="B102" s="2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9">
        <f t="shared" si="9"/>
        <v>0</v>
      </c>
      <c r="W102" s="1"/>
      <c r="X102" s="1"/>
      <c r="Y102" s="1"/>
      <c r="Z102" s="1"/>
      <c r="AA102" s="1"/>
    </row>
    <row r="103">
      <c r="A103" s="2"/>
      <c r="B103" s="2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9">
        <f t="shared" si="9"/>
        <v>0</v>
      </c>
      <c r="W103" s="1"/>
      <c r="X103" s="1"/>
      <c r="Y103" s="1"/>
      <c r="Z103" s="1"/>
      <c r="AA103" s="1"/>
    </row>
    <row r="104">
      <c r="A104" s="2"/>
      <c r="B104" s="2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9">
        <f t="shared" si="9"/>
        <v>0</v>
      </c>
      <c r="W104" s="1"/>
      <c r="X104" s="1"/>
      <c r="Y104" s="1"/>
      <c r="Z104" s="1"/>
      <c r="AA104" s="1"/>
    </row>
    <row r="105">
      <c r="A105" s="2"/>
      <c r="B105" s="2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9">
        <f t="shared" si="9"/>
        <v>0</v>
      </c>
      <c r="W105" s="1"/>
      <c r="X105" s="1"/>
      <c r="Y105" s="1"/>
      <c r="Z105" s="1"/>
      <c r="AA105" s="1"/>
    </row>
    <row r="106">
      <c r="A106" s="2"/>
      <c r="B106" s="2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9">
        <f t="shared" si="9"/>
        <v>0</v>
      </c>
      <c r="W106" s="1"/>
      <c r="X106" s="1"/>
      <c r="Y106" s="1"/>
      <c r="Z106" s="1"/>
      <c r="AA106" s="1"/>
    </row>
    <row r="107">
      <c r="A107" s="2"/>
      <c r="B107" s="2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9">
        <f t="shared" si="9"/>
        <v>0</v>
      </c>
      <c r="W107" s="1"/>
      <c r="X107" s="1"/>
      <c r="Y107" s="1"/>
      <c r="Z107" s="1"/>
      <c r="AA107" s="1"/>
    </row>
    <row r="108">
      <c r="A108" s="2"/>
      <c r="B108" s="2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9">
        <f t="shared" si="9"/>
        <v>0</v>
      </c>
      <c r="W108" s="1"/>
      <c r="X108" s="1"/>
      <c r="Y108" s="1"/>
      <c r="Z108" s="1"/>
      <c r="AA108" s="1"/>
    </row>
    <row r="109">
      <c r="A109" s="2"/>
      <c r="B109" s="2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9">
        <f t="shared" si="9"/>
        <v>0</v>
      </c>
      <c r="W109" s="1"/>
      <c r="X109" s="1"/>
      <c r="Y109" s="1"/>
      <c r="Z109" s="1"/>
      <c r="AA109" s="1"/>
    </row>
    <row r="110">
      <c r="A110" s="2"/>
      <c r="B110" s="2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9">
        <f t="shared" si="9"/>
        <v>0</v>
      </c>
      <c r="W110" s="1"/>
      <c r="X110" s="1"/>
      <c r="Y110" s="1"/>
      <c r="Z110" s="1"/>
      <c r="AA110" s="1"/>
    </row>
    <row r="111">
      <c r="A111" s="2"/>
      <c r="B111" s="2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9">
        <f t="shared" si="9"/>
        <v>0</v>
      </c>
      <c r="W111" s="1"/>
      <c r="X111" s="1"/>
      <c r="Y111" s="1"/>
      <c r="Z111" s="1"/>
      <c r="AA111" s="1"/>
    </row>
    <row r="112">
      <c r="A112" s="2"/>
      <c r="B112" s="2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9">
        <f t="shared" si="9"/>
        <v>0</v>
      </c>
      <c r="W112" s="1"/>
      <c r="X112" s="1"/>
      <c r="Y112" s="1"/>
      <c r="Z112" s="1"/>
      <c r="AA112" s="1"/>
    </row>
    <row r="113">
      <c r="A113" s="2"/>
      <c r="B113" s="2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9">
        <f t="shared" si="9"/>
        <v>0</v>
      </c>
      <c r="W113" s="1"/>
      <c r="X113" s="1"/>
      <c r="Y113" s="1"/>
      <c r="Z113" s="1"/>
      <c r="AA113" s="1"/>
    </row>
    <row r="114">
      <c r="A114" s="2"/>
      <c r="B114" s="2"/>
      <c r="C114" s="2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9">
        <f t="shared" si="9"/>
        <v>0</v>
      </c>
      <c r="W114" s="1"/>
      <c r="X114" s="1"/>
      <c r="Y114" s="1"/>
      <c r="Z114" s="1"/>
      <c r="AA114" s="1"/>
    </row>
    <row r="115">
      <c r="A115" s="2"/>
      <c r="B115" s="2"/>
      <c r="C115" s="2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9">
        <f t="shared" si="9"/>
        <v>0</v>
      </c>
      <c r="W115" s="1"/>
      <c r="X115" s="1"/>
      <c r="Y115" s="1"/>
      <c r="Z115" s="1"/>
      <c r="AA115" s="1"/>
    </row>
    <row r="116">
      <c r="A116" s="2"/>
      <c r="B116" s="2"/>
      <c r="C116" s="2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9">
        <f t="shared" si="9"/>
        <v>0</v>
      </c>
      <c r="W116" s="1"/>
      <c r="X116" s="1"/>
      <c r="Y116" s="1"/>
      <c r="Z116" s="1"/>
      <c r="AA116" s="1"/>
    </row>
    <row r="117">
      <c r="A117" s="2"/>
      <c r="B117" s="2"/>
      <c r="C117" s="2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9">
        <f t="shared" si="9"/>
        <v>0</v>
      </c>
      <c r="W117" s="1"/>
      <c r="X117" s="1"/>
      <c r="Y117" s="1"/>
      <c r="Z117" s="1"/>
      <c r="AA117" s="1"/>
    </row>
    <row r="118">
      <c r="A118" s="2"/>
      <c r="B118" s="2"/>
      <c r="C118" s="2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9">
        <f t="shared" si="9"/>
        <v>0</v>
      </c>
      <c r="W118" s="1"/>
      <c r="X118" s="1"/>
      <c r="Y118" s="1"/>
      <c r="Z118" s="1"/>
      <c r="AA118" s="1"/>
    </row>
    <row r="119">
      <c r="A119" s="2"/>
      <c r="B119" s="2"/>
      <c r="C119" s="2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9">
        <f t="shared" si="9"/>
        <v>0</v>
      </c>
      <c r="W119" s="1"/>
      <c r="X119" s="1"/>
      <c r="Y119" s="1"/>
      <c r="Z119" s="1"/>
      <c r="AA119" s="1"/>
    </row>
    <row r="120">
      <c r="A120" s="2"/>
      <c r="B120" s="2"/>
      <c r="C120" s="2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9">
        <f t="shared" si="9"/>
        <v>0</v>
      </c>
      <c r="W120" s="1"/>
      <c r="X120" s="1"/>
      <c r="Y120" s="1"/>
      <c r="Z120" s="1"/>
      <c r="AA120" s="1"/>
    </row>
    <row r="121">
      <c r="A121" s="2"/>
      <c r="B121" s="2"/>
      <c r="C121" s="2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9">
        <f t="shared" si="9"/>
        <v>0</v>
      </c>
      <c r="W121" s="1"/>
      <c r="X121" s="1"/>
      <c r="Y121" s="1"/>
      <c r="Z121" s="1"/>
      <c r="AA121" s="1"/>
    </row>
    <row r="122">
      <c r="A122" s="2"/>
      <c r="B122" s="2"/>
      <c r="C122" s="2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9">
        <f t="shared" si="9"/>
        <v>0</v>
      </c>
      <c r="W122" s="1"/>
      <c r="X122" s="1"/>
      <c r="Y122" s="1"/>
      <c r="Z122" s="1"/>
      <c r="AA122" s="1"/>
    </row>
    <row r="123">
      <c r="A123" s="2"/>
      <c r="B123" s="2"/>
      <c r="C123" s="2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9">
        <f t="shared" si="9"/>
        <v>0</v>
      </c>
      <c r="W123" s="1"/>
      <c r="X123" s="1"/>
      <c r="Y123" s="1"/>
      <c r="Z123" s="1"/>
      <c r="AA123" s="1"/>
    </row>
    <row r="124">
      <c r="A124" s="2"/>
      <c r="B124" s="2"/>
      <c r="C124" s="2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9">
        <f t="shared" si="9"/>
        <v>0</v>
      </c>
      <c r="W124" s="1"/>
      <c r="X124" s="1"/>
      <c r="Y124" s="1"/>
      <c r="Z124" s="1"/>
      <c r="AA124" s="1"/>
    </row>
    <row r="125">
      <c r="A125" s="2"/>
      <c r="B125" s="2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9">
        <f t="shared" si="9"/>
        <v>0</v>
      </c>
      <c r="W125" s="1"/>
      <c r="X125" s="1"/>
      <c r="Y125" s="1"/>
      <c r="Z125" s="1"/>
      <c r="AA125" s="1"/>
    </row>
    <row r="126">
      <c r="A126" s="2"/>
      <c r="B126" s="2"/>
      <c r="C126" s="2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9">
        <f t="shared" si="9"/>
        <v>0</v>
      </c>
      <c r="W126" s="1"/>
      <c r="X126" s="1"/>
      <c r="Y126" s="1"/>
      <c r="Z126" s="1"/>
      <c r="AA126" s="1"/>
    </row>
    <row r="127">
      <c r="A127" s="2"/>
      <c r="B127" s="2"/>
      <c r="C127" s="2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9">
        <f t="shared" si="9"/>
        <v>0</v>
      </c>
      <c r="W127" s="1"/>
      <c r="X127" s="1"/>
      <c r="Y127" s="1"/>
      <c r="Z127" s="1"/>
      <c r="AA127" s="1"/>
    </row>
    <row r="128">
      <c r="A128" s="2"/>
      <c r="B128" s="2"/>
      <c r="C128" s="2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9">
        <f t="shared" si="9"/>
        <v>0</v>
      </c>
      <c r="W128" s="1"/>
      <c r="X128" s="1"/>
      <c r="Y128" s="1"/>
      <c r="Z128" s="1"/>
      <c r="AA128" s="1"/>
    </row>
    <row r="129">
      <c r="A129" s="2"/>
      <c r="B129" s="2"/>
      <c r="C129" s="2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9">
        <f t="shared" si="9"/>
        <v>0</v>
      </c>
      <c r="W129" s="1"/>
      <c r="X129" s="1"/>
      <c r="Y129" s="1"/>
      <c r="Z129" s="1"/>
      <c r="AA129" s="1"/>
    </row>
    <row r="130">
      <c r="A130" s="2"/>
      <c r="B130" s="2"/>
      <c r="C130" s="2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9">
        <f t="shared" si="9"/>
        <v>0</v>
      </c>
      <c r="W130" s="1"/>
      <c r="X130" s="1"/>
      <c r="Y130" s="1"/>
      <c r="Z130" s="1"/>
      <c r="AA130" s="1"/>
    </row>
    <row r="131">
      <c r="A131" s="2"/>
      <c r="B131" s="2"/>
      <c r="C131" s="2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9">
        <f t="shared" si="9"/>
        <v>0</v>
      </c>
      <c r="W131" s="1"/>
      <c r="X131" s="1"/>
      <c r="Y131" s="1"/>
      <c r="Z131" s="1"/>
      <c r="AA131" s="1"/>
    </row>
    <row r="132">
      <c r="A132" s="2"/>
      <c r="B132" s="2"/>
      <c r="C132" s="2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9">
        <f t="shared" si="9"/>
        <v>0</v>
      </c>
      <c r="W132" s="1"/>
      <c r="X132" s="1"/>
      <c r="Y132" s="1"/>
      <c r="Z132" s="1"/>
      <c r="AA132" s="1"/>
    </row>
    <row r="133">
      <c r="A133" s="2"/>
      <c r="B133" s="2"/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9">
        <f t="shared" si="9"/>
        <v>0</v>
      </c>
      <c r="W133" s="1"/>
      <c r="X133" s="1"/>
      <c r="Y133" s="1"/>
      <c r="Z133" s="1"/>
      <c r="AA133" s="1"/>
    </row>
    <row r="134">
      <c r="A134" s="2"/>
      <c r="B134" s="2"/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9">
        <f t="shared" si="9"/>
        <v>0</v>
      </c>
      <c r="W134" s="1"/>
      <c r="X134" s="1"/>
      <c r="Y134" s="1"/>
      <c r="Z134" s="1"/>
      <c r="AA134" s="1"/>
    </row>
    <row r="135">
      <c r="A135" s="2"/>
      <c r="B135" s="2"/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9">
        <f t="shared" si="9"/>
        <v>0</v>
      </c>
      <c r="W135" s="1"/>
      <c r="X135" s="1"/>
      <c r="Y135" s="1"/>
      <c r="Z135" s="1"/>
      <c r="AA135" s="1"/>
    </row>
    <row r="136">
      <c r="A136" s="2"/>
      <c r="B136" s="2"/>
      <c r="C136" s="2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9">
        <f t="shared" si="9"/>
        <v>0</v>
      </c>
      <c r="W136" s="1"/>
      <c r="X136" s="1"/>
      <c r="Y136" s="1"/>
      <c r="Z136" s="1"/>
      <c r="AA136" s="1"/>
    </row>
    <row r="137">
      <c r="A137" s="2"/>
      <c r="B137" s="2"/>
      <c r="C137" s="2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9">
        <f t="shared" si="9"/>
        <v>0</v>
      </c>
      <c r="W137" s="1"/>
      <c r="X137" s="1"/>
      <c r="Y137" s="1"/>
      <c r="Z137" s="1"/>
      <c r="AA137" s="1"/>
    </row>
    <row r="138">
      <c r="A138" s="2"/>
      <c r="B138" s="2"/>
      <c r="C138" s="2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9">
        <f t="shared" si="9"/>
        <v>0</v>
      </c>
      <c r="W138" s="1"/>
      <c r="X138" s="1"/>
      <c r="Y138" s="1"/>
      <c r="Z138" s="1"/>
      <c r="AA138" s="1"/>
    </row>
    <row r="139">
      <c r="A139" s="2"/>
      <c r="B139" s="2"/>
      <c r="C139" s="2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9">
        <f t="shared" si="9"/>
        <v>0</v>
      </c>
      <c r="W139" s="1"/>
      <c r="X139" s="1"/>
      <c r="Y139" s="1"/>
      <c r="Z139" s="1"/>
      <c r="AA139" s="1"/>
    </row>
    <row r="140">
      <c r="A140" s="2"/>
      <c r="B140" s="2"/>
      <c r="C140" s="2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9">
        <f t="shared" si="9"/>
        <v>0</v>
      </c>
      <c r="W140" s="1"/>
      <c r="X140" s="1"/>
      <c r="Y140" s="1"/>
      <c r="Z140" s="1"/>
      <c r="AA140" s="1"/>
    </row>
    <row r="141">
      <c r="A141" s="2"/>
      <c r="B141" s="2"/>
      <c r="C141" s="2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9">
        <f t="shared" si="9"/>
        <v>0</v>
      </c>
      <c r="W141" s="1"/>
      <c r="X141" s="1"/>
      <c r="Y141" s="1"/>
      <c r="Z141" s="1"/>
      <c r="AA141" s="1"/>
    </row>
    <row r="142">
      <c r="A142" s="2"/>
      <c r="B142" s="2"/>
      <c r="C142" s="2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9">
        <f t="shared" si="9"/>
        <v>0</v>
      </c>
      <c r="W142" s="1"/>
      <c r="X142" s="1"/>
      <c r="Y142" s="1"/>
      <c r="Z142" s="1"/>
      <c r="AA142" s="1"/>
    </row>
    <row r="143">
      <c r="A143" s="2"/>
      <c r="B143" s="2"/>
      <c r="C143" s="2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9">
        <f t="shared" si="9"/>
        <v>0</v>
      </c>
      <c r="W143" s="1"/>
      <c r="X143" s="1"/>
      <c r="Y143" s="1"/>
      <c r="Z143" s="1"/>
      <c r="AA143" s="1"/>
    </row>
    <row r="144">
      <c r="A144" s="2"/>
      <c r="B144" s="2"/>
      <c r="C144" s="2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9">
        <f t="shared" si="9"/>
        <v>0</v>
      </c>
      <c r="W144" s="1"/>
      <c r="X144" s="1"/>
      <c r="Y144" s="1"/>
      <c r="Z144" s="1"/>
      <c r="AA144" s="1"/>
    </row>
    <row r="145">
      <c r="A145" s="2"/>
      <c r="B145" s="2"/>
      <c r="C145" s="2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9">
        <f t="shared" si="9"/>
        <v>0</v>
      </c>
      <c r="W145" s="1"/>
      <c r="X145" s="1"/>
      <c r="Y145" s="1"/>
      <c r="Z145" s="1"/>
      <c r="AA145" s="1"/>
    </row>
    <row r="146">
      <c r="A146" s="2"/>
      <c r="B146" s="2"/>
      <c r="C146" s="2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9">
        <f t="shared" si="9"/>
        <v>0</v>
      </c>
      <c r="W146" s="1"/>
      <c r="X146" s="1"/>
      <c r="Y146" s="1"/>
      <c r="Z146" s="1"/>
      <c r="AA146" s="1"/>
    </row>
    <row r="147">
      <c r="A147" s="2"/>
      <c r="B147" s="2"/>
      <c r="C147" s="2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9">
        <f t="shared" si="9"/>
        <v>0</v>
      </c>
      <c r="W147" s="1"/>
      <c r="X147" s="1"/>
      <c r="Y147" s="1"/>
      <c r="Z147" s="1"/>
      <c r="AA147" s="1"/>
    </row>
    <row r="148">
      <c r="A148" s="2"/>
      <c r="B148" s="2"/>
      <c r="C148" s="2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9">
        <f t="shared" si="9"/>
        <v>0</v>
      </c>
      <c r="W148" s="1"/>
      <c r="X148" s="1"/>
      <c r="Y148" s="1"/>
      <c r="Z148" s="1"/>
      <c r="AA148" s="1"/>
    </row>
    <row r="149">
      <c r="A149" s="2"/>
      <c r="B149" s="2"/>
      <c r="C149" s="2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9">
        <f t="shared" si="9"/>
        <v>0</v>
      </c>
      <c r="W149" s="1"/>
      <c r="X149" s="1"/>
      <c r="Y149" s="1"/>
      <c r="Z149" s="1"/>
      <c r="AA149" s="1"/>
    </row>
    <row r="150">
      <c r="A150" s="2"/>
      <c r="B150" s="2"/>
      <c r="C150" s="2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9">
        <f t="shared" si="9"/>
        <v>0</v>
      </c>
      <c r="W150" s="1"/>
      <c r="X150" s="1"/>
      <c r="Y150" s="1"/>
      <c r="Z150" s="1"/>
      <c r="AA150" s="1"/>
    </row>
    <row r="151">
      <c r="A151" s="2"/>
      <c r="B151" s="2"/>
      <c r="C151" s="2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9">
        <f t="shared" si="9"/>
        <v>0</v>
      </c>
      <c r="W151" s="1"/>
      <c r="X151" s="1"/>
      <c r="Y151" s="1"/>
      <c r="Z151" s="1"/>
      <c r="AA151" s="1"/>
    </row>
    <row r="152">
      <c r="A152" s="2"/>
      <c r="B152" s="2"/>
      <c r="C152" s="2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9">
        <f t="shared" si="9"/>
        <v>0</v>
      </c>
      <c r="W152" s="1"/>
      <c r="X152" s="1"/>
      <c r="Y152" s="1"/>
      <c r="Z152" s="1"/>
      <c r="AA152" s="1"/>
    </row>
    <row r="153">
      <c r="A153" s="2"/>
      <c r="B153" s="2"/>
      <c r="C153" s="2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9">
        <f t="shared" si="9"/>
        <v>0</v>
      </c>
      <c r="W153" s="1"/>
      <c r="X153" s="1"/>
      <c r="Y153" s="1"/>
      <c r="Z153" s="1"/>
      <c r="AA153" s="1"/>
    </row>
    <row r="154">
      <c r="A154" s="2"/>
      <c r="B154" s="2"/>
      <c r="C154" s="2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9">
        <f t="shared" si="9"/>
        <v>0</v>
      </c>
      <c r="W154" s="1"/>
      <c r="X154" s="1"/>
      <c r="Y154" s="1"/>
      <c r="Z154" s="1"/>
      <c r="AA154" s="1"/>
    </row>
    <row r="155">
      <c r="A155" s="2"/>
      <c r="B155" s="2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9">
        <f t="shared" si="9"/>
        <v>0</v>
      </c>
      <c r="W155" s="1"/>
      <c r="X155" s="1"/>
      <c r="Y155" s="1"/>
      <c r="Z155" s="1"/>
      <c r="AA155" s="1"/>
    </row>
    <row r="156">
      <c r="A156" s="2"/>
      <c r="B156" s="2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9">
        <f t="shared" si="9"/>
        <v>0</v>
      </c>
      <c r="W156" s="1"/>
      <c r="X156" s="1"/>
      <c r="Y156" s="1"/>
      <c r="Z156" s="1"/>
      <c r="AA156" s="1"/>
    </row>
    <row r="157">
      <c r="A157" s="2"/>
      <c r="B157" s="2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9">
        <f t="shared" si="9"/>
        <v>0</v>
      </c>
      <c r="W157" s="1"/>
      <c r="X157" s="1"/>
      <c r="Y157" s="1"/>
      <c r="Z157" s="1"/>
      <c r="AA157" s="1"/>
    </row>
    <row r="158">
      <c r="A158" s="2"/>
      <c r="B158" s="2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9">
        <f t="shared" si="9"/>
        <v>0</v>
      </c>
      <c r="W158" s="1"/>
      <c r="X158" s="1"/>
      <c r="Y158" s="1"/>
      <c r="Z158" s="1"/>
      <c r="AA158" s="1"/>
    </row>
    <row r="159">
      <c r="A159" s="2"/>
      <c r="B159" s="2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9">
        <f t="shared" si="9"/>
        <v>0</v>
      </c>
      <c r="W159" s="1"/>
      <c r="X159" s="1"/>
      <c r="Y159" s="1"/>
      <c r="Z159" s="1"/>
      <c r="AA159" s="1"/>
    </row>
    <row r="160">
      <c r="A160" s="2"/>
      <c r="B160" s="2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9">
        <f t="shared" si="9"/>
        <v>0</v>
      </c>
      <c r="W160" s="1"/>
      <c r="X160" s="1"/>
      <c r="Y160" s="1"/>
      <c r="Z160" s="1"/>
      <c r="AA160" s="1"/>
    </row>
    <row r="161">
      <c r="A161" s="2"/>
      <c r="B161" s="2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9">
        <f t="shared" si="9"/>
        <v>0</v>
      </c>
      <c r="W161" s="1"/>
      <c r="X161" s="1"/>
      <c r="Y161" s="1"/>
      <c r="Z161" s="1"/>
      <c r="AA161" s="1"/>
    </row>
    <row r="162">
      <c r="A162" s="2"/>
      <c r="B162" s="2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9">
        <f t="shared" si="9"/>
        <v>0</v>
      </c>
      <c r="W162" s="1"/>
      <c r="X162" s="1"/>
      <c r="Y162" s="1"/>
      <c r="Z162" s="1"/>
      <c r="AA162" s="1"/>
    </row>
    <row r="163">
      <c r="A163" s="2"/>
      <c r="B163" s="2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9">
        <f t="shared" si="9"/>
        <v>0</v>
      </c>
      <c r="W163" s="1"/>
      <c r="X163" s="1"/>
      <c r="Y163" s="1"/>
      <c r="Z163" s="1"/>
      <c r="AA163" s="1"/>
    </row>
    <row r="164">
      <c r="A164" s="2"/>
      <c r="B164" s="2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9">
        <f t="shared" si="9"/>
        <v>0</v>
      </c>
      <c r="W164" s="1"/>
      <c r="X164" s="1"/>
      <c r="Y164" s="1"/>
      <c r="Z164" s="1"/>
      <c r="AA164" s="1"/>
    </row>
    <row r="165">
      <c r="A165" s="2"/>
      <c r="B165" s="2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9">
        <f t="shared" si="9"/>
        <v>0</v>
      </c>
      <c r="W165" s="1"/>
      <c r="X165" s="1"/>
      <c r="Y165" s="1"/>
      <c r="Z165" s="1"/>
      <c r="AA165" s="1"/>
    </row>
    <row r="166">
      <c r="A166" s="2"/>
      <c r="B166" s="2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9">
        <f t="shared" si="9"/>
        <v>0</v>
      </c>
      <c r="W166" s="1"/>
      <c r="X166" s="1"/>
      <c r="Y166" s="1"/>
      <c r="Z166" s="1"/>
      <c r="AA166" s="1"/>
    </row>
    <row r="167">
      <c r="A167" s="2"/>
      <c r="B167" s="2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9">
        <f t="shared" si="9"/>
        <v>0</v>
      </c>
      <c r="W167" s="1"/>
      <c r="X167" s="1"/>
      <c r="Y167" s="1"/>
      <c r="Z167" s="1"/>
      <c r="AA167" s="1"/>
    </row>
    <row r="168">
      <c r="A168" s="2"/>
      <c r="B168" s="2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9">
        <f t="shared" si="9"/>
        <v>0</v>
      </c>
      <c r="W168" s="1"/>
      <c r="X168" s="1"/>
      <c r="Y168" s="1"/>
      <c r="Z168" s="1"/>
      <c r="AA168" s="1"/>
    </row>
    <row r="169">
      <c r="A169" s="2"/>
      <c r="B169" s="2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9">
        <f t="shared" si="9"/>
        <v>0</v>
      </c>
      <c r="W169" s="1"/>
      <c r="X169" s="1"/>
      <c r="Y169" s="1"/>
      <c r="Z169" s="1"/>
      <c r="AA169" s="1"/>
    </row>
    <row r="170">
      <c r="A170" s="2"/>
      <c r="B170" s="2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9">
        <f t="shared" si="9"/>
        <v>0</v>
      </c>
      <c r="W170" s="1"/>
      <c r="X170" s="1"/>
      <c r="Y170" s="1"/>
      <c r="Z170" s="1"/>
      <c r="AA170" s="1"/>
    </row>
    <row r="171">
      <c r="A171" s="2"/>
      <c r="B171" s="2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9">
        <f t="shared" si="9"/>
        <v>0</v>
      </c>
      <c r="W171" s="1"/>
      <c r="X171" s="1"/>
      <c r="Y171" s="1"/>
      <c r="Z171" s="1"/>
      <c r="AA171" s="1"/>
    </row>
    <row r="172">
      <c r="A172" s="2"/>
      <c r="B172" s="2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9">
        <f t="shared" si="9"/>
        <v>0</v>
      </c>
      <c r="W172" s="1"/>
      <c r="X172" s="1"/>
      <c r="Y172" s="1"/>
      <c r="Z172" s="1"/>
      <c r="AA172" s="1"/>
    </row>
    <row r="173">
      <c r="A173" s="2"/>
      <c r="B173" s="2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9">
        <f t="shared" si="9"/>
        <v>0</v>
      </c>
      <c r="W173" s="1"/>
      <c r="X173" s="1"/>
      <c r="Y173" s="1"/>
      <c r="Z173" s="1"/>
      <c r="AA173" s="1"/>
    </row>
    <row r="174">
      <c r="A174" s="2"/>
      <c r="B174" s="2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9">
        <f t="shared" si="9"/>
        <v>0</v>
      </c>
      <c r="W174" s="1"/>
      <c r="X174" s="1"/>
      <c r="Y174" s="1"/>
      <c r="Z174" s="1"/>
      <c r="AA174" s="1"/>
    </row>
    <row r="175">
      <c r="A175" s="2"/>
      <c r="B175" s="2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9">
        <f t="shared" si="9"/>
        <v>0</v>
      </c>
      <c r="W175" s="1"/>
      <c r="X175" s="1"/>
      <c r="Y175" s="1"/>
      <c r="Z175" s="1"/>
      <c r="AA175" s="1"/>
    </row>
    <row r="176">
      <c r="A176" s="2"/>
      <c r="B176" s="2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9">
        <f t="shared" si="9"/>
        <v>0</v>
      </c>
      <c r="W176" s="1"/>
      <c r="X176" s="1"/>
      <c r="Y176" s="1"/>
      <c r="Z176" s="1"/>
      <c r="AA176" s="1"/>
    </row>
    <row r="177">
      <c r="A177" s="2"/>
      <c r="B177" s="2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9">
        <f t="shared" si="9"/>
        <v>0</v>
      </c>
      <c r="W177" s="1"/>
      <c r="X177" s="1"/>
      <c r="Y177" s="1"/>
      <c r="Z177" s="1"/>
      <c r="AA177" s="1"/>
    </row>
    <row r="178">
      <c r="A178" s="2"/>
      <c r="B178" s="2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9">
        <f t="shared" si="9"/>
        <v>0</v>
      </c>
      <c r="W178" s="1"/>
      <c r="X178" s="1"/>
      <c r="Y178" s="1"/>
      <c r="Z178" s="1"/>
      <c r="AA178" s="1"/>
    </row>
    <row r="179">
      <c r="A179" s="2"/>
      <c r="B179" s="2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9">
        <f t="shared" si="9"/>
        <v>0</v>
      </c>
      <c r="W179" s="1"/>
      <c r="X179" s="1"/>
      <c r="Y179" s="1"/>
      <c r="Z179" s="1"/>
      <c r="AA179" s="1"/>
    </row>
    <row r="180">
      <c r="A180" s="2"/>
      <c r="B180" s="2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9">
        <f t="shared" si="9"/>
        <v>0</v>
      </c>
      <c r="W180" s="1"/>
      <c r="X180" s="1"/>
      <c r="Y180" s="1"/>
      <c r="Z180" s="1"/>
      <c r="AA180" s="1"/>
    </row>
    <row r="181">
      <c r="A181" s="2"/>
      <c r="B181" s="2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9">
        <f t="shared" si="9"/>
        <v>0</v>
      </c>
      <c r="W181" s="1"/>
      <c r="X181" s="1"/>
      <c r="Y181" s="1"/>
      <c r="Z181" s="1"/>
      <c r="AA181" s="1"/>
    </row>
    <row r="182">
      <c r="A182" s="2"/>
      <c r="B182" s="2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9">
        <f t="shared" si="9"/>
        <v>0</v>
      </c>
      <c r="W182" s="1"/>
      <c r="X182" s="1"/>
      <c r="Y182" s="1"/>
      <c r="Z182" s="1"/>
      <c r="AA182" s="1"/>
    </row>
    <row r="183">
      <c r="A183" s="2"/>
      <c r="B183" s="2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9">
        <f t="shared" si="9"/>
        <v>0</v>
      </c>
      <c r="W183" s="1"/>
      <c r="X183" s="1"/>
      <c r="Y183" s="1"/>
      <c r="Z183" s="1"/>
      <c r="AA183" s="1"/>
    </row>
    <row r="184">
      <c r="A184" s="2"/>
      <c r="B184" s="2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9">
        <f t="shared" si="9"/>
        <v>0</v>
      </c>
      <c r="W184" s="1"/>
      <c r="X184" s="1"/>
      <c r="Y184" s="1"/>
      <c r="Z184" s="1"/>
      <c r="AA184" s="1"/>
    </row>
    <row r="185">
      <c r="A185" s="2"/>
      <c r="B185" s="2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9">
        <f t="shared" si="9"/>
        <v>0</v>
      </c>
      <c r="W185" s="1"/>
      <c r="X185" s="1"/>
      <c r="Y185" s="1"/>
      <c r="Z185" s="1"/>
      <c r="AA185" s="1"/>
    </row>
    <row r="186">
      <c r="A186" s="2"/>
      <c r="B186" s="2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9">
        <f t="shared" si="9"/>
        <v>0</v>
      </c>
      <c r="W186" s="1"/>
      <c r="X186" s="1"/>
      <c r="Y186" s="1"/>
      <c r="Z186" s="1"/>
      <c r="AA186" s="1"/>
    </row>
    <row r="187">
      <c r="A187" s="2"/>
      <c r="B187" s="2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9">
        <f t="shared" si="9"/>
        <v>0</v>
      </c>
      <c r="W187" s="1"/>
      <c r="X187" s="1"/>
      <c r="Y187" s="1"/>
      <c r="Z187" s="1"/>
      <c r="AA187" s="1"/>
    </row>
    <row r="188">
      <c r="A188" s="2"/>
      <c r="B188" s="2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9">
        <f t="shared" si="9"/>
        <v>0</v>
      </c>
      <c r="W188" s="1"/>
      <c r="X188" s="1"/>
      <c r="Y188" s="1"/>
      <c r="Z188" s="1"/>
      <c r="AA188" s="1"/>
    </row>
    <row r="189">
      <c r="A189" s="2"/>
      <c r="B189" s="2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9">
        <f t="shared" si="9"/>
        <v>0</v>
      </c>
      <c r="W189" s="1"/>
      <c r="X189" s="1"/>
      <c r="Y189" s="1"/>
      <c r="Z189" s="1"/>
      <c r="AA189" s="1"/>
    </row>
    <row r="190">
      <c r="A190" s="2"/>
      <c r="B190" s="2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9">
        <f t="shared" si="9"/>
        <v>0</v>
      </c>
      <c r="W190" s="1"/>
      <c r="X190" s="1"/>
      <c r="Y190" s="1"/>
      <c r="Z190" s="1"/>
      <c r="AA190" s="1"/>
    </row>
    <row r="191">
      <c r="A191" s="2"/>
      <c r="B191" s="2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9">
        <f t="shared" si="9"/>
        <v>0</v>
      </c>
      <c r="W191" s="1"/>
      <c r="X191" s="1"/>
      <c r="Y191" s="1"/>
      <c r="Z191" s="1"/>
      <c r="AA191" s="1"/>
    </row>
    <row r="192">
      <c r="A192" s="2"/>
      <c r="B192" s="2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9">
        <f t="shared" si="9"/>
        <v>0</v>
      </c>
      <c r="W192" s="1"/>
      <c r="X192" s="1"/>
      <c r="Y192" s="1"/>
      <c r="Z192" s="1"/>
      <c r="AA192" s="1"/>
    </row>
    <row r="193">
      <c r="A193" s="2"/>
      <c r="B193" s="2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9">
        <f t="shared" si="9"/>
        <v>0</v>
      </c>
      <c r="W193" s="1"/>
      <c r="X193" s="1"/>
      <c r="Y193" s="1"/>
      <c r="Z193" s="1"/>
      <c r="AA193" s="1"/>
    </row>
    <row r="194">
      <c r="A194" s="2"/>
      <c r="B194" s="2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9">
        <f t="shared" si="9"/>
        <v>0</v>
      </c>
      <c r="W194" s="1"/>
      <c r="X194" s="1"/>
      <c r="Y194" s="1"/>
      <c r="Z194" s="1"/>
      <c r="AA194" s="1"/>
    </row>
    <row r="195">
      <c r="A195" s="2"/>
      <c r="B195" s="2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9">
        <f t="shared" si="9"/>
        <v>0</v>
      </c>
      <c r="W195" s="1"/>
      <c r="X195" s="1"/>
      <c r="Y195" s="1"/>
      <c r="Z195" s="1"/>
      <c r="AA195" s="1"/>
    </row>
    <row r="196">
      <c r="A196" s="2"/>
      <c r="B196" s="2"/>
      <c r="C196" s="2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9">
        <f t="shared" si="9"/>
        <v>0</v>
      </c>
      <c r="W196" s="1"/>
      <c r="X196" s="1"/>
      <c r="Y196" s="1"/>
      <c r="Z196" s="1"/>
      <c r="AA196" s="1"/>
    </row>
    <row r="197">
      <c r="A197" s="2"/>
      <c r="B197" s="2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9">
        <f t="shared" si="9"/>
        <v>0</v>
      </c>
      <c r="W197" s="1"/>
      <c r="X197" s="1"/>
      <c r="Y197" s="1"/>
      <c r="Z197" s="1"/>
      <c r="AA197" s="1"/>
    </row>
    <row r="198">
      <c r="A198" s="2"/>
      <c r="B198" s="2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9">
        <f t="shared" si="9"/>
        <v>0</v>
      </c>
      <c r="W198" s="1"/>
      <c r="X198" s="1"/>
      <c r="Y198" s="1"/>
      <c r="Z198" s="1"/>
      <c r="AA198" s="1"/>
    </row>
    <row r="199">
      <c r="A199" s="2"/>
      <c r="B199" s="2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9">
        <f t="shared" si="9"/>
        <v>0</v>
      </c>
      <c r="W199" s="1"/>
      <c r="X199" s="1"/>
      <c r="Y199" s="1"/>
      <c r="Z199" s="1"/>
      <c r="AA199" s="1"/>
    </row>
    <row r="200">
      <c r="A200" s="2"/>
      <c r="B200" s="2"/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9">
        <f t="shared" si="9"/>
        <v>0</v>
      </c>
      <c r="W200" s="1"/>
      <c r="X200" s="1"/>
      <c r="Y200" s="1"/>
      <c r="Z200" s="1"/>
      <c r="AA200" s="1"/>
    </row>
    <row r="201">
      <c r="A201" s="2"/>
      <c r="B201" s="2"/>
      <c r="C201" s="2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9">
        <f t="shared" si="9"/>
        <v>0</v>
      </c>
      <c r="W201" s="1"/>
      <c r="X201" s="1"/>
      <c r="Y201" s="1"/>
      <c r="Z201" s="1"/>
      <c r="AA201" s="1"/>
    </row>
    <row r="202">
      <c r="A202" s="2"/>
      <c r="B202" s="2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9">
        <f t="shared" si="9"/>
        <v>0</v>
      </c>
      <c r="W202" s="1"/>
      <c r="X202" s="1"/>
      <c r="Y202" s="1"/>
      <c r="Z202" s="1"/>
      <c r="AA202" s="1"/>
    </row>
    <row r="203">
      <c r="A203" s="2"/>
      <c r="B203" s="2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9">
        <f t="shared" si="9"/>
        <v>0</v>
      </c>
      <c r="W203" s="1"/>
      <c r="X203" s="1"/>
      <c r="Y203" s="1"/>
      <c r="Z203" s="1"/>
      <c r="AA203" s="1"/>
    </row>
    <row r="204">
      <c r="A204" s="2"/>
      <c r="B204" s="2"/>
      <c r="C204" s="2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9">
        <f t="shared" si="9"/>
        <v>0</v>
      </c>
      <c r="W204" s="1"/>
      <c r="X204" s="1"/>
      <c r="Y204" s="1"/>
      <c r="Z204" s="1"/>
      <c r="AA204" s="1"/>
    </row>
    <row r="205">
      <c r="A205" s="2"/>
      <c r="B205" s="2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9">
        <f t="shared" si="9"/>
        <v>0</v>
      </c>
      <c r="W205" s="1"/>
      <c r="X205" s="1"/>
      <c r="Y205" s="1"/>
      <c r="Z205" s="1"/>
      <c r="AA205" s="1"/>
    </row>
    <row r="206">
      <c r="A206" s="2"/>
      <c r="B206" s="2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9">
        <f t="shared" si="9"/>
        <v>0</v>
      </c>
      <c r="W206" s="1"/>
      <c r="X206" s="1"/>
      <c r="Y206" s="1"/>
      <c r="Z206" s="1"/>
      <c r="AA206" s="1"/>
    </row>
    <row r="207">
      <c r="A207" s="2"/>
      <c r="B207" s="2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9">
        <f t="shared" si="9"/>
        <v>0</v>
      </c>
      <c r="W207" s="1"/>
      <c r="X207" s="1"/>
      <c r="Y207" s="1"/>
      <c r="Z207" s="1"/>
      <c r="AA207" s="1"/>
    </row>
    <row r="208">
      <c r="A208" s="2"/>
      <c r="B208" s="2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9">
        <f t="shared" si="9"/>
        <v>0</v>
      </c>
      <c r="W208" s="1"/>
      <c r="X208" s="1"/>
      <c r="Y208" s="1"/>
      <c r="Z208" s="1"/>
      <c r="AA208" s="1"/>
    </row>
    <row r="209">
      <c r="A209" s="2"/>
      <c r="B209" s="2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9">
        <f t="shared" si="9"/>
        <v>0</v>
      </c>
      <c r="W209" s="1"/>
      <c r="X209" s="1"/>
      <c r="Y209" s="1"/>
      <c r="Z209" s="1"/>
      <c r="AA209" s="1"/>
    </row>
    <row r="210">
      <c r="A210" s="2"/>
      <c r="B210" s="2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9">
        <f t="shared" si="9"/>
        <v>0</v>
      </c>
      <c r="W210" s="1"/>
      <c r="X210" s="1"/>
      <c r="Y210" s="1"/>
      <c r="Z210" s="1"/>
      <c r="AA210" s="1"/>
    </row>
    <row r="211">
      <c r="A211" s="2"/>
      <c r="B211" s="2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9">
        <f t="shared" si="9"/>
        <v>0</v>
      </c>
      <c r="W211" s="1"/>
      <c r="X211" s="1"/>
      <c r="Y211" s="1"/>
      <c r="Z211" s="1"/>
      <c r="AA211" s="1"/>
    </row>
    <row r="212">
      <c r="A212" s="2"/>
      <c r="B212" s="2"/>
      <c r="C212" s="2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9">
        <f t="shared" si="9"/>
        <v>0</v>
      </c>
      <c r="W212" s="1"/>
      <c r="X212" s="1"/>
      <c r="Y212" s="1"/>
      <c r="Z212" s="1"/>
      <c r="AA212" s="1"/>
    </row>
    <row r="213">
      <c r="A213" s="2"/>
      <c r="B213" s="2"/>
      <c r="C213" s="2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9">
        <f t="shared" si="9"/>
        <v>0</v>
      </c>
      <c r="W213" s="1"/>
      <c r="X213" s="1"/>
      <c r="Y213" s="1"/>
      <c r="Z213" s="1"/>
      <c r="AA213" s="1"/>
    </row>
    <row r="214">
      <c r="A214" s="2"/>
      <c r="B214" s="2"/>
      <c r="C214" s="2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9">
        <f t="shared" si="9"/>
        <v>0</v>
      </c>
      <c r="W214" s="1"/>
      <c r="X214" s="1"/>
      <c r="Y214" s="1"/>
      <c r="Z214" s="1"/>
      <c r="AA214" s="1"/>
    </row>
    <row r="215">
      <c r="A215" s="2"/>
      <c r="B215" s="2"/>
      <c r="C215" s="2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9">
        <f t="shared" si="9"/>
        <v>0</v>
      </c>
      <c r="W215" s="1"/>
      <c r="X215" s="1"/>
      <c r="Y215" s="1"/>
      <c r="Z215" s="1"/>
      <c r="AA215" s="1"/>
    </row>
    <row r="216">
      <c r="A216" s="2"/>
      <c r="B216" s="2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9">
        <f t="shared" si="9"/>
        <v>0</v>
      </c>
      <c r="W216" s="1"/>
      <c r="X216" s="1"/>
      <c r="Y216" s="1"/>
      <c r="Z216" s="1"/>
      <c r="AA216" s="1"/>
    </row>
    <row r="217">
      <c r="A217" s="2"/>
      <c r="B217" s="2"/>
      <c r="C217" s="2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9">
        <f t="shared" si="9"/>
        <v>0</v>
      </c>
      <c r="W217" s="1"/>
      <c r="X217" s="1"/>
      <c r="Y217" s="1"/>
      <c r="Z217" s="1"/>
      <c r="AA217" s="1"/>
    </row>
    <row r="218">
      <c r="A218" s="2"/>
      <c r="B218" s="2"/>
      <c r="C218" s="2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9">
        <f t="shared" si="9"/>
        <v>0</v>
      </c>
      <c r="W218" s="1"/>
      <c r="X218" s="1"/>
      <c r="Y218" s="1"/>
      <c r="Z218" s="1"/>
      <c r="AA218" s="1"/>
    </row>
    <row r="219">
      <c r="A219" s="2"/>
      <c r="B219" s="2"/>
      <c r="C219" s="2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9">
        <f t="shared" si="9"/>
        <v>0</v>
      </c>
      <c r="W219" s="1"/>
      <c r="X219" s="1"/>
      <c r="Y219" s="1"/>
      <c r="Z219" s="1"/>
      <c r="AA219" s="1"/>
    </row>
    <row r="220">
      <c r="A220" s="2"/>
      <c r="B220" s="2"/>
      <c r="C220" s="2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9">
        <f t="shared" si="9"/>
        <v>0</v>
      </c>
      <c r="W220" s="1"/>
      <c r="X220" s="1"/>
      <c r="Y220" s="1"/>
      <c r="Z220" s="1"/>
      <c r="AA220" s="1"/>
    </row>
    <row r="221">
      <c r="A221" s="2"/>
      <c r="B221" s="2"/>
      <c r="C221" s="2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9">
        <f t="shared" si="9"/>
        <v>0</v>
      </c>
      <c r="W221" s="1"/>
      <c r="X221" s="1"/>
      <c r="Y221" s="1"/>
      <c r="Z221" s="1"/>
      <c r="AA221" s="1"/>
    </row>
    <row r="222">
      <c r="A222" s="2"/>
      <c r="B222" s="2"/>
      <c r="C222" s="2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9">
        <f t="shared" si="9"/>
        <v>0</v>
      </c>
      <c r="W222" s="1"/>
      <c r="X222" s="1"/>
      <c r="Y222" s="1"/>
      <c r="Z222" s="1"/>
      <c r="AA222" s="1"/>
    </row>
    <row r="223">
      <c r="A223" s="2"/>
      <c r="B223" s="2"/>
      <c r="C223" s="2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9">
        <f t="shared" si="9"/>
        <v>0</v>
      </c>
      <c r="W223" s="1"/>
      <c r="X223" s="1"/>
      <c r="Y223" s="1"/>
      <c r="Z223" s="1"/>
      <c r="AA223" s="1"/>
    </row>
    <row r="224">
      <c r="A224" s="2"/>
      <c r="B224" s="2"/>
      <c r="C224" s="2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9">
        <f t="shared" si="9"/>
        <v>0</v>
      </c>
      <c r="W224" s="1"/>
      <c r="X224" s="1"/>
      <c r="Y224" s="1"/>
      <c r="Z224" s="1"/>
      <c r="AA224" s="1"/>
    </row>
    <row r="225">
      <c r="A225" s="2"/>
      <c r="B225" s="2"/>
      <c r="C225" s="2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9">
        <f t="shared" si="9"/>
        <v>0</v>
      </c>
      <c r="W225" s="1"/>
      <c r="X225" s="1"/>
      <c r="Y225" s="1"/>
      <c r="Z225" s="1"/>
      <c r="AA225" s="1"/>
    </row>
    <row r="226">
      <c r="A226" s="2"/>
      <c r="B226" s="2"/>
      <c r="C226" s="2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9">
        <f t="shared" si="9"/>
        <v>0</v>
      </c>
      <c r="W226" s="1"/>
      <c r="X226" s="1"/>
      <c r="Y226" s="1"/>
      <c r="Z226" s="1"/>
      <c r="AA226" s="1"/>
    </row>
    <row r="227">
      <c r="A227" s="2"/>
      <c r="B227" s="2"/>
      <c r="C227" s="2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9">
        <f t="shared" si="9"/>
        <v>0</v>
      </c>
      <c r="W227" s="1"/>
      <c r="X227" s="1"/>
      <c r="Y227" s="1"/>
      <c r="Z227" s="1"/>
      <c r="AA227" s="1"/>
    </row>
    <row r="228">
      <c r="A228" s="2"/>
      <c r="B228" s="2"/>
      <c r="C228" s="2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9">
        <f t="shared" si="9"/>
        <v>0</v>
      </c>
      <c r="W228" s="1"/>
      <c r="X228" s="1"/>
      <c r="Y228" s="1"/>
      <c r="Z228" s="1"/>
      <c r="AA228" s="1"/>
    </row>
    <row r="229">
      <c r="A229" s="2"/>
      <c r="B229" s="2"/>
      <c r="C229" s="2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9">
        <f t="shared" si="9"/>
        <v>0</v>
      </c>
      <c r="W229" s="1"/>
      <c r="X229" s="1"/>
      <c r="Y229" s="1"/>
      <c r="Z229" s="1"/>
      <c r="AA229" s="1"/>
    </row>
    <row r="230">
      <c r="A230" s="2"/>
      <c r="B230" s="2"/>
      <c r="C230" s="2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9">
        <f t="shared" si="9"/>
        <v>0</v>
      </c>
      <c r="W230" s="1"/>
      <c r="X230" s="1"/>
      <c r="Y230" s="1"/>
      <c r="Z230" s="1"/>
      <c r="AA230" s="1"/>
    </row>
    <row r="231">
      <c r="A231" s="2"/>
      <c r="B231" s="2"/>
      <c r="C231" s="2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9">
        <f t="shared" si="9"/>
        <v>0</v>
      </c>
      <c r="W231" s="1"/>
      <c r="X231" s="1"/>
      <c r="Y231" s="1"/>
      <c r="Z231" s="1"/>
      <c r="AA231" s="1"/>
    </row>
    <row r="232">
      <c r="A232" s="2"/>
      <c r="B232" s="2"/>
      <c r="C232" s="2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9">
        <f t="shared" si="9"/>
        <v>0</v>
      </c>
      <c r="W232" s="1"/>
      <c r="X232" s="1"/>
      <c r="Y232" s="1"/>
      <c r="Z232" s="1"/>
      <c r="AA232" s="1"/>
    </row>
    <row r="233">
      <c r="A233" s="2"/>
      <c r="B233" s="2"/>
      <c r="C233" s="2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9">
        <f t="shared" si="9"/>
        <v>0</v>
      </c>
      <c r="W233" s="1"/>
      <c r="X233" s="1"/>
      <c r="Y233" s="1"/>
      <c r="Z233" s="1"/>
      <c r="AA233" s="1"/>
    </row>
    <row r="234">
      <c r="A234" s="2"/>
      <c r="B234" s="2"/>
      <c r="C234" s="2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9">
        <f t="shared" si="9"/>
        <v>0</v>
      </c>
      <c r="W234" s="1"/>
      <c r="X234" s="1"/>
      <c r="Y234" s="1"/>
      <c r="Z234" s="1"/>
      <c r="AA234" s="1"/>
    </row>
    <row r="235">
      <c r="A235" s="2"/>
      <c r="B235" s="2"/>
      <c r="C235" s="2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9">
        <f t="shared" si="9"/>
        <v>0</v>
      </c>
      <c r="W235" s="1"/>
      <c r="X235" s="1"/>
      <c r="Y235" s="1"/>
      <c r="Z235" s="1"/>
      <c r="AA235" s="1"/>
    </row>
    <row r="236">
      <c r="A236" s="2"/>
      <c r="B236" s="2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9">
        <f t="shared" si="9"/>
        <v>0</v>
      </c>
      <c r="W236" s="1"/>
      <c r="X236" s="1"/>
      <c r="Y236" s="1"/>
      <c r="Z236" s="1"/>
      <c r="AA236" s="1"/>
    </row>
    <row r="237">
      <c r="A237" s="2"/>
      <c r="B237" s="2"/>
      <c r="C237" s="2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9">
        <f t="shared" si="9"/>
        <v>0</v>
      </c>
      <c r="W237" s="1"/>
      <c r="X237" s="1"/>
      <c r="Y237" s="1"/>
      <c r="Z237" s="1"/>
      <c r="AA237" s="1"/>
    </row>
    <row r="238">
      <c r="A238" s="2"/>
      <c r="B238" s="2"/>
      <c r="C238" s="2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9">
        <f t="shared" si="9"/>
        <v>0</v>
      </c>
      <c r="W238" s="1"/>
      <c r="X238" s="1"/>
      <c r="Y238" s="1"/>
      <c r="Z238" s="1"/>
      <c r="AA238" s="1"/>
    </row>
    <row r="239">
      <c r="A239" s="2"/>
      <c r="B239" s="2"/>
      <c r="C239" s="2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9">
        <f t="shared" si="9"/>
        <v>0</v>
      </c>
      <c r="W239" s="1"/>
      <c r="X239" s="1"/>
      <c r="Y239" s="1"/>
      <c r="Z239" s="1"/>
      <c r="AA239" s="1"/>
    </row>
    <row r="240">
      <c r="A240" s="2"/>
      <c r="B240" s="2"/>
      <c r="C240" s="2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9">
        <f t="shared" si="9"/>
        <v>0</v>
      </c>
      <c r="W240" s="1"/>
      <c r="X240" s="1"/>
      <c r="Y240" s="1"/>
      <c r="Z240" s="1"/>
      <c r="AA240" s="1"/>
    </row>
    <row r="241">
      <c r="A241" s="2"/>
      <c r="B241" s="2"/>
      <c r="C241" s="2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9">
        <f t="shared" si="9"/>
        <v>0</v>
      </c>
      <c r="W241" s="1"/>
      <c r="X241" s="1"/>
      <c r="Y241" s="1"/>
      <c r="Z241" s="1"/>
      <c r="AA241" s="1"/>
    </row>
    <row r="242">
      <c r="A242" s="2"/>
      <c r="B242" s="2"/>
      <c r="C242" s="2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9">
        <f t="shared" si="9"/>
        <v>0</v>
      </c>
      <c r="W242" s="1"/>
      <c r="X242" s="1"/>
      <c r="Y242" s="1"/>
      <c r="Z242" s="1"/>
      <c r="AA242" s="1"/>
    </row>
    <row r="243">
      <c r="A243" s="2"/>
      <c r="B243" s="2"/>
      <c r="C243" s="2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9">
        <f t="shared" si="9"/>
        <v>0</v>
      </c>
      <c r="W243" s="1"/>
      <c r="X243" s="1"/>
      <c r="Y243" s="1"/>
      <c r="Z243" s="1"/>
      <c r="AA243" s="1"/>
    </row>
    <row r="244">
      <c r="A244" s="2"/>
      <c r="B244" s="2"/>
      <c r="C244" s="2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9">
        <f t="shared" si="9"/>
        <v>0</v>
      </c>
      <c r="W244" s="1"/>
      <c r="X244" s="1"/>
      <c r="Y244" s="1"/>
      <c r="Z244" s="1"/>
      <c r="AA244" s="1"/>
    </row>
    <row r="245">
      <c r="A245" s="2"/>
      <c r="B245" s="2"/>
      <c r="C245" s="2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9">
        <f t="shared" si="9"/>
        <v>0</v>
      </c>
      <c r="W245" s="1"/>
      <c r="X245" s="1"/>
      <c r="Y245" s="1"/>
      <c r="Z245" s="1"/>
      <c r="AA245" s="1"/>
    </row>
    <row r="246">
      <c r="A246" s="2"/>
      <c r="B246" s="2"/>
      <c r="C246" s="2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9">
        <f t="shared" si="9"/>
        <v>0</v>
      </c>
      <c r="W246" s="1"/>
      <c r="X246" s="1"/>
      <c r="Y246" s="1"/>
      <c r="Z246" s="1"/>
      <c r="AA246" s="1"/>
    </row>
    <row r="247">
      <c r="A247" s="2"/>
      <c r="B247" s="2"/>
      <c r="C247" s="2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9">
        <f t="shared" si="9"/>
        <v>0</v>
      </c>
      <c r="W247" s="1"/>
      <c r="X247" s="1"/>
      <c r="Y247" s="1"/>
      <c r="Z247" s="1"/>
      <c r="AA247" s="1"/>
    </row>
    <row r="248">
      <c r="A248" s="2"/>
      <c r="B248" s="2"/>
      <c r="C248" s="2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9">
        <f t="shared" si="9"/>
        <v>0</v>
      </c>
      <c r="W248" s="1"/>
      <c r="X248" s="1"/>
      <c r="Y248" s="1"/>
      <c r="Z248" s="1"/>
      <c r="AA248" s="1"/>
    </row>
    <row r="249">
      <c r="A249" s="2"/>
      <c r="B249" s="2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9">
        <f t="shared" si="9"/>
        <v>0</v>
      </c>
      <c r="W249" s="1"/>
      <c r="X249" s="1"/>
      <c r="Y249" s="1"/>
      <c r="Z249" s="1"/>
      <c r="AA249" s="1"/>
    </row>
    <row r="250">
      <c r="A250" s="2"/>
      <c r="B250" s="2"/>
      <c r="C250" s="2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9">
        <f t="shared" si="9"/>
        <v>0</v>
      </c>
      <c r="W250" s="1"/>
      <c r="X250" s="1"/>
      <c r="Y250" s="1"/>
      <c r="Z250" s="1"/>
      <c r="AA250" s="1"/>
    </row>
    <row r="251">
      <c r="A251" s="2"/>
      <c r="B251" s="2"/>
      <c r="C251" s="2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9">
        <f t="shared" si="9"/>
        <v>0</v>
      </c>
      <c r="W251" s="1"/>
      <c r="X251" s="1"/>
      <c r="Y251" s="1"/>
      <c r="Z251" s="1"/>
      <c r="AA251" s="1"/>
    </row>
    <row r="252">
      <c r="A252" s="2"/>
      <c r="B252" s="2"/>
      <c r="C252" s="2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9">
        <f t="shared" si="9"/>
        <v>0</v>
      </c>
      <c r="W252" s="1"/>
      <c r="X252" s="1"/>
      <c r="Y252" s="1"/>
      <c r="Z252" s="1"/>
      <c r="AA252" s="1"/>
    </row>
    <row r="253">
      <c r="A253" s="2"/>
      <c r="B253" s="2"/>
      <c r="C253" s="2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9">
        <f t="shared" si="9"/>
        <v>0</v>
      </c>
      <c r="W253" s="1"/>
      <c r="X253" s="1"/>
      <c r="Y253" s="1"/>
      <c r="Z253" s="1"/>
      <c r="AA253" s="1"/>
    </row>
    <row r="254">
      <c r="A254" s="2"/>
      <c r="B254" s="2"/>
      <c r="C254" s="2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9">
        <f t="shared" si="9"/>
        <v>0</v>
      </c>
      <c r="W254" s="1"/>
      <c r="X254" s="1"/>
      <c r="Y254" s="1"/>
      <c r="Z254" s="1"/>
      <c r="AA254" s="1"/>
    </row>
    <row r="255">
      <c r="A255" s="2"/>
      <c r="B255" s="2"/>
      <c r="C255" s="2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9">
        <f t="shared" si="9"/>
        <v>0</v>
      </c>
      <c r="W255" s="1"/>
      <c r="X255" s="1"/>
      <c r="Y255" s="1"/>
      <c r="Z255" s="1"/>
      <c r="AA255" s="1"/>
    </row>
    <row r="256">
      <c r="A256" s="2"/>
      <c r="B256" s="2"/>
      <c r="C256" s="2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9">
        <f t="shared" si="9"/>
        <v>0</v>
      </c>
      <c r="W256" s="1"/>
      <c r="X256" s="1"/>
      <c r="Y256" s="1"/>
      <c r="Z256" s="1"/>
      <c r="AA256" s="1"/>
    </row>
    <row r="257">
      <c r="A257" s="2"/>
      <c r="B257" s="2"/>
      <c r="C257" s="2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9">
        <f t="shared" si="9"/>
        <v>0</v>
      </c>
      <c r="W257" s="1"/>
      <c r="X257" s="1"/>
      <c r="Y257" s="1"/>
      <c r="Z257" s="1"/>
      <c r="AA257" s="1"/>
    </row>
    <row r="258">
      <c r="A258" s="2"/>
      <c r="B258" s="2"/>
      <c r="C258" s="2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9">
        <f t="shared" si="9"/>
        <v>0</v>
      </c>
      <c r="W258" s="1"/>
      <c r="X258" s="1"/>
      <c r="Y258" s="1"/>
      <c r="Z258" s="1"/>
      <c r="AA258" s="1"/>
    </row>
    <row r="259">
      <c r="A259" s="2"/>
      <c r="B259" s="2"/>
      <c r="C259" s="2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9">
        <f t="shared" si="9"/>
        <v>0</v>
      </c>
      <c r="W259" s="1"/>
      <c r="X259" s="1"/>
      <c r="Y259" s="1"/>
      <c r="Z259" s="1"/>
      <c r="AA259" s="1"/>
    </row>
    <row r="260">
      <c r="A260" s="2"/>
      <c r="B260" s="2"/>
      <c r="C260" s="2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9">
        <f t="shared" si="9"/>
        <v>0</v>
      </c>
      <c r="W260" s="1"/>
      <c r="X260" s="1"/>
      <c r="Y260" s="1"/>
      <c r="Z260" s="1"/>
      <c r="AA260" s="1"/>
    </row>
    <row r="261">
      <c r="A261" s="2"/>
      <c r="B261" s="2"/>
      <c r="C261" s="2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9">
        <f t="shared" si="9"/>
        <v>0</v>
      </c>
      <c r="W261" s="1"/>
      <c r="X261" s="1"/>
      <c r="Y261" s="1"/>
      <c r="Z261" s="1"/>
      <c r="AA261" s="1"/>
    </row>
    <row r="262">
      <c r="A262" s="2"/>
      <c r="B262" s="2"/>
      <c r="C262" s="2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9">
        <f t="shared" si="9"/>
        <v>0</v>
      </c>
      <c r="W262" s="1"/>
      <c r="X262" s="1"/>
      <c r="Y262" s="1"/>
      <c r="Z262" s="1"/>
      <c r="AA262" s="1"/>
    </row>
    <row r="263">
      <c r="A263" s="2"/>
      <c r="B263" s="2"/>
      <c r="C263" s="2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9">
        <f t="shared" si="9"/>
        <v>0</v>
      </c>
      <c r="W263" s="1"/>
      <c r="X263" s="1"/>
      <c r="Y263" s="1"/>
      <c r="Z263" s="1"/>
      <c r="AA263" s="1"/>
    </row>
    <row r="264">
      <c r="A264" s="2"/>
      <c r="B264" s="2"/>
      <c r="C264" s="2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9">
        <f t="shared" si="9"/>
        <v>0</v>
      </c>
      <c r="W264" s="1"/>
      <c r="X264" s="1"/>
      <c r="Y264" s="1"/>
      <c r="Z264" s="1"/>
      <c r="AA264" s="1"/>
    </row>
    <row r="265">
      <c r="A265" s="2"/>
      <c r="B265" s="2"/>
      <c r="C265" s="2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9">
        <f t="shared" si="9"/>
        <v>0</v>
      </c>
      <c r="W265" s="1"/>
      <c r="X265" s="1"/>
      <c r="Y265" s="1"/>
      <c r="Z265" s="1"/>
      <c r="AA265" s="1"/>
    </row>
    <row r="266">
      <c r="A266" s="2"/>
      <c r="B266" s="2"/>
      <c r="C266" s="2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9">
        <f t="shared" si="9"/>
        <v>0</v>
      </c>
      <c r="W266" s="1"/>
      <c r="X266" s="1"/>
      <c r="Y266" s="1"/>
      <c r="Z266" s="1"/>
      <c r="AA266" s="1"/>
    </row>
    <row r="267">
      <c r="A267" s="2"/>
      <c r="B267" s="2"/>
      <c r="C267" s="2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9">
        <f t="shared" si="9"/>
        <v>0</v>
      </c>
      <c r="W267" s="1"/>
      <c r="X267" s="1"/>
      <c r="Y267" s="1"/>
      <c r="Z267" s="1"/>
      <c r="AA267" s="1"/>
    </row>
    <row r="268">
      <c r="A268" s="2"/>
      <c r="B268" s="2"/>
      <c r="C268" s="2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9">
        <f t="shared" si="9"/>
        <v>0</v>
      </c>
      <c r="W268" s="1"/>
      <c r="X268" s="1"/>
      <c r="Y268" s="1"/>
      <c r="Z268" s="1"/>
      <c r="AA268" s="1"/>
    </row>
    <row r="269">
      <c r="A269" s="2"/>
      <c r="B269" s="2"/>
      <c r="C269" s="2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9">
        <f t="shared" si="9"/>
        <v>0</v>
      </c>
      <c r="W269" s="1"/>
      <c r="X269" s="1"/>
      <c r="Y269" s="1"/>
      <c r="Z269" s="1"/>
      <c r="AA269" s="1"/>
    </row>
    <row r="270">
      <c r="A270" s="2"/>
      <c r="B270" s="2"/>
      <c r="C270" s="2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9">
        <f t="shared" si="9"/>
        <v>0</v>
      </c>
      <c r="W270" s="1"/>
      <c r="X270" s="1"/>
      <c r="Y270" s="1"/>
      <c r="Z270" s="1"/>
      <c r="AA270" s="1"/>
    </row>
    <row r="271">
      <c r="A271" s="2"/>
      <c r="B271" s="2"/>
      <c r="C271" s="2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9">
        <f t="shared" si="9"/>
        <v>0</v>
      </c>
      <c r="W271" s="1"/>
      <c r="X271" s="1"/>
      <c r="Y271" s="1"/>
      <c r="Z271" s="1"/>
      <c r="AA271" s="1"/>
    </row>
    <row r="272">
      <c r="A272" s="2"/>
      <c r="B272" s="2"/>
      <c r="C272" s="2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9">
        <f t="shared" si="9"/>
        <v>0</v>
      </c>
      <c r="W272" s="1"/>
      <c r="X272" s="1"/>
      <c r="Y272" s="1"/>
      <c r="Z272" s="1"/>
      <c r="AA272" s="1"/>
    </row>
    <row r="273">
      <c r="A273" s="2"/>
      <c r="B273" s="2"/>
      <c r="C273" s="2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9">
        <f t="shared" si="9"/>
        <v>0</v>
      </c>
      <c r="W273" s="1"/>
      <c r="X273" s="1"/>
      <c r="Y273" s="1"/>
      <c r="Z273" s="1"/>
      <c r="AA273" s="1"/>
    </row>
    <row r="274">
      <c r="A274" s="2"/>
      <c r="B274" s="2"/>
      <c r="C274" s="2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9">
        <f t="shared" si="9"/>
        <v>0</v>
      </c>
      <c r="W274" s="1"/>
      <c r="X274" s="1"/>
      <c r="Y274" s="1"/>
      <c r="Z274" s="1"/>
      <c r="AA274" s="1"/>
    </row>
    <row r="275">
      <c r="A275" s="2"/>
      <c r="B275" s="2"/>
      <c r="C275" s="2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9">
        <f t="shared" si="9"/>
        <v>0</v>
      </c>
      <c r="W275" s="1"/>
      <c r="X275" s="1"/>
      <c r="Y275" s="1"/>
      <c r="Z275" s="1"/>
      <c r="AA275" s="1"/>
    </row>
    <row r="276">
      <c r="A276" s="2"/>
      <c r="B276" s="2"/>
      <c r="C276" s="2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9">
        <f t="shared" si="9"/>
        <v>0</v>
      </c>
      <c r="W276" s="1"/>
      <c r="X276" s="1"/>
      <c r="Y276" s="1"/>
      <c r="Z276" s="1"/>
      <c r="AA276" s="1"/>
    </row>
    <row r="277">
      <c r="A277" s="2"/>
      <c r="B277" s="2"/>
      <c r="C277" s="2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9">
        <f t="shared" si="9"/>
        <v>0</v>
      </c>
      <c r="W277" s="1"/>
      <c r="X277" s="1"/>
      <c r="Y277" s="1"/>
      <c r="Z277" s="1"/>
      <c r="AA277" s="1"/>
    </row>
    <row r="278">
      <c r="A278" s="2"/>
      <c r="B278" s="2"/>
      <c r="C278" s="2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9">
        <f t="shared" si="9"/>
        <v>0</v>
      </c>
      <c r="W278" s="1"/>
      <c r="X278" s="1"/>
      <c r="Y278" s="1"/>
      <c r="Z278" s="1"/>
      <c r="AA278" s="1"/>
    </row>
    <row r="279">
      <c r="A279" s="2"/>
      <c r="B279" s="2"/>
      <c r="C279" s="2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9">
        <f t="shared" si="9"/>
        <v>0</v>
      </c>
      <c r="W279" s="1"/>
      <c r="X279" s="1"/>
      <c r="Y279" s="1"/>
      <c r="Z279" s="1"/>
      <c r="AA279" s="1"/>
    </row>
    <row r="280">
      <c r="A280" s="2"/>
      <c r="B280" s="2"/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9">
        <f t="shared" si="9"/>
        <v>0</v>
      </c>
      <c r="W280" s="1"/>
      <c r="X280" s="1"/>
      <c r="Y280" s="1"/>
      <c r="Z280" s="1"/>
      <c r="AA280" s="1"/>
    </row>
    <row r="281">
      <c r="A281" s="2"/>
      <c r="B281" s="2"/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9">
        <f t="shared" si="9"/>
        <v>0</v>
      </c>
      <c r="W281" s="1"/>
      <c r="X281" s="1"/>
      <c r="Y281" s="1"/>
      <c r="Z281" s="1"/>
      <c r="AA281" s="1"/>
    </row>
    <row r="282">
      <c r="A282" s="2"/>
      <c r="B282" s="2"/>
      <c r="C282" s="2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9">
        <f t="shared" si="9"/>
        <v>0</v>
      </c>
      <c r="W282" s="1"/>
      <c r="X282" s="1"/>
      <c r="Y282" s="1"/>
      <c r="Z282" s="1"/>
      <c r="AA282" s="1"/>
    </row>
    <row r="283">
      <c r="A283" s="2"/>
      <c r="B283" s="2"/>
      <c r="C283" s="2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9">
        <f t="shared" si="9"/>
        <v>0</v>
      </c>
      <c r="W283" s="1"/>
      <c r="X283" s="1"/>
      <c r="Y283" s="1"/>
      <c r="Z283" s="1"/>
      <c r="AA283" s="1"/>
    </row>
    <row r="284">
      <c r="A284" s="2"/>
      <c r="B284" s="2"/>
      <c r="C284" s="2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9">
        <f t="shared" si="9"/>
        <v>0</v>
      </c>
      <c r="W284" s="1"/>
      <c r="X284" s="1"/>
      <c r="Y284" s="1"/>
      <c r="Z284" s="1"/>
      <c r="AA284" s="1"/>
    </row>
    <row r="285">
      <c r="A285" s="2"/>
      <c r="B285" s="2"/>
      <c r="C285" s="2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9">
        <f t="shared" si="9"/>
        <v>0</v>
      </c>
      <c r="W285" s="1"/>
      <c r="X285" s="1"/>
      <c r="Y285" s="1"/>
      <c r="Z285" s="1"/>
      <c r="AA285" s="1"/>
    </row>
    <row r="286">
      <c r="A286" s="2"/>
      <c r="B286" s="2"/>
      <c r="C286" s="2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9">
        <f t="shared" si="9"/>
        <v>0</v>
      </c>
      <c r="W286" s="1"/>
      <c r="X286" s="1"/>
      <c r="Y286" s="1"/>
      <c r="Z286" s="1"/>
      <c r="AA286" s="1"/>
    </row>
    <row r="287">
      <c r="A287" s="2"/>
      <c r="B287" s="2"/>
      <c r="C287" s="2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9">
        <f t="shared" si="9"/>
        <v>0</v>
      </c>
      <c r="W287" s="1"/>
      <c r="X287" s="1"/>
      <c r="Y287" s="1"/>
      <c r="Z287" s="1"/>
      <c r="AA287" s="1"/>
    </row>
    <row r="288">
      <c r="A288" s="2"/>
      <c r="B288" s="2"/>
      <c r="C288" s="2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9">
        <f t="shared" si="9"/>
        <v>0</v>
      </c>
      <c r="W288" s="1"/>
      <c r="X288" s="1"/>
      <c r="Y288" s="1"/>
      <c r="Z288" s="1"/>
      <c r="AA288" s="1"/>
    </row>
    <row r="289">
      <c r="A289" s="2"/>
      <c r="B289" s="2"/>
      <c r="C289" s="2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9">
        <f t="shared" si="9"/>
        <v>0</v>
      </c>
      <c r="W289" s="1"/>
      <c r="X289" s="1"/>
      <c r="Y289" s="1"/>
      <c r="Z289" s="1"/>
      <c r="AA289" s="1"/>
    </row>
    <row r="290">
      <c r="A290" s="2"/>
      <c r="B290" s="2"/>
      <c r="C290" s="2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9">
        <f t="shared" si="9"/>
        <v>0</v>
      </c>
      <c r="W290" s="1"/>
      <c r="X290" s="1"/>
      <c r="Y290" s="1"/>
      <c r="Z290" s="1"/>
      <c r="AA290" s="1"/>
    </row>
    <row r="291">
      <c r="A291" s="2"/>
      <c r="B291" s="2"/>
      <c r="C291" s="2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9">
        <f t="shared" si="9"/>
        <v>0</v>
      </c>
      <c r="W291" s="1"/>
      <c r="X291" s="1"/>
      <c r="Y291" s="1"/>
      <c r="Z291" s="1"/>
      <c r="AA291" s="1"/>
    </row>
    <row r="292">
      <c r="A292" s="2"/>
      <c r="B292" s="2"/>
      <c r="C292" s="2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9">
        <f t="shared" si="9"/>
        <v>0</v>
      </c>
      <c r="W292" s="1"/>
      <c r="X292" s="1"/>
      <c r="Y292" s="1"/>
      <c r="Z292" s="1"/>
      <c r="AA292" s="1"/>
    </row>
    <row r="293">
      <c r="A293" s="2"/>
      <c r="B293" s="2"/>
      <c r="C293" s="2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9">
        <f t="shared" si="9"/>
        <v>0</v>
      </c>
      <c r="W293" s="1"/>
      <c r="X293" s="1"/>
      <c r="Y293" s="1"/>
      <c r="Z293" s="1"/>
      <c r="AA293" s="1"/>
    </row>
    <row r="294">
      <c r="A294" s="2"/>
      <c r="B294" s="2"/>
      <c r="C294" s="2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9">
        <f t="shared" si="9"/>
        <v>0</v>
      </c>
      <c r="W294" s="1"/>
      <c r="X294" s="1"/>
      <c r="Y294" s="1"/>
      <c r="Z294" s="1"/>
      <c r="AA294" s="1"/>
    </row>
    <row r="295">
      <c r="A295" s="2"/>
      <c r="B295" s="2"/>
      <c r="C295" s="2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9">
        <f t="shared" si="9"/>
        <v>0</v>
      </c>
      <c r="W295" s="1"/>
      <c r="X295" s="1"/>
      <c r="Y295" s="1"/>
      <c r="Z295" s="1"/>
      <c r="AA295" s="1"/>
    </row>
    <row r="296">
      <c r="A296" s="2"/>
      <c r="B296" s="2"/>
      <c r="C296" s="2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9">
        <f t="shared" si="9"/>
        <v>0</v>
      </c>
      <c r="W296" s="1"/>
      <c r="X296" s="1"/>
      <c r="Y296" s="1"/>
      <c r="Z296" s="1"/>
      <c r="AA296" s="1"/>
    </row>
    <row r="297">
      <c r="A297" s="2"/>
      <c r="B297" s="2"/>
      <c r="C297" s="2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9">
        <f t="shared" si="9"/>
        <v>0</v>
      </c>
      <c r="W297" s="1"/>
      <c r="X297" s="1"/>
      <c r="Y297" s="1"/>
      <c r="Z297" s="1"/>
      <c r="AA297" s="1"/>
    </row>
    <row r="298">
      <c r="A298" s="2"/>
      <c r="B298" s="2"/>
      <c r="C298" s="2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9">
        <f t="shared" si="9"/>
        <v>0</v>
      </c>
      <c r="W298" s="1"/>
      <c r="X298" s="1"/>
      <c r="Y298" s="1"/>
      <c r="Z298" s="1"/>
      <c r="AA298" s="1"/>
    </row>
    <row r="299">
      <c r="A299" s="2"/>
      <c r="B299" s="2"/>
      <c r="C299" s="2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9">
        <f t="shared" si="9"/>
        <v>0</v>
      </c>
      <c r="W299" s="1"/>
      <c r="X299" s="1"/>
      <c r="Y299" s="1"/>
      <c r="Z299" s="1"/>
      <c r="AA299" s="1"/>
    </row>
    <row r="300">
      <c r="A300" s="2"/>
      <c r="B300" s="2"/>
      <c r="C300" s="2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9">
        <f t="shared" si="9"/>
        <v>0</v>
      </c>
      <c r="W300" s="1"/>
      <c r="X300" s="1"/>
      <c r="Y300" s="1"/>
      <c r="Z300" s="1"/>
      <c r="AA300" s="1"/>
    </row>
    <row r="301">
      <c r="A301" s="2"/>
      <c r="B301" s="2"/>
      <c r="C301" s="2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9">
        <f t="shared" si="9"/>
        <v>0</v>
      </c>
      <c r="W301" s="1"/>
      <c r="X301" s="1"/>
      <c r="Y301" s="1"/>
      <c r="Z301" s="1"/>
      <c r="AA301" s="1"/>
    </row>
    <row r="302">
      <c r="A302" s="2"/>
      <c r="B302" s="2"/>
      <c r="C302" s="2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9">
        <f t="shared" si="9"/>
        <v>0</v>
      </c>
      <c r="W302" s="1"/>
      <c r="X302" s="1"/>
      <c r="Y302" s="1"/>
      <c r="Z302" s="1"/>
      <c r="AA302" s="1"/>
    </row>
    <row r="303">
      <c r="A303" s="2"/>
      <c r="B303" s="2"/>
      <c r="C303" s="2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9">
        <f t="shared" si="9"/>
        <v>0</v>
      </c>
      <c r="W303" s="1"/>
      <c r="X303" s="1"/>
      <c r="Y303" s="1"/>
      <c r="Z303" s="1"/>
      <c r="AA303" s="1"/>
    </row>
    <row r="304">
      <c r="A304" s="2"/>
      <c r="B304" s="2"/>
      <c r="C304" s="2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9">
        <f t="shared" si="9"/>
        <v>0</v>
      </c>
      <c r="W304" s="1"/>
      <c r="X304" s="1"/>
      <c r="Y304" s="1"/>
      <c r="Z304" s="1"/>
      <c r="AA304" s="1"/>
    </row>
    <row r="305">
      <c r="A305" s="2"/>
      <c r="B305" s="2"/>
      <c r="C305" s="2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9">
        <f t="shared" si="9"/>
        <v>0</v>
      </c>
      <c r="W305" s="1"/>
      <c r="X305" s="1"/>
      <c r="Y305" s="1"/>
      <c r="Z305" s="1"/>
      <c r="AA305" s="1"/>
    </row>
    <row r="306">
      <c r="A306" s="2"/>
      <c r="B306" s="2"/>
      <c r="C306" s="2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9">
        <f t="shared" si="9"/>
        <v>0</v>
      </c>
      <c r="W306" s="1"/>
      <c r="X306" s="1"/>
      <c r="Y306" s="1"/>
      <c r="Z306" s="1"/>
      <c r="AA306" s="1"/>
    </row>
    <row r="307">
      <c r="A307" s="2"/>
      <c r="B307" s="2"/>
      <c r="C307" s="2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9">
        <f t="shared" si="9"/>
        <v>0</v>
      </c>
      <c r="W307" s="1"/>
      <c r="X307" s="1"/>
      <c r="Y307" s="1"/>
      <c r="Z307" s="1"/>
      <c r="AA307" s="1"/>
    </row>
    <row r="308">
      <c r="A308" s="2"/>
      <c r="B308" s="2"/>
      <c r="C308" s="2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9">
        <f t="shared" si="9"/>
        <v>0</v>
      </c>
      <c r="W308" s="1"/>
      <c r="X308" s="1"/>
      <c r="Y308" s="1"/>
      <c r="Z308" s="1"/>
      <c r="AA308" s="1"/>
    </row>
    <row r="309">
      <c r="A309" s="2"/>
      <c r="B309" s="2"/>
      <c r="C309" s="2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9">
        <f t="shared" si="9"/>
        <v>0</v>
      </c>
      <c r="W309" s="1"/>
      <c r="X309" s="1"/>
      <c r="Y309" s="1"/>
      <c r="Z309" s="1"/>
      <c r="AA309" s="1"/>
    </row>
    <row r="310">
      <c r="A310" s="2"/>
      <c r="B310" s="2"/>
      <c r="C310" s="2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9">
        <f t="shared" si="9"/>
        <v>0</v>
      </c>
      <c r="W310" s="1"/>
      <c r="X310" s="1"/>
      <c r="Y310" s="1"/>
      <c r="Z310" s="1"/>
      <c r="AA310" s="1"/>
    </row>
    <row r="311">
      <c r="A311" s="2"/>
      <c r="B311" s="2"/>
      <c r="C311" s="2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9">
        <f t="shared" si="9"/>
        <v>0</v>
      </c>
      <c r="W311" s="1"/>
      <c r="X311" s="1"/>
      <c r="Y311" s="1"/>
      <c r="Z311" s="1"/>
      <c r="AA311" s="1"/>
    </row>
    <row r="312">
      <c r="A312" s="2"/>
      <c r="B312" s="2"/>
      <c r="C312" s="2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9">
        <f t="shared" si="9"/>
        <v>0</v>
      </c>
      <c r="W312" s="1"/>
      <c r="X312" s="1"/>
      <c r="Y312" s="1"/>
      <c r="Z312" s="1"/>
      <c r="AA312" s="1"/>
    </row>
    <row r="313">
      <c r="A313" s="2"/>
      <c r="B313" s="2"/>
      <c r="C313" s="2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9">
        <f t="shared" si="9"/>
        <v>0</v>
      </c>
      <c r="W313" s="1"/>
      <c r="X313" s="1"/>
      <c r="Y313" s="1"/>
      <c r="Z313" s="1"/>
      <c r="AA313" s="1"/>
    </row>
    <row r="314">
      <c r="A314" s="2"/>
      <c r="B314" s="2"/>
      <c r="C314" s="2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9">
        <f t="shared" si="9"/>
        <v>0</v>
      </c>
      <c r="W314" s="1"/>
      <c r="X314" s="1"/>
      <c r="Y314" s="1"/>
      <c r="Z314" s="1"/>
      <c r="AA314" s="1"/>
    </row>
    <row r="315">
      <c r="A315" s="2"/>
      <c r="B315" s="2"/>
      <c r="C315" s="2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9">
        <f t="shared" si="9"/>
        <v>0</v>
      </c>
      <c r="W315" s="1"/>
      <c r="X315" s="1"/>
      <c r="Y315" s="1"/>
      <c r="Z315" s="1"/>
      <c r="AA315" s="1"/>
    </row>
    <row r="316">
      <c r="A316" s="2"/>
      <c r="B316" s="2"/>
      <c r="C316" s="2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9">
        <f t="shared" si="9"/>
        <v>0</v>
      </c>
      <c r="W316" s="1"/>
      <c r="X316" s="1"/>
      <c r="Y316" s="1"/>
      <c r="Z316" s="1"/>
      <c r="AA316" s="1"/>
    </row>
    <row r="317">
      <c r="A317" s="2"/>
      <c r="B317" s="2"/>
      <c r="C317" s="2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9">
        <f t="shared" si="9"/>
        <v>0</v>
      </c>
      <c r="W317" s="1"/>
      <c r="X317" s="1"/>
      <c r="Y317" s="1"/>
      <c r="Z317" s="1"/>
      <c r="AA317" s="1"/>
    </row>
    <row r="318">
      <c r="A318" s="2"/>
      <c r="B318" s="2"/>
      <c r="C318" s="2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9">
        <f t="shared" si="9"/>
        <v>0</v>
      </c>
      <c r="W318" s="1"/>
      <c r="X318" s="1"/>
      <c r="Y318" s="1"/>
      <c r="Z318" s="1"/>
      <c r="AA318" s="1"/>
    </row>
    <row r="319">
      <c r="A319" s="2"/>
      <c r="B319" s="2"/>
      <c r="C319" s="2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9">
        <f t="shared" si="9"/>
        <v>0</v>
      </c>
      <c r="W319" s="1"/>
      <c r="X319" s="1"/>
      <c r="Y319" s="1"/>
      <c r="Z319" s="1"/>
      <c r="AA319" s="1"/>
    </row>
    <row r="320">
      <c r="A320" s="2"/>
      <c r="B320" s="2"/>
      <c r="C320" s="2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9">
        <f t="shared" si="9"/>
        <v>0</v>
      </c>
      <c r="W320" s="1"/>
      <c r="X320" s="1"/>
      <c r="Y320" s="1"/>
      <c r="Z320" s="1"/>
      <c r="AA320" s="1"/>
    </row>
    <row r="321">
      <c r="A321" s="2"/>
      <c r="B321" s="2"/>
      <c r="C321" s="2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9">
        <f t="shared" si="9"/>
        <v>0</v>
      </c>
      <c r="W321" s="1"/>
      <c r="X321" s="1"/>
      <c r="Y321" s="1"/>
      <c r="Z321" s="1"/>
      <c r="AA321" s="1"/>
    </row>
    <row r="322">
      <c r="A322" s="2"/>
      <c r="B322" s="2"/>
      <c r="C322" s="2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9">
        <f t="shared" si="9"/>
        <v>0</v>
      </c>
      <c r="W322" s="1"/>
      <c r="X322" s="1"/>
      <c r="Y322" s="1"/>
      <c r="Z322" s="1"/>
      <c r="AA322" s="1"/>
    </row>
    <row r="323">
      <c r="A323" s="2"/>
      <c r="B323" s="2"/>
      <c r="C323" s="2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9">
        <f t="shared" si="9"/>
        <v>0</v>
      </c>
      <c r="W323" s="1"/>
      <c r="X323" s="1"/>
      <c r="Y323" s="1"/>
      <c r="Z323" s="1"/>
      <c r="AA323" s="1"/>
    </row>
    <row r="324">
      <c r="A324" s="2"/>
      <c r="B324" s="2"/>
      <c r="C324" s="2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9">
        <f t="shared" si="9"/>
        <v>0</v>
      </c>
      <c r="W324" s="1"/>
      <c r="X324" s="1"/>
      <c r="Y324" s="1"/>
      <c r="Z324" s="1"/>
      <c r="AA324" s="1"/>
    </row>
    <row r="325">
      <c r="A325" s="2"/>
      <c r="B325" s="2"/>
      <c r="C325" s="2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9">
        <f t="shared" si="9"/>
        <v>0</v>
      </c>
      <c r="W325" s="1"/>
      <c r="X325" s="1"/>
      <c r="Y325" s="1"/>
      <c r="Z325" s="1"/>
      <c r="AA325" s="1"/>
    </row>
    <row r="326">
      <c r="A326" s="2"/>
      <c r="B326" s="2"/>
      <c r="C326" s="2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9">
        <f t="shared" si="9"/>
        <v>0</v>
      </c>
      <c r="W326" s="1"/>
      <c r="X326" s="1"/>
      <c r="Y326" s="1"/>
      <c r="Z326" s="1"/>
      <c r="AA326" s="1"/>
    </row>
    <row r="327">
      <c r="A327" s="2"/>
      <c r="B327" s="2"/>
      <c r="C327" s="2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9">
        <f t="shared" si="9"/>
        <v>0</v>
      </c>
      <c r="W327" s="1"/>
      <c r="X327" s="1"/>
      <c r="Y327" s="1"/>
      <c r="Z327" s="1"/>
      <c r="AA327" s="1"/>
    </row>
    <row r="328">
      <c r="A328" s="2"/>
      <c r="B328" s="2"/>
      <c r="C328" s="2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9">
        <f t="shared" si="9"/>
        <v>0</v>
      </c>
      <c r="W328" s="1"/>
      <c r="X328" s="1"/>
      <c r="Y328" s="1"/>
      <c r="Z328" s="1"/>
      <c r="AA328" s="1"/>
    </row>
    <row r="329">
      <c r="A329" s="2"/>
      <c r="B329" s="2"/>
      <c r="C329" s="2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9">
        <f t="shared" si="9"/>
        <v>0</v>
      </c>
      <c r="W329" s="1"/>
      <c r="X329" s="1"/>
      <c r="Y329" s="1"/>
      <c r="Z329" s="1"/>
      <c r="AA329" s="1"/>
    </row>
    <row r="330">
      <c r="A330" s="2"/>
      <c r="B330" s="2"/>
      <c r="C330" s="2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9">
        <f t="shared" si="9"/>
        <v>0</v>
      </c>
      <c r="W330" s="1"/>
      <c r="X330" s="1"/>
      <c r="Y330" s="1"/>
      <c r="Z330" s="1"/>
      <c r="AA330" s="1"/>
    </row>
    <row r="331">
      <c r="A331" s="2"/>
      <c r="B331" s="2"/>
      <c r="C331" s="2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9">
        <f t="shared" si="9"/>
        <v>0</v>
      </c>
      <c r="W331" s="1"/>
      <c r="X331" s="1"/>
      <c r="Y331" s="1"/>
      <c r="Z331" s="1"/>
      <c r="AA331" s="1"/>
    </row>
    <row r="332">
      <c r="A332" s="2"/>
      <c r="B332" s="2"/>
      <c r="C332" s="2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9">
        <f t="shared" si="9"/>
        <v>0</v>
      </c>
      <c r="W332" s="1"/>
      <c r="X332" s="1"/>
      <c r="Y332" s="1"/>
      <c r="Z332" s="1"/>
      <c r="AA332" s="1"/>
    </row>
    <row r="333">
      <c r="A333" s="2"/>
      <c r="B333" s="2"/>
      <c r="C333" s="2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9">
        <f t="shared" si="9"/>
        <v>0</v>
      </c>
      <c r="W333" s="1"/>
      <c r="X333" s="1"/>
      <c r="Y333" s="1"/>
      <c r="Z333" s="1"/>
      <c r="AA333" s="1"/>
    </row>
    <row r="334">
      <c r="A334" s="2"/>
      <c r="B334" s="2"/>
      <c r="C334" s="2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9">
        <f t="shared" si="9"/>
        <v>0</v>
      </c>
      <c r="W334" s="1"/>
      <c r="X334" s="1"/>
      <c r="Y334" s="1"/>
      <c r="Z334" s="1"/>
      <c r="AA334" s="1"/>
    </row>
    <row r="335">
      <c r="A335" s="2"/>
      <c r="B335" s="2"/>
      <c r="C335" s="2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9">
        <f t="shared" si="9"/>
        <v>0</v>
      </c>
      <c r="W335" s="1"/>
      <c r="X335" s="1"/>
      <c r="Y335" s="1"/>
      <c r="Z335" s="1"/>
      <c r="AA335" s="1"/>
    </row>
    <row r="336">
      <c r="A336" s="2"/>
      <c r="B336" s="2"/>
      <c r="C336" s="2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9">
        <f t="shared" si="9"/>
        <v>0</v>
      </c>
      <c r="W336" s="1"/>
      <c r="X336" s="1"/>
      <c r="Y336" s="1"/>
      <c r="Z336" s="1"/>
      <c r="AA336" s="1"/>
    </row>
    <row r="337">
      <c r="A337" s="2"/>
      <c r="B337" s="2"/>
      <c r="C337" s="2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9">
        <f t="shared" si="9"/>
        <v>0</v>
      </c>
      <c r="W337" s="1"/>
      <c r="X337" s="1"/>
      <c r="Y337" s="1"/>
      <c r="Z337" s="1"/>
      <c r="AA337" s="1"/>
    </row>
    <row r="338">
      <c r="A338" s="2"/>
      <c r="B338" s="2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9">
        <f t="shared" si="9"/>
        <v>0</v>
      </c>
      <c r="W338" s="1"/>
      <c r="X338" s="1"/>
      <c r="Y338" s="1"/>
      <c r="Z338" s="1"/>
      <c r="AA338" s="1"/>
    </row>
    <row r="339">
      <c r="A339" s="2"/>
      <c r="B339" s="2"/>
      <c r="C339" s="2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9">
        <f t="shared" si="9"/>
        <v>0</v>
      </c>
      <c r="W339" s="1"/>
      <c r="X339" s="1"/>
      <c r="Y339" s="1"/>
      <c r="Z339" s="1"/>
      <c r="AA339" s="1"/>
    </row>
    <row r="340">
      <c r="A340" s="2"/>
      <c r="B340" s="2"/>
      <c r="C340" s="2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9">
        <f t="shared" si="9"/>
        <v>0</v>
      </c>
      <c r="W340" s="1"/>
      <c r="X340" s="1"/>
      <c r="Y340" s="1"/>
      <c r="Z340" s="1"/>
      <c r="AA340" s="1"/>
    </row>
    <row r="341">
      <c r="A341" s="2"/>
      <c r="B341" s="2"/>
      <c r="C341" s="2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9">
        <f t="shared" si="9"/>
        <v>0</v>
      </c>
      <c r="W341" s="1"/>
      <c r="X341" s="1"/>
      <c r="Y341" s="1"/>
      <c r="Z341" s="1"/>
      <c r="AA341" s="1"/>
    </row>
    <row r="342">
      <c r="A342" s="2"/>
      <c r="B342" s="2"/>
      <c r="C342" s="2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9">
        <f t="shared" si="9"/>
        <v>0</v>
      </c>
      <c r="W342" s="1"/>
      <c r="X342" s="1"/>
      <c r="Y342" s="1"/>
      <c r="Z342" s="1"/>
      <c r="AA342" s="1"/>
    </row>
    <row r="343">
      <c r="A343" s="2"/>
      <c r="B343" s="2"/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9">
        <f t="shared" si="9"/>
        <v>0</v>
      </c>
      <c r="W343" s="1"/>
      <c r="X343" s="1"/>
      <c r="Y343" s="1"/>
      <c r="Z343" s="1"/>
      <c r="AA343" s="1"/>
    </row>
    <row r="344">
      <c r="A344" s="2"/>
      <c r="B344" s="2"/>
      <c r="C344" s="2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9">
        <f t="shared" si="9"/>
        <v>0</v>
      </c>
      <c r="W344" s="1"/>
      <c r="X344" s="1"/>
      <c r="Y344" s="1"/>
      <c r="Z344" s="1"/>
      <c r="AA344" s="1"/>
    </row>
    <row r="345">
      <c r="A345" s="2"/>
      <c r="B345" s="2"/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9">
        <f t="shared" si="9"/>
        <v>0</v>
      </c>
      <c r="W345" s="1"/>
      <c r="X345" s="1"/>
      <c r="Y345" s="1"/>
      <c r="Z345" s="1"/>
      <c r="AA345" s="1"/>
    </row>
    <row r="346">
      <c r="A346" s="2"/>
      <c r="B346" s="2"/>
      <c r="C346" s="2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9">
        <f t="shared" si="9"/>
        <v>0</v>
      </c>
      <c r="W346" s="1"/>
      <c r="X346" s="1"/>
      <c r="Y346" s="1"/>
      <c r="Z346" s="1"/>
      <c r="AA346" s="1"/>
    </row>
    <row r="347">
      <c r="A347" s="2"/>
      <c r="B347" s="2"/>
      <c r="C347" s="2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9">
        <f t="shared" si="9"/>
        <v>0</v>
      </c>
      <c r="W347" s="1"/>
      <c r="X347" s="1"/>
      <c r="Y347" s="1"/>
      <c r="Z347" s="1"/>
      <c r="AA347" s="1"/>
    </row>
    <row r="348">
      <c r="A348" s="2"/>
      <c r="B348" s="2"/>
      <c r="C348" s="2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9">
        <f t="shared" si="9"/>
        <v>0</v>
      </c>
      <c r="W348" s="1"/>
      <c r="X348" s="1"/>
      <c r="Y348" s="1"/>
      <c r="Z348" s="1"/>
      <c r="AA348" s="1"/>
    </row>
    <row r="349">
      <c r="A349" s="2"/>
      <c r="B349" s="2"/>
      <c r="C349" s="2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9">
        <f t="shared" si="9"/>
        <v>0</v>
      </c>
      <c r="W349" s="1"/>
      <c r="X349" s="1"/>
      <c r="Y349" s="1"/>
      <c r="Z349" s="1"/>
      <c r="AA349" s="1"/>
    </row>
    <row r="350">
      <c r="A350" s="2"/>
      <c r="B350" s="2"/>
      <c r="C350" s="2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9">
        <f t="shared" si="9"/>
        <v>0</v>
      </c>
      <c r="W350" s="1"/>
      <c r="X350" s="1"/>
      <c r="Y350" s="1"/>
      <c r="Z350" s="1"/>
      <c r="AA350" s="1"/>
    </row>
    <row r="351">
      <c r="A351" s="2"/>
      <c r="B351" s="2"/>
      <c r="C351" s="2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9">
        <f t="shared" si="9"/>
        <v>0</v>
      </c>
      <c r="W351" s="1"/>
      <c r="X351" s="1"/>
      <c r="Y351" s="1"/>
      <c r="Z351" s="1"/>
      <c r="AA351" s="1"/>
    </row>
    <row r="352">
      <c r="A352" s="2"/>
      <c r="B352" s="2"/>
      <c r="C352" s="2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9">
        <f t="shared" si="9"/>
        <v>0</v>
      </c>
      <c r="W352" s="1"/>
      <c r="X352" s="1"/>
      <c r="Y352" s="1"/>
      <c r="Z352" s="1"/>
      <c r="AA352" s="1"/>
    </row>
    <row r="353">
      <c r="A353" s="2"/>
      <c r="B353" s="2"/>
      <c r="C353" s="2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9">
        <f t="shared" si="9"/>
        <v>0</v>
      </c>
      <c r="W353" s="1"/>
      <c r="X353" s="1"/>
      <c r="Y353" s="1"/>
      <c r="Z353" s="1"/>
      <c r="AA353" s="1"/>
    </row>
    <row r="354">
      <c r="A354" s="2"/>
      <c r="B354" s="2"/>
      <c r="C354" s="2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9">
        <f t="shared" si="9"/>
        <v>0</v>
      </c>
      <c r="W354" s="1"/>
      <c r="X354" s="1"/>
      <c r="Y354" s="1"/>
      <c r="Z354" s="1"/>
      <c r="AA354" s="1"/>
    </row>
    <row r="355">
      <c r="A355" s="2"/>
      <c r="B355" s="2"/>
      <c r="C355" s="2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9">
        <f t="shared" si="9"/>
        <v>0</v>
      </c>
      <c r="W355" s="1"/>
      <c r="X355" s="1"/>
      <c r="Y355" s="1"/>
      <c r="Z355" s="1"/>
      <c r="AA355" s="1"/>
    </row>
    <row r="356">
      <c r="A356" s="2"/>
      <c r="B356" s="2"/>
      <c r="C356" s="2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9">
        <f t="shared" si="9"/>
        <v>0</v>
      </c>
      <c r="W356" s="1"/>
      <c r="X356" s="1"/>
      <c r="Y356" s="1"/>
      <c r="Z356" s="1"/>
      <c r="AA356" s="1"/>
    </row>
    <row r="357">
      <c r="A357" s="2"/>
      <c r="B357" s="2"/>
      <c r="C357" s="2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9">
        <f t="shared" si="9"/>
        <v>0</v>
      </c>
      <c r="W357" s="1"/>
      <c r="X357" s="1"/>
      <c r="Y357" s="1"/>
      <c r="Z357" s="1"/>
      <c r="AA357" s="1"/>
    </row>
    <row r="358">
      <c r="A358" s="2"/>
      <c r="B358" s="2"/>
      <c r="C358" s="2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9">
        <f t="shared" si="9"/>
        <v>0</v>
      </c>
      <c r="W358" s="1"/>
      <c r="X358" s="1"/>
      <c r="Y358" s="1"/>
      <c r="Z358" s="1"/>
      <c r="AA358" s="1"/>
    </row>
    <row r="359">
      <c r="A359" s="2"/>
      <c r="B359" s="2"/>
      <c r="C359" s="2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9">
        <f t="shared" si="9"/>
        <v>0</v>
      </c>
      <c r="W359" s="1"/>
      <c r="X359" s="1"/>
      <c r="Y359" s="1"/>
      <c r="Z359" s="1"/>
      <c r="AA359" s="1"/>
    </row>
    <row r="360">
      <c r="A360" s="2"/>
      <c r="B360" s="2"/>
      <c r="C360" s="2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9">
        <f t="shared" si="9"/>
        <v>0</v>
      </c>
      <c r="W360" s="1"/>
      <c r="X360" s="1"/>
      <c r="Y360" s="1"/>
      <c r="Z360" s="1"/>
      <c r="AA360" s="1"/>
    </row>
    <row r="361">
      <c r="A361" s="2"/>
      <c r="B361" s="2"/>
      <c r="C361" s="2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9">
        <f t="shared" si="9"/>
        <v>0</v>
      </c>
      <c r="W361" s="1"/>
      <c r="X361" s="1"/>
      <c r="Y361" s="1"/>
      <c r="Z361" s="1"/>
      <c r="AA361" s="1"/>
    </row>
    <row r="362">
      <c r="A362" s="2"/>
      <c r="B362" s="2"/>
      <c r="C362" s="2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9">
        <f t="shared" si="9"/>
        <v>0</v>
      </c>
      <c r="W362" s="1"/>
      <c r="X362" s="1"/>
      <c r="Y362" s="1"/>
      <c r="Z362" s="1"/>
      <c r="AA362" s="1"/>
    </row>
    <row r="363">
      <c r="A363" s="2"/>
      <c r="B363" s="2"/>
      <c r="C363" s="2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9">
        <f t="shared" si="9"/>
        <v>0</v>
      </c>
      <c r="W363" s="1"/>
      <c r="X363" s="1"/>
      <c r="Y363" s="1"/>
      <c r="Z363" s="1"/>
      <c r="AA363" s="1"/>
    </row>
    <row r="364">
      <c r="A364" s="2"/>
      <c r="B364" s="2"/>
      <c r="C364" s="2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9">
        <f t="shared" si="9"/>
        <v>0</v>
      </c>
      <c r="W364" s="1"/>
      <c r="X364" s="1"/>
      <c r="Y364" s="1"/>
      <c r="Z364" s="1"/>
      <c r="AA364" s="1"/>
    </row>
    <row r="365">
      <c r="A365" s="2"/>
      <c r="B365" s="2"/>
      <c r="C365" s="2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9">
        <f t="shared" si="9"/>
        <v>0</v>
      </c>
      <c r="W365" s="1"/>
      <c r="X365" s="1"/>
      <c r="Y365" s="1"/>
      <c r="Z365" s="1"/>
      <c r="AA365" s="1"/>
    </row>
    <row r="366">
      <c r="A366" s="2"/>
      <c r="B366" s="2"/>
      <c r="C366" s="2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9">
        <f t="shared" si="9"/>
        <v>0</v>
      </c>
      <c r="W366" s="1"/>
      <c r="X366" s="1"/>
      <c r="Y366" s="1"/>
      <c r="Z366" s="1"/>
      <c r="AA366" s="1"/>
    </row>
    <row r="367">
      <c r="A367" s="2"/>
      <c r="B367" s="2"/>
      <c r="C367" s="2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9">
        <f t="shared" si="9"/>
        <v>0</v>
      </c>
      <c r="W367" s="1"/>
      <c r="X367" s="1"/>
      <c r="Y367" s="1"/>
      <c r="Z367" s="1"/>
      <c r="AA367" s="1"/>
    </row>
    <row r="368">
      <c r="A368" s="2"/>
      <c r="B368" s="2"/>
      <c r="C368" s="2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9">
        <f t="shared" si="9"/>
        <v>0</v>
      </c>
      <c r="W368" s="1"/>
      <c r="X368" s="1"/>
      <c r="Y368" s="1"/>
      <c r="Z368" s="1"/>
      <c r="AA368" s="1"/>
    </row>
    <row r="369">
      <c r="A369" s="2"/>
      <c r="B369" s="2"/>
      <c r="C369" s="2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9">
        <f t="shared" si="9"/>
        <v>0</v>
      </c>
      <c r="W369" s="1"/>
      <c r="X369" s="1"/>
      <c r="Y369" s="1"/>
      <c r="Z369" s="1"/>
      <c r="AA369" s="1"/>
    </row>
    <row r="370">
      <c r="A370" s="2"/>
      <c r="B370" s="2"/>
      <c r="C370" s="2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9">
        <f t="shared" si="9"/>
        <v>0</v>
      </c>
      <c r="W370" s="1"/>
      <c r="X370" s="1"/>
      <c r="Y370" s="1"/>
      <c r="Z370" s="1"/>
      <c r="AA370" s="1"/>
    </row>
    <row r="371">
      <c r="A371" s="2"/>
      <c r="B371" s="2"/>
      <c r="C371" s="2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9">
        <f t="shared" si="9"/>
        <v>0</v>
      </c>
      <c r="W371" s="1"/>
      <c r="X371" s="1"/>
      <c r="Y371" s="1"/>
      <c r="Z371" s="1"/>
      <c r="AA371" s="1"/>
    </row>
    <row r="372">
      <c r="A372" s="2"/>
      <c r="B372" s="2"/>
      <c r="C372" s="2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9">
        <f t="shared" si="9"/>
        <v>0</v>
      </c>
      <c r="W372" s="1"/>
      <c r="X372" s="1"/>
      <c r="Y372" s="1"/>
      <c r="Z372" s="1"/>
      <c r="AA372" s="1"/>
    </row>
    <row r="373">
      <c r="A373" s="2"/>
      <c r="B373" s="2"/>
      <c r="C373" s="2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9">
        <f t="shared" si="9"/>
        <v>0</v>
      </c>
      <c r="W373" s="1"/>
      <c r="X373" s="1"/>
      <c r="Y373" s="1"/>
      <c r="Z373" s="1"/>
      <c r="AA373" s="1"/>
    </row>
    <row r="374">
      <c r="A374" s="2"/>
      <c r="B374" s="2"/>
      <c r="C374" s="2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9">
        <f t="shared" si="9"/>
        <v>0</v>
      </c>
      <c r="W374" s="1"/>
      <c r="X374" s="1"/>
      <c r="Y374" s="1"/>
      <c r="Z374" s="1"/>
      <c r="AA374" s="1"/>
    </row>
    <row r="375">
      <c r="A375" s="2"/>
      <c r="B375" s="2"/>
      <c r="C375" s="2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9">
        <f t="shared" si="9"/>
        <v>0</v>
      </c>
      <c r="W375" s="1"/>
      <c r="X375" s="1"/>
      <c r="Y375" s="1"/>
      <c r="Z375" s="1"/>
      <c r="AA375" s="1"/>
    </row>
    <row r="376">
      <c r="A376" s="2"/>
      <c r="B376" s="2"/>
      <c r="C376" s="2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9">
        <f t="shared" si="9"/>
        <v>0</v>
      </c>
      <c r="W376" s="1"/>
      <c r="X376" s="1"/>
      <c r="Y376" s="1"/>
      <c r="Z376" s="1"/>
      <c r="AA376" s="1"/>
    </row>
    <row r="377">
      <c r="A377" s="2"/>
      <c r="B377" s="2"/>
      <c r="C377" s="2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9">
        <f t="shared" si="9"/>
        <v>0</v>
      </c>
      <c r="W377" s="1"/>
      <c r="X377" s="1"/>
      <c r="Y377" s="1"/>
      <c r="Z377" s="1"/>
      <c r="AA377" s="1"/>
    </row>
    <row r="378">
      <c r="A378" s="2"/>
      <c r="B378" s="2"/>
      <c r="C378" s="2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9">
        <f t="shared" si="9"/>
        <v>0</v>
      </c>
      <c r="W378" s="1"/>
      <c r="X378" s="1"/>
      <c r="Y378" s="1"/>
      <c r="Z378" s="1"/>
      <c r="AA378" s="1"/>
    </row>
    <row r="379">
      <c r="A379" s="2"/>
      <c r="B379" s="2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9">
        <f t="shared" si="9"/>
        <v>0</v>
      </c>
      <c r="W379" s="1"/>
      <c r="X379" s="1"/>
      <c r="Y379" s="1"/>
      <c r="Z379" s="1"/>
      <c r="AA379" s="1"/>
    </row>
    <row r="380">
      <c r="A380" s="2"/>
      <c r="B380" s="2"/>
      <c r="C380" s="2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9">
        <f t="shared" si="9"/>
        <v>0</v>
      </c>
      <c r="W380" s="1"/>
      <c r="X380" s="1"/>
      <c r="Y380" s="1"/>
      <c r="Z380" s="1"/>
      <c r="AA380" s="1"/>
    </row>
    <row r="381">
      <c r="A381" s="2"/>
      <c r="B381" s="2"/>
      <c r="C381" s="2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9">
        <f t="shared" si="9"/>
        <v>0</v>
      </c>
      <c r="W381" s="1"/>
      <c r="X381" s="1"/>
      <c r="Y381" s="1"/>
      <c r="Z381" s="1"/>
      <c r="AA381" s="1"/>
    </row>
    <row r="382">
      <c r="A382" s="2"/>
      <c r="B382" s="2"/>
      <c r="C382" s="2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9">
        <f t="shared" si="9"/>
        <v>0</v>
      </c>
      <c r="W382" s="1"/>
      <c r="X382" s="1"/>
      <c r="Y382" s="1"/>
      <c r="Z382" s="1"/>
      <c r="AA382" s="1"/>
    </row>
    <row r="383">
      <c r="A383" s="2"/>
      <c r="B383" s="2"/>
      <c r="C383" s="2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9">
        <f t="shared" si="9"/>
        <v>0</v>
      </c>
      <c r="W383" s="1"/>
      <c r="X383" s="1"/>
      <c r="Y383" s="1"/>
      <c r="Z383" s="1"/>
      <c r="AA383" s="1"/>
    </row>
    <row r="384">
      <c r="A384" s="2"/>
      <c r="B384" s="2"/>
      <c r="C384" s="2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9">
        <f t="shared" si="9"/>
        <v>0</v>
      </c>
      <c r="W384" s="1"/>
      <c r="X384" s="1"/>
      <c r="Y384" s="1"/>
      <c r="Z384" s="1"/>
      <c r="AA384" s="1"/>
    </row>
    <row r="385">
      <c r="A385" s="2"/>
      <c r="B385" s="2"/>
      <c r="C385" s="2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9">
        <f t="shared" si="9"/>
        <v>0</v>
      </c>
      <c r="W385" s="1"/>
      <c r="X385" s="1"/>
      <c r="Y385" s="1"/>
      <c r="Z385" s="1"/>
      <c r="AA385" s="1"/>
    </row>
    <row r="386">
      <c r="A386" s="2"/>
      <c r="B386" s="2"/>
      <c r="C386" s="2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9">
        <f t="shared" si="9"/>
        <v>0</v>
      </c>
      <c r="W386" s="1"/>
      <c r="X386" s="1"/>
      <c r="Y386" s="1"/>
      <c r="Z386" s="1"/>
      <c r="AA386" s="1"/>
    </row>
    <row r="387">
      <c r="A387" s="2"/>
      <c r="B387" s="2"/>
      <c r="C387" s="2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9">
        <f t="shared" si="9"/>
        <v>0</v>
      </c>
      <c r="W387" s="1"/>
      <c r="X387" s="1"/>
      <c r="Y387" s="1"/>
      <c r="Z387" s="1"/>
      <c r="AA387" s="1"/>
    </row>
    <row r="388">
      <c r="A388" s="2"/>
      <c r="B388" s="2"/>
      <c r="C388" s="2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9">
        <f t="shared" si="9"/>
        <v>0</v>
      </c>
      <c r="W388" s="1"/>
      <c r="X388" s="1"/>
      <c r="Y388" s="1"/>
      <c r="Z388" s="1"/>
      <c r="AA388" s="1"/>
    </row>
    <row r="389">
      <c r="A389" s="2"/>
      <c r="B389" s="2"/>
      <c r="C389" s="2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9">
        <f t="shared" si="9"/>
        <v>0</v>
      </c>
      <c r="W389" s="1"/>
      <c r="X389" s="1"/>
      <c r="Y389" s="1"/>
      <c r="Z389" s="1"/>
      <c r="AA389" s="1"/>
    </row>
    <row r="390">
      <c r="A390" s="2"/>
      <c r="B390" s="2"/>
      <c r="C390" s="2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9">
        <f t="shared" si="9"/>
        <v>0</v>
      </c>
      <c r="W390" s="1"/>
      <c r="X390" s="1"/>
      <c r="Y390" s="1"/>
      <c r="Z390" s="1"/>
      <c r="AA390" s="1"/>
    </row>
    <row r="391">
      <c r="A391" s="2"/>
      <c r="B391" s="2"/>
      <c r="C391" s="2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9">
        <f t="shared" si="9"/>
        <v>0</v>
      </c>
      <c r="W391" s="1"/>
      <c r="X391" s="1"/>
      <c r="Y391" s="1"/>
      <c r="Z391" s="1"/>
      <c r="AA391" s="1"/>
    </row>
    <row r="392">
      <c r="A392" s="2"/>
      <c r="B392" s="2"/>
      <c r="C392" s="2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9">
        <f t="shared" si="9"/>
        <v>0</v>
      </c>
      <c r="W392" s="1"/>
      <c r="X392" s="1"/>
      <c r="Y392" s="1"/>
      <c r="Z392" s="1"/>
      <c r="AA392" s="1"/>
    </row>
    <row r="393">
      <c r="A393" s="2"/>
      <c r="B393" s="2"/>
      <c r="C393" s="2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9">
        <f t="shared" si="9"/>
        <v>0</v>
      </c>
      <c r="W393" s="1"/>
      <c r="X393" s="1"/>
      <c r="Y393" s="1"/>
      <c r="Z393" s="1"/>
      <c r="AA393" s="1"/>
    </row>
    <row r="394">
      <c r="A394" s="2"/>
      <c r="B394" s="2"/>
      <c r="C394" s="2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9">
        <f t="shared" si="9"/>
        <v>0</v>
      </c>
      <c r="W394" s="1"/>
      <c r="X394" s="1"/>
      <c r="Y394" s="1"/>
      <c r="Z394" s="1"/>
      <c r="AA394" s="1"/>
    </row>
    <row r="395">
      <c r="A395" s="2"/>
      <c r="B395" s="2"/>
      <c r="C395" s="2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9">
        <f t="shared" si="9"/>
        <v>0</v>
      </c>
      <c r="W395" s="1"/>
      <c r="X395" s="1"/>
      <c r="Y395" s="1"/>
      <c r="Z395" s="1"/>
      <c r="AA395" s="1"/>
    </row>
    <row r="396">
      <c r="A396" s="2"/>
      <c r="B396" s="2"/>
      <c r="C396" s="2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9">
        <f t="shared" si="9"/>
        <v>0</v>
      </c>
      <c r="W396" s="1"/>
      <c r="X396" s="1"/>
      <c r="Y396" s="1"/>
      <c r="Z396" s="1"/>
      <c r="AA396" s="1"/>
    </row>
    <row r="397">
      <c r="A397" s="2"/>
      <c r="B397" s="2"/>
      <c r="C397" s="2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9">
        <f t="shared" si="9"/>
        <v>0</v>
      </c>
      <c r="W397" s="1"/>
      <c r="X397" s="1"/>
      <c r="Y397" s="1"/>
      <c r="Z397" s="1"/>
      <c r="AA397" s="1"/>
    </row>
    <row r="398">
      <c r="A398" s="2"/>
      <c r="B398" s="2"/>
      <c r="C398" s="2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9">
        <f t="shared" si="9"/>
        <v>0</v>
      </c>
      <c r="W398" s="1"/>
      <c r="X398" s="1"/>
      <c r="Y398" s="1"/>
      <c r="Z398" s="1"/>
      <c r="AA398" s="1"/>
    </row>
    <row r="399">
      <c r="A399" s="2"/>
      <c r="B399" s="2"/>
      <c r="C399" s="2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9">
        <f t="shared" si="9"/>
        <v>0</v>
      </c>
      <c r="W399" s="1"/>
      <c r="X399" s="1"/>
      <c r="Y399" s="1"/>
      <c r="Z399" s="1"/>
      <c r="AA399" s="1"/>
    </row>
    <row r="400">
      <c r="A400" s="2"/>
      <c r="B400" s="2"/>
      <c r="C400" s="2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9">
        <f t="shared" si="9"/>
        <v>0</v>
      </c>
      <c r="W400" s="1"/>
      <c r="X400" s="1"/>
      <c r="Y400" s="1"/>
      <c r="Z400" s="1"/>
      <c r="AA400" s="1"/>
    </row>
    <row r="401">
      <c r="A401" s="2"/>
      <c r="B401" s="2"/>
      <c r="C401" s="2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9">
        <f t="shared" si="9"/>
        <v>0</v>
      </c>
      <c r="W401" s="1"/>
      <c r="X401" s="1"/>
      <c r="Y401" s="1"/>
      <c r="Z401" s="1"/>
      <c r="AA401" s="1"/>
    </row>
    <row r="402">
      <c r="A402" s="2"/>
      <c r="B402" s="2"/>
      <c r="C402" s="2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9">
        <f t="shared" si="9"/>
        <v>0</v>
      </c>
      <c r="W402" s="1"/>
      <c r="X402" s="1"/>
      <c r="Y402" s="1"/>
      <c r="Z402" s="1"/>
      <c r="AA402" s="1"/>
    </row>
    <row r="403">
      <c r="A403" s="2"/>
      <c r="B403" s="2"/>
      <c r="C403" s="2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9">
        <f t="shared" si="9"/>
        <v>0</v>
      </c>
      <c r="W403" s="1"/>
      <c r="X403" s="1"/>
      <c r="Y403" s="1"/>
      <c r="Z403" s="1"/>
      <c r="AA403" s="1"/>
    </row>
    <row r="404">
      <c r="A404" s="2"/>
      <c r="B404" s="2"/>
      <c r="C404" s="2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9">
        <f t="shared" si="9"/>
        <v>0</v>
      </c>
      <c r="W404" s="1"/>
      <c r="X404" s="1"/>
      <c r="Y404" s="1"/>
      <c r="Z404" s="1"/>
      <c r="AA404" s="1"/>
    </row>
    <row r="405">
      <c r="A405" s="2"/>
      <c r="B405" s="2"/>
      <c r="C405" s="2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9">
        <f t="shared" si="9"/>
        <v>0</v>
      </c>
      <c r="W405" s="1"/>
      <c r="X405" s="1"/>
      <c r="Y405" s="1"/>
      <c r="Z405" s="1"/>
      <c r="AA405" s="1"/>
    </row>
    <row r="406">
      <c r="A406" s="2"/>
      <c r="B406" s="2"/>
      <c r="C406" s="2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9">
        <f t="shared" si="9"/>
        <v>0</v>
      </c>
      <c r="W406" s="1"/>
      <c r="X406" s="1"/>
      <c r="Y406" s="1"/>
      <c r="Z406" s="1"/>
      <c r="AA406" s="1"/>
    </row>
    <row r="407">
      <c r="A407" s="2"/>
      <c r="B407" s="2"/>
      <c r="C407" s="2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9">
        <f t="shared" si="9"/>
        <v>0</v>
      </c>
      <c r="W407" s="1"/>
      <c r="X407" s="1"/>
      <c r="Y407" s="1"/>
      <c r="Z407" s="1"/>
      <c r="AA407" s="1"/>
    </row>
    <row r="408">
      <c r="A408" s="2"/>
      <c r="B408" s="2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9">
        <f t="shared" si="9"/>
        <v>0</v>
      </c>
      <c r="W408" s="1"/>
      <c r="X408" s="1"/>
      <c r="Y408" s="1"/>
      <c r="Z408" s="1"/>
      <c r="AA408" s="1"/>
    </row>
    <row r="409">
      <c r="A409" s="2"/>
      <c r="B409" s="2"/>
      <c r="C409" s="2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9">
        <f t="shared" si="9"/>
        <v>0</v>
      </c>
      <c r="W409" s="1"/>
      <c r="X409" s="1"/>
      <c r="Y409" s="1"/>
      <c r="Z409" s="1"/>
      <c r="AA409" s="1"/>
    </row>
    <row r="410">
      <c r="A410" s="2"/>
      <c r="B410" s="2"/>
      <c r="C410" s="2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9">
        <f t="shared" si="9"/>
        <v>0</v>
      </c>
      <c r="W410" s="1"/>
      <c r="X410" s="1"/>
      <c r="Y410" s="1"/>
      <c r="Z410" s="1"/>
      <c r="AA410" s="1"/>
    </row>
    <row r="411">
      <c r="A411" s="2"/>
      <c r="B411" s="2"/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9">
        <f t="shared" si="9"/>
        <v>0</v>
      </c>
      <c r="W411" s="1"/>
      <c r="X411" s="1"/>
      <c r="Y411" s="1"/>
      <c r="Z411" s="1"/>
      <c r="AA411" s="1"/>
    </row>
    <row r="412">
      <c r="A412" s="2"/>
      <c r="B412" s="2"/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9">
        <f t="shared" si="9"/>
        <v>0</v>
      </c>
      <c r="W412" s="1"/>
      <c r="X412" s="1"/>
      <c r="Y412" s="1"/>
      <c r="Z412" s="1"/>
      <c r="AA412" s="1"/>
    </row>
    <row r="413">
      <c r="A413" s="2"/>
      <c r="B413" s="2"/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9">
        <f t="shared" si="9"/>
        <v>0</v>
      </c>
      <c r="W413" s="1"/>
      <c r="X413" s="1"/>
      <c r="Y413" s="1"/>
      <c r="Z413" s="1"/>
      <c r="AA413" s="1"/>
    </row>
    <row r="414">
      <c r="A414" s="2"/>
      <c r="B414" s="2"/>
      <c r="C414" s="2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9">
        <f t="shared" si="9"/>
        <v>0</v>
      </c>
      <c r="W414" s="1"/>
      <c r="X414" s="1"/>
      <c r="Y414" s="1"/>
      <c r="Z414" s="1"/>
      <c r="AA414" s="1"/>
    </row>
    <row r="415">
      <c r="A415" s="2"/>
      <c r="B415" s="2"/>
      <c r="C415" s="2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9">
        <f t="shared" si="9"/>
        <v>0</v>
      </c>
      <c r="W415" s="1"/>
      <c r="X415" s="1"/>
      <c r="Y415" s="1"/>
      <c r="Z415" s="1"/>
      <c r="AA415" s="1"/>
    </row>
    <row r="416">
      <c r="A416" s="2"/>
      <c r="B416" s="2"/>
      <c r="C416" s="2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9">
        <f t="shared" si="9"/>
        <v>0</v>
      </c>
      <c r="W416" s="1"/>
      <c r="X416" s="1"/>
      <c r="Y416" s="1"/>
      <c r="Z416" s="1"/>
      <c r="AA416" s="1"/>
    </row>
    <row r="417">
      <c r="A417" s="2"/>
      <c r="B417" s="2"/>
      <c r="C417" s="2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9">
        <f t="shared" si="9"/>
        <v>0</v>
      </c>
      <c r="W417" s="1"/>
      <c r="X417" s="1"/>
      <c r="Y417" s="1"/>
      <c r="Z417" s="1"/>
      <c r="AA417" s="1"/>
    </row>
    <row r="418">
      <c r="A418" s="2"/>
      <c r="B418" s="2"/>
      <c r="C418" s="2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9">
        <f t="shared" si="9"/>
        <v>0</v>
      </c>
      <c r="W418" s="1"/>
      <c r="X418" s="1"/>
      <c r="Y418" s="1"/>
      <c r="Z418" s="1"/>
      <c r="AA418" s="1"/>
    </row>
    <row r="419">
      <c r="A419" s="2"/>
      <c r="B419" s="2"/>
      <c r="C419" s="2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9">
        <f t="shared" si="9"/>
        <v>0</v>
      </c>
      <c r="W419" s="1"/>
      <c r="X419" s="1"/>
      <c r="Y419" s="1"/>
      <c r="Z419" s="1"/>
      <c r="AA419" s="1"/>
    </row>
    <row r="420">
      <c r="A420" s="2"/>
      <c r="B420" s="2"/>
      <c r="C420" s="2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9">
        <f t="shared" si="9"/>
        <v>0</v>
      </c>
      <c r="W420" s="1"/>
      <c r="X420" s="1"/>
      <c r="Y420" s="1"/>
      <c r="Z420" s="1"/>
      <c r="AA420" s="1"/>
    </row>
    <row r="421">
      <c r="A421" s="2"/>
      <c r="B421" s="2"/>
      <c r="C421" s="2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9">
        <f t="shared" si="9"/>
        <v>0</v>
      </c>
      <c r="W421" s="1"/>
      <c r="X421" s="1"/>
      <c r="Y421" s="1"/>
      <c r="Z421" s="1"/>
      <c r="AA421" s="1"/>
    </row>
    <row r="422">
      <c r="A422" s="2"/>
      <c r="B422" s="2"/>
      <c r="C422" s="2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9">
        <f t="shared" si="9"/>
        <v>0</v>
      </c>
      <c r="W422" s="1"/>
      <c r="X422" s="1"/>
      <c r="Y422" s="1"/>
      <c r="Z422" s="1"/>
      <c r="AA422" s="1"/>
    </row>
    <row r="423">
      <c r="A423" s="2"/>
      <c r="B423" s="2"/>
      <c r="C423" s="2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9">
        <f t="shared" si="9"/>
        <v>0</v>
      </c>
      <c r="W423" s="1"/>
      <c r="X423" s="1"/>
      <c r="Y423" s="1"/>
      <c r="Z423" s="1"/>
      <c r="AA423" s="1"/>
    </row>
    <row r="424">
      <c r="A424" s="2"/>
      <c r="B424" s="2"/>
      <c r="C424" s="2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9">
        <f t="shared" si="9"/>
        <v>0</v>
      </c>
      <c r="W424" s="1"/>
      <c r="X424" s="1"/>
      <c r="Y424" s="1"/>
      <c r="Z424" s="1"/>
      <c r="AA424" s="1"/>
    </row>
    <row r="425">
      <c r="A425" s="2"/>
      <c r="B425" s="2"/>
      <c r="C425" s="2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9">
        <f t="shared" si="9"/>
        <v>0</v>
      </c>
      <c r="W425" s="1"/>
      <c r="X425" s="1"/>
      <c r="Y425" s="1"/>
      <c r="Z425" s="1"/>
      <c r="AA425" s="1"/>
    </row>
    <row r="426">
      <c r="A426" s="2"/>
      <c r="B426" s="2"/>
      <c r="C426" s="2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9">
        <f t="shared" si="9"/>
        <v>0</v>
      </c>
      <c r="W426" s="1"/>
      <c r="X426" s="1"/>
      <c r="Y426" s="1"/>
      <c r="Z426" s="1"/>
      <c r="AA426" s="1"/>
    </row>
    <row r="427">
      <c r="A427" s="2"/>
      <c r="B427" s="2"/>
      <c r="C427" s="2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9">
        <f t="shared" si="9"/>
        <v>0</v>
      </c>
      <c r="W427" s="1"/>
      <c r="X427" s="1"/>
      <c r="Y427" s="1"/>
      <c r="Z427" s="1"/>
      <c r="AA427" s="1"/>
    </row>
    <row r="428">
      <c r="A428" s="2"/>
      <c r="B428" s="2"/>
      <c r="C428" s="2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9">
        <f t="shared" si="9"/>
        <v>0</v>
      </c>
      <c r="W428" s="1"/>
      <c r="X428" s="1"/>
      <c r="Y428" s="1"/>
      <c r="Z428" s="1"/>
      <c r="AA428" s="1"/>
    </row>
    <row r="429">
      <c r="A429" s="2"/>
      <c r="B429" s="2"/>
      <c r="C429" s="2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9">
        <f t="shared" si="9"/>
        <v>0</v>
      </c>
      <c r="W429" s="1"/>
      <c r="X429" s="1"/>
      <c r="Y429" s="1"/>
      <c r="Z429" s="1"/>
      <c r="AA429" s="1"/>
    </row>
    <row r="430">
      <c r="A430" s="2"/>
      <c r="B430" s="2"/>
      <c r="C430" s="2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9">
        <f t="shared" si="9"/>
        <v>0</v>
      </c>
      <c r="W430" s="1"/>
      <c r="X430" s="1"/>
      <c r="Y430" s="1"/>
      <c r="Z430" s="1"/>
      <c r="AA430" s="1"/>
    </row>
    <row r="431">
      <c r="A431" s="2"/>
      <c r="B431" s="2"/>
      <c r="C431" s="2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9">
        <f t="shared" si="9"/>
        <v>0</v>
      </c>
      <c r="W431" s="1"/>
      <c r="X431" s="1"/>
      <c r="Y431" s="1"/>
      <c r="Z431" s="1"/>
      <c r="AA431" s="1"/>
    </row>
    <row r="432">
      <c r="A432" s="2"/>
      <c r="B432" s="2"/>
      <c r="C432" s="2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9">
        <f t="shared" si="9"/>
        <v>0</v>
      </c>
      <c r="W432" s="1"/>
      <c r="X432" s="1"/>
      <c r="Y432" s="1"/>
      <c r="Z432" s="1"/>
      <c r="AA432" s="1"/>
    </row>
    <row r="433">
      <c r="A433" s="2"/>
      <c r="B433" s="2"/>
      <c r="C433" s="2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9">
        <f t="shared" si="9"/>
        <v>0</v>
      </c>
      <c r="W433" s="1"/>
      <c r="X433" s="1"/>
      <c r="Y433" s="1"/>
      <c r="Z433" s="1"/>
      <c r="AA433" s="1"/>
    </row>
    <row r="434">
      <c r="A434" s="2"/>
      <c r="B434" s="2"/>
      <c r="C434" s="2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9">
        <f t="shared" si="9"/>
        <v>0</v>
      </c>
      <c r="W434" s="1"/>
      <c r="X434" s="1"/>
      <c r="Y434" s="1"/>
      <c r="Z434" s="1"/>
      <c r="AA434" s="1"/>
    </row>
    <row r="435">
      <c r="A435" s="2"/>
      <c r="B435" s="2"/>
      <c r="C435" s="2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9">
        <f t="shared" si="9"/>
        <v>0</v>
      </c>
      <c r="W435" s="1"/>
      <c r="X435" s="1"/>
      <c r="Y435" s="1"/>
      <c r="Z435" s="1"/>
      <c r="AA435" s="1"/>
    </row>
    <row r="436">
      <c r="A436" s="2"/>
      <c r="B436" s="2"/>
      <c r="C436" s="2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9">
        <f t="shared" si="9"/>
        <v>0</v>
      </c>
      <c r="W436" s="1"/>
      <c r="X436" s="1"/>
      <c r="Y436" s="1"/>
      <c r="Z436" s="1"/>
      <c r="AA436" s="1"/>
    </row>
    <row r="437">
      <c r="A437" s="2"/>
      <c r="B437" s="2"/>
      <c r="C437" s="2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9">
        <f t="shared" si="9"/>
        <v>0</v>
      </c>
      <c r="W437" s="1"/>
      <c r="X437" s="1"/>
      <c r="Y437" s="1"/>
      <c r="Z437" s="1"/>
      <c r="AA437" s="1"/>
    </row>
    <row r="438">
      <c r="A438" s="2"/>
      <c r="B438" s="2"/>
      <c r="C438" s="2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9">
        <f t="shared" si="9"/>
        <v>0</v>
      </c>
      <c r="W438" s="1"/>
      <c r="X438" s="1"/>
      <c r="Y438" s="1"/>
      <c r="Z438" s="1"/>
      <c r="AA438" s="1"/>
    </row>
    <row r="439">
      <c r="A439" s="2"/>
      <c r="B439" s="2"/>
      <c r="C439" s="2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9">
        <f t="shared" si="9"/>
        <v>0</v>
      </c>
      <c r="W439" s="1"/>
      <c r="X439" s="1"/>
      <c r="Y439" s="1"/>
      <c r="Z439" s="1"/>
      <c r="AA439" s="1"/>
    </row>
    <row r="440">
      <c r="A440" s="2"/>
      <c r="B440" s="2"/>
      <c r="C440" s="2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9">
        <f t="shared" si="9"/>
        <v>0</v>
      </c>
      <c r="W440" s="1"/>
      <c r="X440" s="1"/>
      <c r="Y440" s="1"/>
      <c r="Z440" s="1"/>
      <c r="AA440" s="1"/>
    </row>
    <row r="441">
      <c r="A441" s="2"/>
      <c r="B441" s="2"/>
      <c r="C441" s="2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9">
        <f t="shared" si="9"/>
        <v>0</v>
      </c>
      <c r="W441" s="1"/>
      <c r="X441" s="1"/>
      <c r="Y441" s="1"/>
      <c r="Z441" s="1"/>
      <c r="AA441" s="1"/>
    </row>
    <row r="442">
      <c r="A442" s="2"/>
      <c r="B442" s="2"/>
      <c r="C442" s="2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9">
        <f t="shared" si="9"/>
        <v>0</v>
      </c>
      <c r="W442" s="1"/>
      <c r="X442" s="1"/>
      <c r="Y442" s="1"/>
      <c r="Z442" s="1"/>
      <c r="AA442" s="1"/>
    </row>
    <row r="443">
      <c r="A443" s="2"/>
      <c r="B443" s="2"/>
      <c r="C443" s="2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9">
        <f t="shared" si="9"/>
        <v>0</v>
      </c>
      <c r="W443" s="1"/>
      <c r="X443" s="1"/>
      <c r="Y443" s="1"/>
      <c r="Z443" s="1"/>
      <c r="AA443" s="1"/>
    </row>
    <row r="444">
      <c r="A444" s="2"/>
      <c r="B444" s="2"/>
      <c r="C444" s="2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9">
        <f t="shared" si="9"/>
        <v>0</v>
      </c>
      <c r="W444" s="1"/>
      <c r="X444" s="1"/>
      <c r="Y444" s="1"/>
      <c r="Z444" s="1"/>
      <c r="AA444" s="1"/>
    </row>
    <row r="445">
      <c r="A445" s="2"/>
      <c r="B445" s="2"/>
      <c r="C445" s="2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9">
        <f t="shared" si="9"/>
        <v>0</v>
      </c>
      <c r="W445" s="1"/>
      <c r="X445" s="1"/>
      <c r="Y445" s="1"/>
      <c r="Z445" s="1"/>
      <c r="AA445" s="1"/>
    </row>
    <row r="446">
      <c r="A446" s="2"/>
      <c r="B446" s="2"/>
      <c r="C446" s="2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9">
        <f t="shared" si="9"/>
        <v>0</v>
      </c>
      <c r="W446" s="1"/>
      <c r="X446" s="1"/>
      <c r="Y446" s="1"/>
      <c r="Z446" s="1"/>
      <c r="AA446" s="1"/>
    </row>
    <row r="447">
      <c r="A447" s="2"/>
      <c r="B447" s="2"/>
      <c r="C447" s="2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9">
        <f t="shared" si="9"/>
        <v>0</v>
      </c>
      <c r="W447" s="1"/>
      <c r="X447" s="1"/>
      <c r="Y447" s="1"/>
      <c r="Z447" s="1"/>
      <c r="AA447" s="1"/>
    </row>
    <row r="448">
      <c r="A448" s="2"/>
      <c r="B448" s="2"/>
      <c r="C448" s="2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9">
        <f t="shared" si="9"/>
        <v>0</v>
      </c>
      <c r="W448" s="1"/>
      <c r="X448" s="1"/>
      <c r="Y448" s="1"/>
      <c r="Z448" s="1"/>
      <c r="AA448" s="1"/>
    </row>
    <row r="449">
      <c r="A449" s="2"/>
      <c r="B449" s="2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9">
        <f t="shared" si="9"/>
        <v>0</v>
      </c>
      <c r="W449" s="1"/>
      <c r="X449" s="1"/>
      <c r="Y449" s="1"/>
      <c r="Z449" s="1"/>
      <c r="AA449" s="1"/>
    </row>
    <row r="450">
      <c r="A450" s="2"/>
      <c r="B450" s="2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9">
        <f t="shared" si="9"/>
        <v>0</v>
      </c>
      <c r="W450" s="1"/>
      <c r="X450" s="1"/>
      <c r="Y450" s="1"/>
      <c r="Z450" s="1"/>
      <c r="AA450" s="1"/>
    </row>
    <row r="451">
      <c r="A451" s="2"/>
      <c r="B451" s="2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9">
        <f t="shared" si="9"/>
        <v>0</v>
      </c>
      <c r="W451" s="1"/>
      <c r="X451" s="1"/>
      <c r="Y451" s="1"/>
      <c r="Z451" s="1"/>
      <c r="AA451" s="1"/>
    </row>
    <row r="452">
      <c r="A452" s="2"/>
      <c r="B452" s="2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9">
        <f t="shared" si="9"/>
        <v>0</v>
      </c>
      <c r="W452" s="1"/>
      <c r="X452" s="1"/>
      <c r="Y452" s="1"/>
      <c r="Z452" s="1"/>
      <c r="AA452" s="1"/>
    </row>
    <row r="453">
      <c r="A453" s="2"/>
      <c r="B453" s="2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9">
        <f t="shared" si="9"/>
        <v>0</v>
      </c>
      <c r="W453" s="1"/>
      <c r="X453" s="1"/>
      <c r="Y453" s="1"/>
      <c r="Z453" s="1"/>
      <c r="AA453" s="1"/>
    </row>
    <row r="454">
      <c r="A454" s="2"/>
      <c r="B454" s="2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9">
        <f t="shared" si="9"/>
        <v>0</v>
      </c>
      <c r="W454" s="1"/>
      <c r="X454" s="1"/>
      <c r="Y454" s="1"/>
      <c r="Z454" s="1"/>
      <c r="AA454" s="1"/>
    </row>
    <row r="455">
      <c r="A455" s="2"/>
      <c r="B455" s="2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9">
        <f t="shared" si="9"/>
        <v>0</v>
      </c>
      <c r="W455" s="1"/>
      <c r="X455" s="1"/>
      <c r="Y455" s="1"/>
      <c r="Z455" s="1"/>
      <c r="AA455" s="1"/>
    </row>
    <row r="456">
      <c r="A456" s="2"/>
      <c r="B456" s="2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9">
        <f t="shared" si="9"/>
        <v>0</v>
      </c>
      <c r="W456" s="1"/>
      <c r="X456" s="1"/>
      <c r="Y456" s="1"/>
      <c r="Z456" s="1"/>
      <c r="AA456" s="1"/>
    </row>
    <row r="457">
      <c r="A457" s="2"/>
      <c r="B457" s="2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9">
        <f t="shared" si="9"/>
        <v>0</v>
      </c>
      <c r="W457" s="1"/>
      <c r="X457" s="1"/>
      <c r="Y457" s="1"/>
      <c r="Z457" s="1"/>
      <c r="AA457" s="1"/>
    </row>
    <row r="458">
      <c r="A458" s="2"/>
      <c r="B458" s="2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9">
        <f t="shared" si="9"/>
        <v>0</v>
      </c>
      <c r="W458" s="1"/>
      <c r="X458" s="1"/>
      <c r="Y458" s="1"/>
      <c r="Z458" s="1"/>
      <c r="AA458" s="1"/>
    </row>
    <row r="459">
      <c r="A459" s="2"/>
      <c r="B459" s="2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9">
        <f t="shared" si="9"/>
        <v>0</v>
      </c>
      <c r="W459" s="1"/>
      <c r="X459" s="1"/>
      <c r="Y459" s="1"/>
      <c r="Z459" s="1"/>
      <c r="AA459" s="1"/>
    </row>
    <row r="460">
      <c r="A460" s="2"/>
      <c r="B460" s="2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9">
        <f t="shared" si="9"/>
        <v>0</v>
      </c>
      <c r="W460" s="1"/>
      <c r="X460" s="1"/>
      <c r="Y460" s="1"/>
      <c r="Z460" s="1"/>
      <c r="AA460" s="1"/>
    </row>
    <row r="461">
      <c r="A461" s="2"/>
      <c r="B461" s="2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9">
        <f t="shared" si="9"/>
        <v>0</v>
      </c>
      <c r="W461" s="1"/>
      <c r="X461" s="1"/>
      <c r="Y461" s="1"/>
      <c r="Z461" s="1"/>
      <c r="AA461" s="1"/>
    </row>
    <row r="462">
      <c r="A462" s="2"/>
      <c r="B462" s="2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9">
        <f t="shared" si="9"/>
        <v>0</v>
      </c>
      <c r="W462" s="1"/>
      <c r="X462" s="1"/>
      <c r="Y462" s="1"/>
      <c r="Z462" s="1"/>
      <c r="AA462" s="1"/>
    </row>
    <row r="463">
      <c r="A463" s="2"/>
      <c r="B463" s="2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9">
        <f t="shared" si="9"/>
        <v>0</v>
      </c>
      <c r="W463" s="1"/>
      <c r="X463" s="1"/>
      <c r="Y463" s="1"/>
      <c r="Z463" s="1"/>
      <c r="AA463" s="1"/>
    </row>
    <row r="464">
      <c r="A464" s="2"/>
      <c r="B464" s="2"/>
      <c r="C464" s="2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9">
        <f t="shared" si="9"/>
        <v>0</v>
      </c>
      <c r="W464" s="1"/>
      <c r="X464" s="1"/>
      <c r="Y464" s="1"/>
      <c r="Z464" s="1"/>
      <c r="AA464" s="1"/>
    </row>
    <row r="465">
      <c r="A465" s="2"/>
      <c r="B465" s="2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9">
        <f t="shared" si="9"/>
        <v>0</v>
      </c>
      <c r="W465" s="1"/>
      <c r="X465" s="1"/>
      <c r="Y465" s="1"/>
      <c r="Z465" s="1"/>
      <c r="AA465" s="1"/>
    </row>
    <row r="466">
      <c r="A466" s="2"/>
      <c r="B466" s="2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9">
        <f t="shared" si="9"/>
        <v>0</v>
      </c>
      <c r="W466" s="1"/>
      <c r="X466" s="1"/>
      <c r="Y466" s="1"/>
      <c r="Z466" s="1"/>
      <c r="AA466" s="1"/>
    </row>
    <row r="467">
      <c r="A467" s="2"/>
      <c r="B467" s="2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9">
        <f t="shared" si="9"/>
        <v>0</v>
      </c>
      <c r="W467" s="1"/>
      <c r="X467" s="1"/>
      <c r="Y467" s="1"/>
      <c r="Z467" s="1"/>
      <c r="AA467" s="1"/>
    </row>
    <row r="468">
      <c r="A468" s="2"/>
      <c r="B468" s="2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9">
        <f t="shared" si="9"/>
        <v>0</v>
      </c>
      <c r="W468" s="1"/>
      <c r="X468" s="1"/>
      <c r="Y468" s="1"/>
      <c r="Z468" s="1"/>
      <c r="AA468" s="1"/>
    </row>
    <row r="469">
      <c r="A469" s="2"/>
      <c r="B469" s="2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9">
        <f t="shared" si="9"/>
        <v>0</v>
      </c>
      <c r="W469" s="1"/>
      <c r="X469" s="1"/>
      <c r="Y469" s="1"/>
      <c r="Z469" s="1"/>
      <c r="AA469" s="1"/>
    </row>
    <row r="470">
      <c r="A470" s="2"/>
      <c r="B470" s="2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9">
        <f t="shared" si="9"/>
        <v>0</v>
      </c>
      <c r="W470" s="1"/>
      <c r="X470" s="1"/>
      <c r="Y470" s="1"/>
      <c r="Z470" s="1"/>
      <c r="AA470" s="1"/>
    </row>
    <row r="471">
      <c r="A471" s="2"/>
      <c r="B471" s="2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9">
        <f t="shared" si="9"/>
        <v>0</v>
      </c>
      <c r="W471" s="1"/>
      <c r="X471" s="1"/>
      <c r="Y471" s="1"/>
      <c r="Z471" s="1"/>
      <c r="AA471" s="1"/>
    </row>
    <row r="472">
      <c r="A472" s="2"/>
      <c r="B472" s="2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9">
        <f t="shared" si="9"/>
        <v>0</v>
      </c>
      <c r="W472" s="1"/>
      <c r="X472" s="1"/>
      <c r="Y472" s="1"/>
      <c r="Z472" s="1"/>
      <c r="AA472" s="1"/>
    </row>
    <row r="473">
      <c r="A473" s="2"/>
      <c r="B473" s="2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9">
        <f t="shared" si="9"/>
        <v>0</v>
      </c>
      <c r="W473" s="1"/>
      <c r="X473" s="1"/>
      <c r="Y473" s="1"/>
      <c r="Z473" s="1"/>
      <c r="AA473" s="1"/>
    </row>
    <row r="474">
      <c r="A474" s="2"/>
      <c r="B474" s="2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9">
        <f t="shared" si="9"/>
        <v>0</v>
      </c>
      <c r="W474" s="1"/>
      <c r="X474" s="1"/>
      <c r="Y474" s="1"/>
      <c r="Z474" s="1"/>
      <c r="AA474" s="1"/>
    </row>
    <row r="475">
      <c r="A475" s="2"/>
      <c r="B475" s="2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9">
        <f t="shared" si="9"/>
        <v>0</v>
      </c>
      <c r="W475" s="1"/>
      <c r="X475" s="1"/>
      <c r="Y475" s="1"/>
      <c r="Z475" s="1"/>
      <c r="AA475" s="1"/>
    </row>
    <row r="476">
      <c r="A476" s="2"/>
      <c r="B476" s="2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9">
        <f t="shared" si="9"/>
        <v>0</v>
      </c>
      <c r="W476" s="1"/>
      <c r="X476" s="1"/>
      <c r="Y476" s="1"/>
      <c r="Z476" s="1"/>
      <c r="AA476" s="1"/>
    </row>
    <row r="477">
      <c r="A477" s="2"/>
      <c r="B477" s="2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9">
        <f t="shared" si="9"/>
        <v>0</v>
      </c>
      <c r="W477" s="1"/>
      <c r="X477" s="1"/>
      <c r="Y477" s="1"/>
      <c r="Z477" s="1"/>
      <c r="AA477" s="1"/>
    </row>
    <row r="478">
      <c r="A478" s="2"/>
      <c r="B478" s="2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9">
        <f t="shared" si="9"/>
        <v>0</v>
      </c>
      <c r="W478" s="1"/>
      <c r="X478" s="1"/>
      <c r="Y478" s="1"/>
      <c r="Z478" s="1"/>
      <c r="AA478" s="1"/>
    </row>
    <row r="479">
      <c r="A479" s="2"/>
      <c r="B479" s="2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9">
        <f t="shared" si="9"/>
        <v>0</v>
      </c>
      <c r="W479" s="1"/>
      <c r="X479" s="1"/>
      <c r="Y479" s="1"/>
      <c r="Z479" s="1"/>
      <c r="AA479" s="1"/>
    </row>
    <row r="480">
      <c r="A480" s="2"/>
      <c r="B480" s="2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9">
        <f t="shared" si="9"/>
        <v>0</v>
      </c>
      <c r="W480" s="1"/>
      <c r="X480" s="1"/>
      <c r="Y480" s="1"/>
      <c r="Z480" s="1"/>
      <c r="AA480" s="1"/>
    </row>
    <row r="481">
      <c r="A481" s="2"/>
      <c r="B481" s="2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9">
        <f t="shared" si="9"/>
        <v>0</v>
      </c>
      <c r="W481" s="1"/>
      <c r="X481" s="1"/>
      <c r="Y481" s="1"/>
      <c r="Z481" s="1"/>
      <c r="AA481" s="1"/>
    </row>
    <row r="482">
      <c r="A482" s="2"/>
      <c r="B482" s="2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9">
        <f t="shared" si="9"/>
        <v>0</v>
      </c>
      <c r="W482" s="1"/>
      <c r="X482" s="1"/>
      <c r="Y482" s="1"/>
      <c r="Z482" s="1"/>
      <c r="AA482" s="1"/>
    </row>
    <row r="483">
      <c r="A483" s="2"/>
      <c r="B483" s="2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9">
        <f t="shared" si="9"/>
        <v>0</v>
      </c>
      <c r="W483" s="1"/>
      <c r="X483" s="1"/>
      <c r="Y483" s="1"/>
      <c r="Z483" s="1"/>
      <c r="AA483" s="1"/>
    </row>
    <row r="484">
      <c r="A484" s="2"/>
      <c r="B484" s="2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9">
        <f t="shared" si="9"/>
        <v>0</v>
      </c>
      <c r="W484" s="1"/>
      <c r="X484" s="1"/>
      <c r="Y484" s="1"/>
      <c r="Z484" s="1"/>
      <c r="AA484" s="1"/>
    </row>
    <row r="485">
      <c r="A485" s="2"/>
      <c r="B485" s="2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9">
        <f t="shared" si="9"/>
        <v>0</v>
      </c>
      <c r="W485" s="1"/>
      <c r="X485" s="1"/>
      <c r="Y485" s="1"/>
      <c r="Z485" s="1"/>
      <c r="AA485" s="1"/>
    </row>
    <row r="486">
      <c r="A486" s="2"/>
      <c r="B486" s="2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9">
        <f t="shared" si="9"/>
        <v>0</v>
      </c>
      <c r="W486" s="1"/>
      <c r="X486" s="1"/>
      <c r="Y486" s="1"/>
      <c r="Z486" s="1"/>
      <c r="AA486" s="1"/>
    </row>
    <row r="487">
      <c r="A487" s="2"/>
      <c r="B487" s="2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9">
        <f t="shared" si="9"/>
        <v>0</v>
      </c>
      <c r="W487" s="1"/>
      <c r="X487" s="1"/>
      <c r="Y487" s="1"/>
      <c r="Z487" s="1"/>
      <c r="AA487" s="1"/>
    </row>
    <row r="488">
      <c r="A488" s="2"/>
      <c r="B488" s="2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9">
        <f t="shared" si="9"/>
        <v>0</v>
      </c>
      <c r="W488" s="1"/>
      <c r="X488" s="1"/>
      <c r="Y488" s="1"/>
      <c r="Z488" s="1"/>
      <c r="AA488" s="1"/>
    </row>
    <row r="489">
      <c r="A489" s="2"/>
      <c r="B489" s="2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9">
        <f t="shared" si="9"/>
        <v>0</v>
      </c>
      <c r="W489" s="1"/>
      <c r="X489" s="1"/>
      <c r="Y489" s="1"/>
      <c r="Z489" s="1"/>
      <c r="AA489" s="1"/>
    </row>
    <row r="490">
      <c r="A490" s="2"/>
      <c r="B490" s="2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9">
        <f t="shared" si="9"/>
        <v>0</v>
      </c>
      <c r="W490" s="1"/>
      <c r="X490" s="1"/>
      <c r="Y490" s="1"/>
      <c r="Z490" s="1"/>
      <c r="AA490" s="1"/>
    </row>
    <row r="491">
      <c r="A491" s="2"/>
      <c r="B491" s="2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9">
        <f t="shared" si="9"/>
        <v>0</v>
      </c>
      <c r="W491" s="1"/>
      <c r="X491" s="1"/>
      <c r="Y491" s="1"/>
      <c r="Z491" s="1"/>
      <c r="AA491" s="1"/>
    </row>
    <row r="492">
      <c r="A492" s="2"/>
      <c r="B492" s="2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9">
        <f t="shared" si="9"/>
        <v>0</v>
      </c>
      <c r="W492" s="1"/>
      <c r="X492" s="1"/>
      <c r="Y492" s="1"/>
      <c r="Z492" s="1"/>
      <c r="AA492" s="1"/>
    </row>
    <row r="493">
      <c r="A493" s="2"/>
      <c r="B493" s="2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9">
        <f t="shared" si="9"/>
        <v>0</v>
      </c>
      <c r="W493" s="1"/>
      <c r="X493" s="1"/>
      <c r="Y493" s="1"/>
      <c r="Z493" s="1"/>
      <c r="AA493" s="1"/>
    </row>
    <row r="494">
      <c r="A494" s="2"/>
      <c r="B494" s="2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9">
        <f t="shared" si="9"/>
        <v>0</v>
      </c>
      <c r="W494" s="1"/>
      <c r="X494" s="1"/>
      <c r="Y494" s="1"/>
      <c r="Z494" s="1"/>
      <c r="AA494" s="1"/>
    </row>
    <row r="495">
      <c r="A495" s="2"/>
      <c r="B495" s="2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9">
        <f t="shared" si="9"/>
        <v>0</v>
      </c>
      <c r="W495" s="1"/>
      <c r="X495" s="1"/>
      <c r="Y495" s="1"/>
      <c r="Z495" s="1"/>
      <c r="AA495" s="1"/>
    </row>
    <row r="496">
      <c r="A496" s="2"/>
      <c r="B496" s="2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9">
        <f t="shared" si="9"/>
        <v>0</v>
      </c>
      <c r="W496" s="1"/>
      <c r="X496" s="1"/>
      <c r="Y496" s="1"/>
      <c r="Z496" s="1"/>
      <c r="AA496" s="1"/>
    </row>
    <row r="497">
      <c r="A497" s="2"/>
      <c r="B497" s="2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9">
        <f t="shared" si="9"/>
        <v>0</v>
      </c>
      <c r="W497" s="1"/>
      <c r="X497" s="1"/>
      <c r="Y497" s="1"/>
      <c r="Z497" s="1"/>
      <c r="AA497" s="1"/>
    </row>
    <row r="498">
      <c r="A498" s="2"/>
      <c r="B498" s="2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9">
        <f t="shared" si="9"/>
        <v>0</v>
      </c>
      <c r="W498" s="1"/>
      <c r="X498" s="1"/>
      <c r="Y498" s="1"/>
      <c r="Z498" s="1"/>
      <c r="AA498" s="1"/>
    </row>
    <row r="499">
      <c r="A499" s="2"/>
      <c r="B499" s="2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9">
        <f t="shared" si="9"/>
        <v>0</v>
      </c>
      <c r="W499" s="1"/>
      <c r="X499" s="1"/>
      <c r="Y499" s="1"/>
      <c r="Z499" s="1"/>
      <c r="AA499" s="1"/>
    </row>
    <row r="500">
      <c r="A500" s="2"/>
      <c r="B500" s="2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9">
        <f t="shared" si="9"/>
        <v>0</v>
      </c>
      <c r="W500" s="1"/>
      <c r="X500" s="1"/>
      <c r="Y500" s="1"/>
      <c r="Z500" s="1"/>
      <c r="AA500" s="1"/>
    </row>
    <row r="501">
      <c r="A501" s="2"/>
      <c r="B501" s="2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9">
        <f t="shared" si="9"/>
        <v>0</v>
      </c>
      <c r="W501" s="1"/>
      <c r="X501" s="1"/>
      <c r="Y501" s="1"/>
      <c r="Z501" s="1"/>
      <c r="AA501" s="1"/>
    </row>
    <row r="502">
      <c r="A502" s="2"/>
      <c r="B502" s="2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9">
        <f t="shared" si="9"/>
        <v>0</v>
      </c>
      <c r="W502" s="1"/>
      <c r="X502" s="1"/>
      <c r="Y502" s="1"/>
      <c r="Z502" s="1"/>
      <c r="AA502" s="1"/>
    </row>
    <row r="503">
      <c r="A503" s="2"/>
      <c r="B503" s="2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9">
        <f t="shared" si="9"/>
        <v>0</v>
      </c>
      <c r="W503" s="1"/>
      <c r="X503" s="1"/>
      <c r="Y503" s="1"/>
      <c r="Z503" s="1"/>
      <c r="AA503" s="1"/>
    </row>
    <row r="504">
      <c r="A504" s="2"/>
      <c r="B504" s="2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9">
        <f t="shared" si="9"/>
        <v>0</v>
      </c>
      <c r="W504" s="1"/>
      <c r="X504" s="1"/>
      <c r="Y504" s="1"/>
      <c r="Z504" s="1"/>
      <c r="AA504" s="1"/>
    </row>
    <row r="505">
      <c r="A505" s="2"/>
      <c r="B505" s="2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9">
        <f t="shared" si="9"/>
        <v>0</v>
      </c>
      <c r="W505" s="1"/>
      <c r="X505" s="1"/>
      <c r="Y505" s="1"/>
      <c r="Z505" s="1"/>
      <c r="AA505" s="1"/>
    </row>
    <row r="506">
      <c r="A506" s="2"/>
      <c r="B506" s="2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9">
        <f t="shared" si="9"/>
        <v>0</v>
      </c>
      <c r="W506" s="1"/>
      <c r="X506" s="1"/>
      <c r="Y506" s="1"/>
      <c r="Z506" s="1"/>
      <c r="AA506" s="1"/>
    </row>
    <row r="507">
      <c r="A507" s="2"/>
      <c r="B507" s="2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9">
        <f t="shared" si="9"/>
        <v>0</v>
      </c>
      <c r="W507" s="1"/>
      <c r="X507" s="1"/>
      <c r="Y507" s="1"/>
      <c r="Z507" s="1"/>
      <c r="AA507" s="1"/>
    </row>
    <row r="508">
      <c r="A508" s="2"/>
      <c r="B508" s="2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9">
        <f t="shared" si="9"/>
        <v>0</v>
      </c>
      <c r="W508" s="1"/>
      <c r="X508" s="1"/>
      <c r="Y508" s="1"/>
      <c r="Z508" s="1"/>
      <c r="AA508" s="1"/>
    </row>
    <row r="509">
      <c r="A509" s="2"/>
      <c r="B509" s="2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9">
        <f t="shared" si="9"/>
        <v>0</v>
      </c>
      <c r="W509" s="1"/>
      <c r="X509" s="1"/>
      <c r="Y509" s="1"/>
      <c r="Z509" s="1"/>
      <c r="AA509" s="1"/>
    </row>
    <row r="510">
      <c r="A510" s="2"/>
      <c r="B510" s="2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9">
        <f t="shared" si="9"/>
        <v>0</v>
      </c>
      <c r="W510" s="1"/>
      <c r="X510" s="1"/>
      <c r="Y510" s="1"/>
      <c r="Z510" s="1"/>
      <c r="AA510" s="1"/>
    </row>
    <row r="511">
      <c r="A511" s="2"/>
      <c r="B511" s="2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9">
        <f t="shared" si="9"/>
        <v>0</v>
      </c>
      <c r="W511" s="1"/>
      <c r="X511" s="1"/>
      <c r="Y511" s="1"/>
      <c r="Z511" s="1"/>
      <c r="AA511" s="1"/>
    </row>
    <row r="512">
      <c r="A512" s="2"/>
      <c r="B512" s="2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9">
        <f t="shared" si="9"/>
        <v>0</v>
      </c>
      <c r="W512" s="1"/>
      <c r="X512" s="1"/>
      <c r="Y512" s="1"/>
      <c r="Z512" s="1"/>
      <c r="AA512" s="1"/>
    </row>
    <row r="513">
      <c r="A513" s="2"/>
      <c r="B513" s="2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9">
        <f t="shared" si="9"/>
        <v>0</v>
      </c>
      <c r="W513" s="1"/>
      <c r="X513" s="1"/>
      <c r="Y513" s="1"/>
      <c r="Z513" s="1"/>
      <c r="AA513" s="1"/>
    </row>
    <row r="514">
      <c r="A514" s="2"/>
      <c r="B514" s="2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9">
        <f t="shared" si="9"/>
        <v>0</v>
      </c>
      <c r="W514" s="1"/>
      <c r="X514" s="1"/>
      <c r="Y514" s="1"/>
      <c r="Z514" s="1"/>
      <c r="AA514" s="1"/>
    </row>
    <row r="515">
      <c r="A515" s="2"/>
      <c r="B515" s="2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9">
        <f t="shared" si="9"/>
        <v>0</v>
      </c>
      <c r="W515" s="1"/>
      <c r="X515" s="1"/>
      <c r="Y515" s="1"/>
      <c r="Z515" s="1"/>
      <c r="AA515" s="1"/>
    </row>
    <row r="516">
      <c r="A516" s="2"/>
      <c r="B516" s="2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9">
        <f t="shared" si="9"/>
        <v>0</v>
      </c>
      <c r="W516" s="1"/>
      <c r="X516" s="1"/>
      <c r="Y516" s="1"/>
      <c r="Z516" s="1"/>
      <c r="AA516" s="1"/>
    </row>
    <row r="517">
      <c r="A517" s="2"/>
      <c r="B517" s="2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9">
        <f t="shared" si="9"/>
        <v>0</v>
      </c>
      <c r="W517" s="1"/>
      <c r="X517" s="1"/>
      <c r="Y517" s="1"/>
      <c r="Z517" s="1"/>
      <c r="AA517" s="1"/>
    </row>
    <row r="518">
      <c r="A518" s="2"/>
      <c r="B518" s="2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9">
        <f t="shared" si="9"/>
        <v>0</v>
      </c>
      <c r="W518" s="1"/>
      <c r="X518" s="1"/>
      <c r="Y518" s="1"/>
      <c r="Z518" s="1"/>
      <c r="AA518" s="1"/>
    </row>
    <row r="519">
      <c r="A519" s="2"/>
      <c r="B519" s="2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9">
        <f t="shared" si="9"/>
        <v>0</v>
      </c>
      <c r="W519" s="1"/>
      <c r="X519" s="1"/>
      <c r="Y519" s="1"/>
      <c r="Z519" s="1"/>
      <c r="AA519" s="1"/>
    </row>
    <row r="520">
      <c r="A520" s="2"/>
      <c r="B520" s="2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9">
        <f t="shared" si="9"/>
        <v>0</v>
      </c>
      <c r="W520" s="1"/>
      <c r="X520" s="1"/>
      <c r="Y520" s="1"/>
      <c r="Z520" s="1"/>
      <c r="AA520" s="1"/>
    </row>
    <row r="521">
      <c r="A521" s="2"/>
      <c r="B521" s="2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9">
        <f t="shared" si="9"/>
        <v>0</v>
      </c>
      <c r="W521" s="1"/>
      <c r="X521" s="1"/>
      <c r="Y521" s="1"/>
      <c r="Z521" s="1"/>
      <c r="AA521" s="1"/>
    </row>
    <row r="522">
      <c r="A522" s="2"/>
      <c r="B522" s="2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9">
        <f t="shared" si="9"/>
        <v>0</v>
      </c>
      <c r="W522" s="1"/>
      <c r="X522" s="1"/>
      <c r="Y522" s="1"/>
      <c r="Z522" s="1"/>
      <c r="AA522" s="1"/>
    </row>
    <row r="523">
      <c r="A523" s="2"/>
      <c r="B523" s="2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9">
        <f t="shared" si="9"/>
        <v>0</v>
      </c>
      <c r="W523" s="1"/>
      <c r="X523" s="1"/>
      <c r="Y523" s="1"/>
      <c r="Z523" s="1"/>
      <c r="AA523" s="1"/>
    </row>
    <row r="524">
      <c r="A524" s="2"/>
      <c r="B524" s="2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9">
        <f t="shared" si="9"/>
        <v>0</v>
      </c>
      <c r="W524" s="1"/>
      <c r="X524" s="1"/>
      <c r="Y524" s="1"/>
      <c r="Z524" s="1"/>
      <c r="AA524" s="1"/>
    </row>
    <row r="525">
      <c r="A525" s="2"/>
      <c r="B525" s="2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9">
        <f t="shared" si="9"/>
        <v>0</v>
      </c>
      <c r="W525" s="1"/>
      <c r="X525" s="1"/>
      <c r="Y525" s="1"/>
      <c r="Z525" s="1"/>
      <c r="AA525" s="1"/>
    </row>
    <row r="526">
      <c r="A526" s="2"/>
      <c r="B526" s="2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9">
        <f t="shared" si="9"/>
        <v>0</v>
      </c>
      <c r="W526" s="1"/>
      <c r="X526" s="1"/>
      <c r="Y526" s="1"/>
      <c r="Z526" s="1"/>
      <c r="AA526" s="1"/>
    </row>
    <row r="527">
      <c r="A527" s="2"/>
      <c r="B527" s="2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9">
        <f t="shared" si="9"/>
        <v>0</v>
      </c>
      <c r="W527" s="1"/>
      <c r="X527" s="1"/>
      <c r="Y527" s="1"/>
      <c r="Z527" s="1"/>
      <c r="AA527" s="1"/>
    </row>
    <row r="528">
      <c r="A528" s="2"/>
      <c r="B528" s="2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9">
        <f t="shared" si="9"/>
        <v>0</v>
      </c>
      <c r="W528" s="1"/>
      <c r="X528" s="1"/>
      <c r="Y528" s="1"/>
      <c r="Z528" s="1"/>
      <c r="AA528" s="1"/>
    </row>
    <row r="529">
      <c r="A529" s="2"/>
      <c r="B529" s="2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9">
        <f t="shared" si="9"/>
        <v>0</v>
      </c>
      <c r="W529" s="1"/>
      <c r="X529" s="1"/>
      <c r="Y529" s="1"/>
      <c r="Z529" s="1"/>
      <c r="AA529" s="1"/>
    </row>
    <row r="530">
      <c r="A530" s="2"/>
      <c r="B530" s="2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si="9"/>
        <v>0</v>
      </c>
      <c r="W530" s="1"/>
      <c r="X530" s="1"/>
      <c r="Y530" s="1"/>
      <c r="Z530" s="1"/>
      <c r="AA530" s="1"/>
    </row>
    <row r="531">
      <c r="A531" s="2"/>
      <c r="B531" s="2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9">
        <f t="shared" si="9"/>
        <v>0</v>
      </c>
      <c r="W531" s="1"/>
      <c r="X531" s="1"/>
      <c r="Y531" s="1"/>
      <c r="Z531" s="1"/>
      <c r="AA531" s="1"/>
    </row>
    <row r="532">
      <c r="A532" s="2"/>
      <c r="B532" s="2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9">
        <f t="shared" si="9"/>
        <v>0</v>
      </c>
      <c r="W532" s="1"/>
      <c r="X532" s="1"/>
      <c r="Y532" s="1"/>
      <c r="Z532" s="1"/>
      <c r="AA532" s="1"/>
    </row>
    <row r="533">
      <c r="A533" s="2"/>
      <c r="B533" s="2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9">
        <f t="shared" si="9"/>
        <v>0</v>
      </c>
      <c r="W533" s="1"/>
      <c r="X533" s="1"/>
      <c r="Y533" s="1"/>
      <c r="Z533" s="1"/>
      <c r="AA533" s="1"/>
    </row>
    <row r="534">
      <c r="A534" s="2"/>
      <c r="B534" s="2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9">
        <f t="shared" si="9"/>
        <v>0</v>
      </c>
      <c r="W534" s="1"/>
      <c r="X534" s="1"/>
      <c r="Y534" s="1"/>
      <c r="Z534" s="1"/>
      <c r="AA534" s="1"/>
    </row>
    <row r="535">
      <c r="A535" s="2"/>
      <c r="B535" s="2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9">
        <f t="shared" si="9"/>
        <v>0</v>
      </c>
      <c r="W535" s="1"/>
      <c r="X535" s="1"/>
      <c r="Y535" s="1"/>
      <c r="Z535" s="1"/>
      <c r="AA535" s="1"/>
    </row>
    <row r="536">
      <c r="A536" s="2"/>
      <c r="B536" s="2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9">
        <f t="shared" si="9"/>
        <v>0</v>
      </c>
      <c r="W536" s="1"/>
      <c r="X536" s="1"/>
      <c r="Y536" s="1"/>
      <c r="Z536" s="1"/>
      <c r="AA536" s="1"/>
    </row>
    <row r="537">
      <c r="A537" s="2"/>
      <c r="B537" s="2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9">
        <f t="shared" si="9"/>
        <v>0</v>
      </c>
      <c r="W537" s="1"/>
      <c r="X537" s="1"/>
      <c r="Y537" s="1"/>
      <c r="Z537" s="1"/>
      <c r="AA537" s="1"/>
    </row>
    <row r="538">
      <c r="A538" s="2"/>
      <c r="B538" s="2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9">
        <f t="shared" si="9"/>
        <v>0</v>
      </c>
      <c r="W538" s="1"/>
      <c r="X538" s="1"/>
      <c r="Y538" s="1"/>
      <c r="Z538" s="1"/>
      <c r="AA538" s="1"/>
    </row>
    <row r="539">
      <c r="A539" s="2"/>
      <c r="B539" s="2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9">
        <f t="shared" si="9"/>
        <v>0</v>
      </c>
      <c r="W539" s="1"/>
      <c r="X539" s="1"/>
      <c r="Y539" s="1"/>
      <c r="Z539" s="1"/>
      <c r="AA539" s="1"/>
    </row>
    <row r="540">
      <c r="A540" s="2"/>
      <c r="B540" s="2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9">
        <f t="shared" si="9"/>
        <v>0</v>
      </c>
      <c r="W540" s="1"/>
      <c r="X540" s="1"/>
      <c r="Y540" s="1"/>
      <c r="Z540" s="1"/>
      <c r="AA540" s="1"/>
    </row>
    <row r="541">
      <c r="A541" s="2"/>
      <c r="B541" s="2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9">
        <f t="shared" si="9"/>
        <v>0</v>
      </c>
      <c r="W541" s="1"/>
      <c r="X541" s="1"/>
      <c r="Y541" s="1"/>
      <c r="Z541" s="1"/>
      <c r="AA541" s="1"/>
    </row>
    <row r="542">
      <c r="A542" s="2"/>
      <c r="B542" s="2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9">
        <f t="shared" si="9"/>
        <v>0</v>
      </c>
      <c r="W542" s="1"/>
      <c r="X542" s="1"/>
      <c r="Y542" s="1"/>
      <c r="Z542" s="1"/>
      <c r="AA542" s="1"/>
    </row>
    <row r="543">
      <c r="A543" s="2"/>
      <c r="B543" s="2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9">
        <f t="shared" si="9"/>
        <v>0</v>
      </c>
      <c r="W543" s="1"/>
      <c r="X543" s="1"/>
      <c r="Y543" s="1"/>
      <c r="Z543" s="1"/>
      <c r="AA543" s="1"/>
    </row>
    <row r="544">
      <c r="A544" s="2"/>
      <c r="B544" s="2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9">
        <f t="shared" si="9"/>
        <v>0</v>
      </c>
      <c r="W544" s="1"/>
      <c r="X544" s="1"/>
      <c r="Y544" s="1"/>
      <c r="Z544" s="1"/>
      <c r="AA544" s="1"/>
    </row>
    <row r="545">
      <c r="A545" s="2"/>
      <c r="B545" s="2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9">
        <f t="shared" si="9"/>
        <v>0</v>
      </c>
      <c r="W545" s="1"/>
      <c r="X545" s="1"/>
      <c r="Y545" s="1"/>
      <c r="Z545" s="1"/>
      <c r="AA545" s="1"/>
    </row>
    <row r="546">
      <c r="A546" s="2"/>
      <c r="B546" s="2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9">
        <f t="shared" si="9"/>
        <v>0</v>
      </c>
      <c r="W546" s="1"/>
      <c r="X546" s="1"/>
      <c r="Y546" s="1"/>
      <c r="Z546" s="1"/>
      <c r="AA546" s="1"/>
    </row>
    <row r="547">
      <c r="A547" s="2"/>
      <c r="B547" s="2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9">
        <f t="shared" si="9"/>
        <v>0</v>
      </c>
      <c r="W547" s="1"/>
      <c r="X547" s="1"/>
      <c r="Y547" s="1"/>
      <c r="Z547" s="1"/>
      <c r="AA547" s="1"/>
    </row>
    <row r="548">
      <c r="A548" s="2"/>
      <c r="B548" s="2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9">
        <f t="shared" si="9"/>
        <v>0</v>
      </c>
      <c r="W548" s="1"/>
      <c r="X548" s="1"/>
      <c r="Y548" s="1"/>
      <c r="Z548" s="1"/>
      <c r="AA548" s="1"/>
    </row>
    <row r="549">
      <c r="A549" s="2"/>
      <c r="B549" s="2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9">
        <f t="shared" si="9"/>
        <v>0</v>
      </c>
      <c r="W549" s="1"/>
      <c r="X549" s="1"/>
      <c r="Y549" s="1"/>
      <c r="Z549" s="1"/>
      <c r="AA549" s="1"/>
    </row>
    <row r="550">
      <c r="A550" s="2"/>
      <c r="B550" s="2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9">
        <f t="shared" si="9"/>
        <v>0</v>
      </c>
      <c r="W550" s="1"/>
      <c r="X550" s="1"/>
      <c r="Y550" s="1"/>
      <c r="Z550" s="1"/>
      <c r="AA550" s="1"/>
    </row>
    <row r="551">
      <c r="A551" s="2"/>
      <c r="B551" s="2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9">
        <f t="shared" si="9"/>
        <v>0</v>
      </c>
      <c r="W551" s="1"/>
      <c r="X551" s="1"/>
      <c r="Y551" s="1"/>
      <c r="Z551" s="1"/>
      <c r="AA551" s="1"/>
    </row>
    <row r="552">
      <c r="A552" s="2"/>
      <c r="B552" s="2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9">
        <f t="shared" si="9"/>
        <v>0</v>
      </c>
      <c r="W552" s="1"/>
      <c r="X552" s="1"/>
      <c r="Y552" s="1"/>
      <c r="Z552" s="1"/>
      <c r="AA552" s="1"/>
    </row>
    <row r="553">
      <c r="A553" s="2"/>
      <c r="B553" s="2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9">
        <f t="shared" si="9"/>
        <v>0</v>
      </c>
      <c r="W553" s="1"/>
      <c r="X553" s="1"/>
      <c r="Y553" s="1"/>
      <c r="Z553" s="1"/>
      <c r="AA553" s="1"/>
    </row>
    <row r="554">
      <c r="A554" s="2"/>
      <c r="B554" s="2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9">
        <f t="shared" si="9"/>
        <v>0</v>
      </c>
      <c r="W554" s="1"/>
      <c r="X554" s="1"/>
      <c r="Y554" s="1"/>
      <c r="Z554" s="1"/>
      <c r="AA554" s="1"/>
    </row>
    <row r="555">
      <c r="A555" s="2"/>
      <c r="B555" s="2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9">
        <f t="shared" si="9"/>
        <v>0</v>
      </c>
      <c r="W555" s="1"/>
      <c r="X555" s="1"/>
      <c r="Y555" s="1"/>
      <c r="Z555" s="1"/>
      <c r="AA555" s="1"/>
    </row>
    <row r="556">
      <c r="A556" s="2"/>
      <c r="B556" s="2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9">
        <f t="shared" si="9"/>
        <v>0</v>
      </c>
      <c r="W556" s="1"/>
      <c r="X556" s="1"/>
      <c r="Y556" s="1"/>
      <c r="Z556" s="1"/>
      <c r="AA556" s="1"/>
    </row>
    <row r="557">
      <c r="A557" s="2"/>
      <c r="B557" s="2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9">
        <f t="shared" si="9"/>
        <v>0</v>
      </c>
      <c r="W557" s="1"/>
      <c r="X557" s="1"/>
      <c r="Y557" s="1"/>
      <c r="Z557" s="1"/>
      <c r="AA557" s="1"/>
    </row>
    <row r="558">
      <c r="A558" s="2"/>
      <c r="B558" s="2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9">
        <f t="shared" si="9"/>
        <v>0</v>
      </c>
      <c r="W558" s="1"/>
      <c r="X558" s="1"/>
      <c r="Y558" s="1"/>
      <c r="Z558" s="1"/>
      <c r="AA558" s="1"/>
    </row>
    <row r="559">
      <c r="A559" s="2"/>
      <c r="B559" s="2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9">
        <f t="shared" si="9"/>
        <v>0</v>
      </c>
      <c r="W559" s="1"/>
      <c r="X559" s="1"/>
      <c r="Y559" s="1"/>
      <c r="Z559" s="1"/>
      <c r="AA559" s="1"/>
    </row>
    <row r="560">
      <c r="A560" s="2"/>
      <c r="B560" s="2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9">
        <f t="shared" si="9"/>
        <v>0</v>
      </c>
      <c r="W560" s="1"/>
      <c r="X560" s="1"/>
      <c r="Y560" s="1"/>
      <c r="Z560" s="1"/>
      <c r="AA560" s="1"/>
    </row>
    <row r="561">
      <c r="A561" s="2"/>
      <c r="B561" s="2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9">
        <f t="shared" si="9"/>
        <v>0</v>
      </c>
      <c r="W561" s="1"/>
      <c r="X561" s="1"/>
      <c r="Y561" s="1"/>
      <c r="Z561" s="1"/>
      <c r="AA561" s="1"/>
    </row>
    <row r="562">
      <c r="A562" s="2"/>
      <c r="B562" s="2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9">
        <f t="shared" si="9"/>
        <v>0</v>
      </c>
      <c r="W562" s="1"/>
      <c r="X562" s="1"/>
      <c r="Y562" s="1"/>
      <c r="Z562" s="1"/>
      <c r="AA562" s="1"/>
    </row>
    <row r="563">
      <c r="A563" s="2"/>
      <c r="B563" s="2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9">
        <f t="shared" si="9"/>
        <v>0</v>
      </c>
      <c r="W563" s="1"/>
      <c r="X563" s="1"/>
      <c r="Y563" s="1"/>
      <c r="Z563" s="1"/>
      <c r="AA563" s="1"/>
    </row>
    <row r="564">
      <c r="A564" s="2"/>
      <c r="B564" s="2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9">
        <f t="shared" si="9"/>
        <v>0</v>
      </c>
      <c r="W564" s="1"/>
      <c r="X564" s="1"/>
      <c r="Y564" s="1"/>
      <c r="Z564" s="1"/>
      <c r="AA564" s="1"/>
    </row>
    <row r="565">
      <c r="A565" s="2"/>
      <c r="B565" s="2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9">
        <f t="shared" si="9"/>
        <v>0</v>
      </c>
      <c r="W565" s="1"/>
      <c r="X565" s="1"/>
      <c r="Y565" s="1"/>
      <c r="Z565" s="1"/>
      <c r="AA565" s="1"/>
    </row>
    <row r="566">
      <c r="A566" s="2"/>
      <c r="B566" s="2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9">
        <f t="shared" si="9"/>
        <v>0</v>
      </c>
      <c r="W566" s="1"/>
      <c r="X566" s="1"/>
      <c r="Y566" s="1"/>
      <c r="Z566" s="1"/>
      <c r="AA566" s="1"/>
    </row>
    <row r="567">
      <c r="A567" s="2"/>
      <c r="B567" s="2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9">
        <f t="shared" si="9"/>
        <v>0</v>
      </c>
      <c r="W567" s="1"/>
      <c r="X567" s="1"/>
      <c r="Y567" s="1"/>
      <c r="Z567" s="1"/>
      <c r="AA567" s="1"/>
    </row>
    <row r="568">
      <c r="A568" s="2"/>
      <c r="B568" s="2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9">
        <f t="shared" si="9"/>
        <v>0</v>
      </c>
      <c r="W568" s="1"/>
      <c r="X568" s="1"/>
      <c r="Y568" s="1"/>
      <c r="Z568" s="1"/>
      <c r="AA568" s="1"/>
    </row>
    <row r="569">
      <c r="A569" s="2"/>
      <c r="B569" s="2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9">
        <f t="shared" si="9"/>
        <v>0</v>
      </c>
      <c r="W569" s="1"/>
      <c r="X569" s="1"/>
      <c r="Y569" s="1"/>
      <c r="Z569" s="1"/>
      <c r="AA569" s="1"/>
    </row>
    <row r="570">
      <c r="A570" s="2"/>
      <c r="B570" s="2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9">
        <f t="shared" si="9"/>
        <v>0</v>
      </c>
      <c r="W570" s="1"/>
      <c r="X570" s="1"/>
      <c r="Y570" s="1"/>
      <c r="Z570" s="1"/>
      <c r="AA570" s="1"/>
    </row>
    <row r="571">
      <c r="A571" s="2"/>
      <c r="B571" s="2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9">
        <f t="shared" si="9"/>
        <v>0</v>
      </c>
      <c r="W571" s="1"/>
      <c r="X571" s="1"/>
      <c r="Y571" s="1"/>
      <c r="Z571" s="1"/>
      <c r="AA571" s="1"/>
    </row>
    <row r="572">
      <c r="A572" s="2"/>
      <c r="B572" s="2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9">
        <f t="shared" si="9"/>
        <v>0</v>
      </c>
      <c r="W572" s="1"/>
      <c r="X572" s="1"/>
      <c r="Y572" s="1"/>
      <c r="Z572" s="1"/>
      <c r="AA572" s="1"/>
    </row>
    <row r="573">
      <c r="A573" s="2"/>
      <c r="B573" s="2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9">
        <f t="shared" si="9"/>
        <v>0</v>
      </c>
      <c r="W573" s="1"/>
      <c r="X573" s="1"/>
      <c r="Y573" s="1"/>
      <c r="Z573" s="1"/>
      <c r="AA573" s="1"/>
    </row>
    <row r="574">
      <c r="A574" s="2"/>
      <c r="B574" s="2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9">
        <f t="shared" si="9"/>
        <v>0</v>
      </c>
      <c r="W574" s="1"/>
      <c r="X574" s="1"/>
      <c r="Y574" s="1"/>
      <c r="Z574" s="1"/>
      <c r="AA574" s="1"/>
    </row>
    <row r="575">
      <c r="A575" s="2"/>
      <c r="B575" s="2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9">
        <f t="shared" si="9"/>
        <v>0</v>
      </c>
      <c r="W575" s="1"/>
      <c r="X575" s="1"/>
      <c r="Y575" s="1"/>
      <c r="Z575" s="1"/>
      <c r="AA575" s="1"/>
    </row>
    <row r="576">
      <c r="A576" s="2"/>
      <c r="B576" s="2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9">
        <f t="shared" si="9"/>
        <v>0</v>
      </c>
      <c r="W576" s="1"/>
      <c r="X576" s="1"/>
      <c r="Y576" s="1"/>
      <c r="Z576" s="1"/>
      <c r="AA576" s="1"/>
    </row>
    <row r="577">
      <c r="A577" s="2"/>
      <c r="B577" s="2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9">
        <f t="shared" si="9"/>
        <v>0</v>
      </c>
      <c r="W577" s="1"/>
      <c r="X577" s="1"/>
      <c r="Y577" s="1"/>
      <c r="Z577" s="1"/>
      <c r="AA577" s="1"/>
    </row>
    <row r="578">
      <c r="A578" s="2"/>
      <c r="B578" s="2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9">
        <f t="shared" si="9"/>
        <v>0</v>
      </c>
      <c r="W578" s="1"/>
      <c r="X578" s="1"/>
      <c r="Y578" s="1"/>
      <c r="Z578" s="1"/>
      <c r="AA578" s="1"/>
    </row>
    <row r="579">
      <c r="A579" s="2"/>
      <c r="B579" s="2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9">
        <f t="shared" si="9"/>
        <v>0</v>
      </c>
      <c r="W579" s="1"/>
      <c r="X579" s="1"/>
      <c r="Y579" s="1"/>
      <c r="Z579" s="1"/>
      <c r="AA579" s="1"/>
    </row>
    <row r="580">
      <c r="A580" s="2"/>
      <c r="B580" s="2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9">
        <f t="shared" si="9"/>
        <v>0</v>
      </c>
      <c r="W580" s="1"/>
      <c r="X580" s="1"/>
      <c r="Y580" s="1"/>
      <c r="Z580" s="1"/>
      <c r="AA580" s="1"/>
    </row>
    <row r="581">
      <c r="A581" s="2"/>
      <c r="B581" s="2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9">
        <f t="shared" si="9"/>
        <v>0</v>
      </c>
      <c r="W581" s="1"/>
      <c r="X581" s="1"/>
      <c r="Y581" s="1"/>
      <c r="Z581" s="1"/>
      <c r="AA581" s="1"/>
    </row>
    <row r="582">
      <c r="A582" s="2"/>
      <c r="B582" s="2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9">
        <f t="shared" si="9"/>
        <v>0</v>
      </c>
      <c r="W582" s="1"/>
      <c r="X582" s="1"/>
      <c r="Y582" s="1"/>
      <c r="Z582" s="1"/>
      <c r="AA582" s="1"/>
    </row>
    <row r="583">
      <c r="A583" s="2"/>
      <c r="B583" s="2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9">
        <f t="shared" si="9"/>
        <v>0</v>
      </c>
      <c r="W583" s="1"/>
      <c r="X583" s="1"/>
      <c r="Y583" s="1"/>
      <c r="Z583" s="1"/>
      <c r="AA583" s="1"/>
    </row>
    <row r="584">
      <c r="A584" s="2"/>
      <c r="B584" s="2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9">
        <f t="shared" si="9"/>
        <v>0</v>
      </c>
      <c r="W584" s="1"/>
      <c r="X584" s="1"/>
      <c r="Y584" s="1"/>
      <c r="Z584" s="1"/>
      <c r="AA584" s="1"/>
    </row>
    <row r="585">
      <c r="A585" s="2"/>
      <c r="B585" s="2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9">
        <f t="shared" si="9"/>
        <v>0</v>
      </c>
      <c r="W585" s="1"/>
      <c r="X585" s="1"/>
      <c r="Y585" s="1"/>
      <c r="Z585" s="1"/>
      <c r="AA585" s="1"/>
    </row>
    <row r="586">
      <c r="A586" s="2"/>
      <c r="B586" s="2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9">
        <f t="shared" si="9"/>
        <v>0</v>
      </c>
      <c r="W586" s="1"/>
      <c r="X586" s="1"/>
      <c r="Y586" s="1"/>
      <c r="Z586" s="1"/>
      <c r="AA586" s="1"/>
    </row>
    <row r="587">
      <c r="A587" s="2"/>
      <c r="B587" s="2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9">
        <f t="shared" si="9"/>
        <v>0</v>
      </c>
      <c r="W587" s="1"/>
      <c r="X587" s="1"/>
      <c r="Y587" s="1"/>
      <c r="Z587" s="1"/>
      <c r="AA587" s="1"/>
    </row>
    <row r="588">
      <c r="A588" s="2"/>
      <c r="B588" s="2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9">
        <f t="shared" si="9"/>
        <v>0</v>
      </c>
      <c r="W588" s="1"/>
      <c r="X588" s="1"/>
      <c r="Y588" s="1"/>
      <c r="Z588" s="1"/>
      <c r="AA588" s="1"/>
    </row>
    <row r="589">
      <c r="A589" s="2"/>
      <c r="B589" s="2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9">
        <f t="shared" si="9"/>
        <v>0</v>
      </c>
      <c r="W589" s="1"/>
      <c r="X589" s="1"/>
      <c r="Y589" s="1"/>
      <c r="Z589" s="1"/>
      <c r="AA589" s="1"/>
    </row>
    <row r="590">
      <c r="A590" s="2"/>
      <c r="B590" s="2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9">
        <f t="shared" si="9"/>
        <v>0</v>
      </c>
      <c r="W590" s="1"/>
      <c r="X590" s="1"/>
      <c r="Y590" s="1"/>
      <c r="Z590" s="1"/>
      <c r="AA590" s="1"/>
    </row>
    <row r="591">
      <c r="A591" s="2"/>
      <c r="B591" s="2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9">
        <f t="shared" si="9"/>
        <v>0</v>
      </c>
      <c r="W591" s="1"/>
      <c r="X591" s="1"/>
      <c r="Y591" s="1"/>
      <c r="Z591" s="1"/>
      <c r="AA591" s="1"/>
    </row>
    <row r="592">
      <c r="A592" s="2"/>
      <c r="B592" s="2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9">
        <f t="shared" si="9"/>
        <v>0</v>
      </c>
      <c r="W592" s="1"/>
      <c r="X592" s="1"/>
      <c r="Y592" s="1"/>
      <c r="Z592" s="1"/>
      <c r="AA592" s="1"/>
    </row>
    <row r="593">
      <c r="A593" s="2"/>
      <c r="B593" s="2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9">
        <f t="shared" si="9"/>
        <v>0</v>
      </c>
      <c r="W593" s="1"/>
      <c r="X593" s="1"/>
      <c r="Y593" s="1"/>
      <c r="Z593" s="1"/>
      <c r="AA593" s="1"/>
    </row>
    <row r="594">
      <c r="A594" s="2"/>
      <c r="B594" s="2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9">
        <f t="shared" si="9"/>
        <v>0</v>
      </c>
      <c r="W594" s="1"/>
      <c r="X594" s="1"/>
      <c r="Y594" s="1"/>
      <c r="Z594" s="1"/>
      <c r="AA594" s="1"/>
    </row>
    <row r="595">
      <c r="A595" s="2"/>
      <c r="B595" s="2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9">
        <f t="shared" si="9"/>
        <v>0</v>
      </c>
      <c r="W595" s="1"/>
      <c r="X595" s="1"/>
      <c r="Y595" s="1"/>
      <c r="Z595" s="1"/>
      <c r="AA595" s="1"/>
    </row>
    <row r="596">
      <c r="A596" s="2"/>
      <c r="B596" s="2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9">
        <f t="shared" si="9"/>
        <v>0</v>
      </c>
      <c r="W596" s="1"/>
      <c r="X596" s="1"/>
      <c r="Y596" s="1"/>
      <c r="Z596" s="1"/>
      <c r="AA596" s="1"/>
    </row>
    <row r="597">
      <c r="A597" s="2"/>
      <c r="B597" s="2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9">
        <f t="shared" si="9"/>
        <v>0</v>
      </c>
      <c r="W597" s="1"/>
      <c r="X597" s="1"/>
      <c r="Y597" s="1"/>
      <c r="Z597" s="1"/>
      <c r="AA597" s="1"/>
    </row>
    <row r="598">
      <c r="A598" s="2"/>
      <c r="B598" s="2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9">
        <f t="shared" si="9"/>
        <v>0</v>
      </c>
      <c r="W598" s="1"/>
      <c r="X598" s="1"/>
      <c r="Y598" s="1"/>
      <c r="Z598" s="1"/>
      <c r="AA598" s="1"/>
    </row>
    <row r="599">
      <c r="A599" s="2"/>
      <c r="B599" s="2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9">
        <f t="shared" si="9"/>
        <v>0</v>
      </c>
      <c r="W599" s="1"/>
      <c r="X599" s="1"/>
      <c r="Y599" s="1"/>
      <c r="Z599" s="1"/>
      <c r="AA599" s="1"/>
    </row>
    <row r="600">
      <c r="A600" s="2"/>
      <c r="B600" s="2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9">
        <f t="shared" si="9"/>
        <v>0</v>
      </c>
      <c r="W600" s="1"/>
      <c r="X600" s="1"/>
      <c r="Y600" s="1"/>
      <c r="Z600" s="1"/>
      <c r="AA600" s="1"/>
    </row>
    <row r="601">
      <c r="A601" s="2"/>
      <c r="B601" s="2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9">
        <f t="shared" si="9"/>
        <v>0</v>
      </c>
      <c r="W601" s="1"/>
      <c r="X601" s="1"/>
      <c r="Y601" s="1"/>
      <c r="Z601" s="1"/>
      <c r="AA601" s="1"/>
    </row>
    <row r="602">
      <c r="A602" s="2"/>
      <c r="B602" s="2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9">
        <f t="shared" si="9"/>
        <v>0</v>
      </c>
      <c r="W602" s="1"/>
      <c r="X602" s="1"/>
      <c r="Y602" s="1"/>
      <c r="Z602" s="1"/>
      <c r="AA602" s="1"/>
    </row>
    <row r="603">
      <c r="A603" s="2"/>
      <c r="B603" s="2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9">
        <f t="shared" si="9"/>
        <v>0</v>
      </c>
      <c r="W603" s="1"/>
      <c r="X603" s="1"/>
      <c r="Y603" s="1"/>
      <c r="Z603" s="1"/>
      <c r="AA603" s="1"/>
    </row>
    <row r="604">
      <c r="A604" s="2"/>
      <c r="B604" s="2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9">
        <f t="shared" si="9"/>
        <v>0</v>
      </c>
      <c r="W604" s="1"/>
      <c r="X604" s="1"/>
      <c r="Y604" s="1"/>
      <c r="Z604" s="1"/>
      <c r="AA604" s="1"/>
    </row>
    <row r="605">
      <c r="A605" s="2"/>
      <c r="B605" s="2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9">
        <f t="shared" si="9"/>
        <v>0</v>
      </c>
      <c r="W605" s="1"/>
      <c r="X605" s="1"/>
      <c r="Y605" s="1"/>
      <c r="Z605" s="1"/>
      <c r="AA605" s="1"/>
    </row>
    <row r="606">
      <c r="A606" s="2"/>
      <c r="B606" s="2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9">
        <f t="shared" si="9"/>
        <v>0</v>
      </c>
      <c r="W606" s="1"/>
      <c r="X606" s="1"/>
      <c r="Y606" s="1"/>
      <c r="Z606" s="1"/>
      <c r="AA606" s="1"/>
    </row>
    <row r="607">
      <c r="A607" s="2"/>
      <c r="B607" s="2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9">
        <f t="shared" si="9"/>
        <v>0</v>
      </c>
      <c r="W607" s="1"/>
      <c r="X607" s="1"/>
      <c r="Y607" s="1"/>
      <c r="Z607" s="1"/>
      <c r="AA607" s="1"/>
    </row>
    <row r="608">
      <c r="A608" s="2"/>
      <c r="B608" s="2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9">
        <f t="shared" si="9"/>
        <v>0</v>
      </c>
      <c r="W608" s="1"/>
      <c r="X608" s="1"/>
      <c r="Y608" s="1"/>
      <c r="Z608" s="1"/>
      <c r="AA608" s="1"/>
    </row>
    <row r="609">
      <c r="A609" s="2"/>
      <c r="B609" s="2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9">
        <f t="shared" si="9"/>
        <v>0</v>
      </c>
      <c r="W609" s="1"/>
      <c r="X609" s="1"/>
      <c r="Y609" s="1"/>
      <c r="Z609" s="1"/>
      <c r="AA609" s="1"/>
    </row>
    <row r="610">
      <c r="A610" s="2"/>
      <c r="B610" s="2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9">
        <f t="shared" si="9"/>
        <v>0</v>
      </c>
      <c r="W610" s="1"/>
      <c r="X610" s="1"/>
      <c r="Y610" s="1"/>
      <c r="Z610" s="1"/>
      <c r="AA610" s="1"/>
    </row>
    <row r="611">
      <c r="A611" s="2"/>
      <c r="B611" s="2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9">
        <f t="shared" si="9"/>
        <v>0</v>
      </c>
      <c r="W611" s="1"/>
      <c r="X611" s="1"/>
      <c r="Y611" s="1"/>
      <c r="Z611" s="1"/>
      <c r="AA611" s="1"/>
    </row>
    <row r="612">
      <c r="A612" s="2"/>
      <c r="B612" s="2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9">
        <f t="shared" si="9"/>
        <v>0</v>
      </c>
      <c r="W612" s="1"/>
      <c r="X612" s="1"/>
      <c r="Y612" s="1"/>
      <c r="Z612" s="1"/>
      <c r="AA612" s="1"/>
    </row>
    <row r="613">
      <c r="A613" s="2"/>
      <c r="B613" s="2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9">
        <f t="shared" si="9"/>
        <v>0</v>
      </c>
      <c r="W613" s="1"/>
      <c r="X613" s="1"/>
      <c r="Y613" s="1"/>
      <c r="Z613" s="1"/>
      <c r="AA613" s="1"/>
    </row>
    <row r="614">
      <c r="A614" s="2"/>
      <c r="B614" s="2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9">
        <f t="shared" si="9"/>
        <v>0</v>
      </c>
      <c r="W614" s="1"/>
      <c r="X614" s="1"/>
      <c r="Y614" s="1"/>
      <c r="Z614" s="1"/>
      <c r="AA614" s="1"/>
    </row>
    <row r="615">
      <c r="A615" s="2"/>
      <c r="B615" s="2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9">
        <f t="shared" si="9"/>
        <v>0</v>
      </c>
      <c r="W615" s="1"/>
      <c r="X615" s="1"/>
      <c r="Y615" s="1"/>
      <c r="Z615" s="1"/>
      <c r="AA615" s="1"/>
    </row>
    <row r="616">
      <c r="A616" s="2"/>
      <c r="B616" s="2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9">
        <f t="shared" si="9"/>
        <v>0</v>
      </c>
      <c r="W616" s="1"/>
      <c r="X616" s="1"/>
      <c r="Y616" s="1"/>
      <c r="Z616" s="1"/>
      <c r="AA616" s="1"/>
    </row>
    <row r="617">
      <c r="A617" s="2"/>
      <c r="B617" s="2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9">
        <f t="shared" si="9"/>
        <v>0</v>
      </c>
      <c r="W617" s="1"/>
      <c r="X617" s="1"/>
      <c r="Y617" s="1"/>
      <c r="Z617" s="1"/>
      <c r="AA617" s="1"/>
    </row>
    <row r="618">
      <c r="A618" s="2"/>
      <c r="B618" s="2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9">
        <f t="shared" si="9"/>
        <v>0</v>
      </c>
      <c r="W618" s="1"/>
      <c r="X618" s="1"/>
      <c r="Y618" s="1"/>
      <c r="Z618" s="1"/>
      <c r="AA618" s="1"/>
    </row>
    <row r="619">
      <c r="A619" s="2"/>
      <c r="B619" s="2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9">
        <f t="shared" si="9"/>
        <v>0</v>
      </c>
      <c r="W619" s="1"/>
      <c r="X619" s="1"/>
      <c r="Y619" s="1"/>
      <c r="Z619" s="1"/>
      <c r="AA619" s="1"/>
    </row>
    <row r="620">
      <c r="A620" s="2"/>
      <c r="B620" s="2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9">
        <f t="shared" si="9"/>
        <v>0</v>
      </c>
      <c r="W620" s="1"/>
      <c r="X620" s="1"/>
      <c r="Y620" s="1"/>
      <c r="Z620" s="1"/>
      <c r="AA620" s="1"/>
    </row>
    <row r="621">
      <c r="A621" s="2"/>
      <c r="B621" s="2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9">
        <f t="shared" si="9"/>
        <v>0</v>
      </c>
      <c r="W621" s="1"/>
      <c r="X621" s="1"/>
      <c r="Y621" s="1"/>
      <c r="Z621" s="1"/>
      <c r="AA621" s="1"/>
    </row>
    <row r="622">
      <c r="A622" s="2"/>
      <c r="B622" s="2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9">
        <f t="shared" si="9"/>
        <v>0</v>
      </c>
      <c r="W622" s="1"/>
      <c r="X622" s="1"/>
      <c r="Y622" s="1"/>
      <c r="Z622" s="1"/>
      <c r="AA622" s="1"/>
    </row>
    <row r="623">
      <c r="A623" s="2"/>
      <c r="B623" s="2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9">
        <f t="shared" si="9"/>
        <v>0</v>
      </c>
      <c r="W623" s="1"/>
      <c r="X623" s="1"/>
      <c r="Y623" s="1"/>
      <c r="Z623" s="1"/>
      <c r="AA623" s="1"/>
    </row>
    <row r="624">
      <c r="A624" s="2"/>
      <c r="B624" s="2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9">
        <f t="shared" si="9"/>
        <v>0</v>
      </c>
      <c r="W624" s="1"/>
      <c r="X624" s="1"/>
      <c r="Y624" s="1"/>
      <c r="Z624" s="1"/>
      <c r="AA624" s="1"/>
    </row>
    <row r="625">
      <c r="A625" s="2"/>
      <c r="B625" s="2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9">
        <f t="shared" si="9"/>
        <v>0</v>
      </c>
      <c r="W625" s="1"/>
      <c r="X625" s="1"/>
      <c r="Y625" s="1"/>
      <c r="Z625" s="1"/>
      <c r="AA625" s="1"/>
    </row>
    <row r="626">
      <c r="A626" s="2"/>
      <c r="B626" s="2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9">
        <f t="shared" si="9"/>
        <v>0</v>
      </c>
      <c r="W626" s="1"/>
      <c r="X626" s="1"/>
      <c r="Y626" s="1"/>
      <c r="Z626" s="1"/>
      <c r="AA626" s="1"/>
    </row>
    <row r="627">
      <c r="A627" s="2"/>
      <c r="B627" s="2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9">
        <f t="shared" si="9"/>
        <v>0</v>
      </c>
      <c r="W627" s="1"/>
      <c r="X627" s="1"/>
      <c r="Y627" s="1"/>
      <c r="Z627" s="1"/>
      <c r="AA627" s="1"/>
    </row>
    <row r="628">
      <c r="A628" s="2"/>
      <c r="B628" s="2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9">
        <f t="shared" si="9"/>
        <v>0</v>
      </c>
      <c r="W628" s="1"/>
      <c r="X628" s="1"/>
      <c r="Y628" s="1"/>
      <c r="Z628" s="1"/>
      <c r="AA628" s="1"/>
    </row>
    <row r="629">
      <c r="A629" s="2"/>
      <c r="B629" s="2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9">
        <f t="shared" si="9"/>
        <v>0</v>
      </c>
      <c r="W629" s="1"/>
      <c r="X629" s="1"/>
      <c r="Y629" s="1"/>
      <c r="Z629" s="1"/>
      <c r="AA629" s="1"/>
    </row>
    <row r="630">
      <c r="A630" s="2"/>
      <c r="B630" s="2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9">
        <f t="shared" si="9"/>
        <v>0</v>
      </c>
      <c r="W630" s="1"/>
      <c r="X630" s="1"/>
      <c r="Y630" s="1"/>
      <c r="Z630" s="1"/>
      <c r="AA630" s="1"/>
    </row>
    <row r="631">
      <c r="A631" s="2"/>
      <c r="B631" s="2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9">
        <f t="shared" si="9"/>
        <v>0</v>
      </c>
      <c r="W631" s="1"/>
      <c r="X631" s="1"/>
      <c r="Y631" s="1"/>
      <c r="Z631" s="1"/>
      <c r="AA631" s="1"/>
    </row>
    <row r="632">
      <c r="A632" s="2"/>
      <c r="B632" s="2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9">
        <f t="shared" si="9"/>
        <v>0</v>
      </c>
      <c r="W632" s="1"/>
      <c r="X632" s="1"/>
      <c r="Y632" s="1"/>
      <c r="Z632" s="1"/>
      <c r="AA632" s="1"/>
    </row>
    <row r="633">
      <c r="A633" s="2"/>
      <c r="B633" s="2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9">
        <f t="shared" si="9"/>
        <v>0</v>
      </c>
      <c r="W633" s="1"/>
      <c r="X633" s="1"/>
      <c r="Y633" s="1"/>
      <c r="Z633" s="1"/>
      <c r="AA633" s="1"/>
    </row>
    <row r="634">
      <c r="A634" s="2"/>
      <c r="B634" s="2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9">
        <f t="shared" si="9"/>
        <v>0</v>
      </c>
      <c r="W634" s="1"/>
      <c r="X634" s="1"/>
      <c r="Y634" s="1"/>
      <c r="Z634" s="1"/>
      <c r="AA634" s="1"/>
    </row>
    <row r="635">
      <c r="A635" s="2"/>
      <c r="B635" s="2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9">
        <f t="shared" si="9"/>
        <v>0</v>
      </c>
      <c r="W635" s="1"/>
      <c r="X635" s="1"/>
      <c r="Y635" s="1"/>
      <c r="Z635" s="1"/>
      <c r="AA635" s="1"/>
    </row>
    <row r="636">
      <c r="A636" s="2"/>
      <c r="B636" s="2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9">
        <f t="shared" si="9"/>
        <v>0</v>
      </c>
      <c r="W636" s="1"/>
      <c r="X636" s="1"/>
      <c r="Y636" s="1"/>
      <c r="Z636" s="1"/>
      <c r="AA636" s="1"/>
    </row>
    <row r="637">
      <c r="A637" s="2"/>
      <c r="B637" s="2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9">
        <f t="shared" si="9"/>
        <v>0</v>
      </c>
      <c r="W637" s="1"/>
      <c r="X637" s="1"/>
      <c r="Y637" s="1"/>
      <c r="Z637" s="1"/>
      <c r="AA637" s="1"/>
    </row>
    <row r="638">
      <c r="A638" s="2"/>
      <c r="B638" s="2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9">
        <f t="shared" si="9"/>
        <v>0</v>
      </c>
      <c r="W638" s="1"/>
      <c r="X638" s="1"/>
      <c r="Y638" s="1"/>
      <c r="Z638" s="1"/>
      <c r="AA638" s="1"/>
    </row>
    <row r="639">
      <c r="A639" s="2"/>
      <c r="B639" s="2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9">
        <f t="shared" si="9"/>
        <v>0</v>
      </c>
      <c r="W639" s="1"/>
      <c r="X639" s="1"/>
      <c r="Y639" s="1"/>
      <c r="Z639" s="1"/>
      <c r="AA639" s="1"/>
    </row>
    <row r="640">
      <c r="A640" s="2"/>
      <c r="B640" s="2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9">
        <f t="shared" si="9"/>
        <v>0</v>
      </c>
      <c r="W640" s="1"/>
      <c r="X640" s="1"/>
      <c r="Y640" s="1"/>
      <c r="Z640" s="1"/>
      <c r="AA640" s="1"/>
    </row>
    <row r="641">
      <c r="A641" s="2"/>
      <c r="B641" s="2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9">
        <f t="shared" si="9"/>
        <v>0</v>
      </c>
      <c r="W641" s="1"/>
      <c r="X641" s="1"/>
      <c r="Y641" s="1"/>
      <c r="Z641" s="1"/>
      <c r="AA641" s="1"/>
    </row>
    <row r="642">
      <c r="A642" s="2"/>
      <c r="B642" s="2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9">
        <f t="shared" si="9"/>
        <v>0</v>
      </c>
      <c r="W642" s="1"/>
      <c r="X642" s="1"/>
      <c r="Y642" s="1"/>
      <c r="Z642" s="1"/>
      <c r="AA642" s="1"/>
    </row>
    <row r="643">
      <c r="A643" s="2"/>
      <c r="B643" s="2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9">
        <f t="shared" si="9"/>
        <v>0</v>
      </c>
      <c r="W643" s="1"/>
      <c r="X643" s="1"/>
      <c r="Y643" s="1"/>
      <c r="Z643" s="1"/>
      <c r="AA643" s="1"/>
    </row>
    <row r="644">
      <c r="A644" s="2"/>
      <c r="B644" s="2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9">
        <f t="shared" si="9"/>
        <v>0</v>
      </c>
      <c r="W644" s="1"/>
      <c r="X644" s="1"/>
      <c r="Y644" s="1"/>
      <c r="Z644" s="1"/>
      <c r="AA644" s="1"/>
    </row>
    <row r="645">
      <c r="A645" s="2"/>
      <c r="B645" s="2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9">
        <f t="shared" si="9"/>
        <v>0</v>
      </c>
      <c r="W645" s="1"/>
      <c r="X645" s="1"/>
      <c r="Y645" s="1"/>
      <c r="Z645" s="1"/>
      <c r="AA645" s="1"/>
    </row>
    <row r="646">
      <c r="A646" s="2"/>
      <c r="B646" s="2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9">
        <f t="shared" si="9"/>
        <v>0</v>
      </c>
      <c r="W646" s="1"/>
      <c r="X646" s="1"/>
      <c r="Y646" s="1"/>
      <c r="Z646" s="1"/>
      <c r="AA646" s="1"/>
    </row>
    <row r="647">
      <c r="A647" s="2"/>
      <c r="B647" s="2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9">
        <f t="shared" si="9"/>
        <v>0</v>
      </c>
      <c r="W647" s="1"/>
      <c r="X647" s="1"/>
      <c r="Y647" s="1"/>
      <c r="Z647" s="1"/>
      <c r="AA647" s="1"/>
    </row>
    <row r="648">
      <c r="A648" s="2"/>
      <c r="B648" s="2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9">
        <f t="shared" si="9"/>
        <v>0</v>
      </c>
      <c r="W648" s="1"/>
      <c r="X648" s="1"/>
      <c r="Y648" s="1"/>
      <c r="Z648" s="1"/>
      <c r="AA648" s="1"/>
    </row>
    <row r="649">
      <c r="A649" s="2"/>
      <c r="B649" s="2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9">
        <f t="shared" si="9"/>
        <v>0</v>
      </c>
      <c r="W649" s="1"/>
      <c r="X649" s="1"/>
      <c r="Y649" s="1"/>
      <c r="Z649" s="1"/>
      <c r="AA649" s="1"/>
    </row>
    <row r="650">
      <c r="A650" s="2"/>
      <c r="B650" s="2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9">
        <f t="shared" si="9"/>
        <v>0</v>
      </c>
      <c r="W650" s="1"/>
      <c r="X650" s="1"/>
      <c r="Y650" s="1"/>
      <c r="Z650" s="1"/>
      <c r="AA650" s="1"/>
    </row>
    <row r="651">
      <c r="A651" s="2"/>
      <c r="B651" s="2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9">
        <f t="shared" si="9"/>
        <v>0</v>
      </c>
      <c r="W651" s="1"/>
      <c r="X651" s="1"/>
      <c r="Y651" s="1"/>
      <c r="Z651" s="1"/>
      <c r="AA651" s="1"/>
    </row>
    <row r="652">
      <c r="A652" s="2"/>
      <c r="B652" s="2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9">
        <f t="shared" si="9"/>
        <v>0</v>
      </c>
      <c r="W652" s="1"/>
      <c r="X652" s="1"/>
      <c r="Y652" s="1"/>
      <c r="Z652" s="1"/>
      <c r="AA652" s="1"/>
    </row>
    <row r="653">
      <c r="A653" s="2"/>
      <c r="B653" s="2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9">
        <f t="shared" si="9"/>
        <v>0</v>
      </c>
      <c r="W653" s="1"/>
      <c r="X653" s="1"/>
      <c r="Y653" s="1"/>
      <c r="Z653" s="1"/>
      <c r="AA653" s="1"/>
    </row>
    <row r="654">
      <c r="A654" s="2"/>
      <c r="B654" s="2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9">
        <f t="shared" si="9"/>
        <v>0</v>
      </c>
      <c r="W654" s="1"/>
      <c r="X654" s="1"/>
      <c r="Y654" s="1"/>
      <c r="Z654" s="1"/>
      <c r="AA654" s="1"/>
    </row>
    <row r="655">
      <c r="A655" s="2"/>
      <c r="B655" s="2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9">
        <f t="shared" si="9"/>
        <v>0</v>
      </c>
      <c r="W655" s="1"/>
      <c r="X655" s="1"/>
      <c r="Y655" s="1"/>
      <c r="Z655" s="1"/>
      <c r="AA655" s="1"/>
    </row>
    <row r="656">
      <c r="A656" s="2"/>
      <c r="B656" s="2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9">
        <f t="shared" si="9"/>
        <v>0</v>
      </c>
      <c r="W656" s="1"/>
      <c r="X656" s="1"/>
      <c r="Y656" s="1"/>
      <c r="Z656" s="1"/>
      <c r="AA656" s="1"/>
    </row>
    <row r="657">
      <c r="A657" s="2"/>
      <c r="B657" s="2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9">
        <f t="shared" si="9"/>
        <v>0</v>
      </c>
      <c r="W657" s="1"/>
      <c r="X657" s="1"/>
      <c r="Y657" s="1"/>
      <c r="Z657" s="1"/>
      <c r="AA657" s="1"/>
    </row>
    <row r="658">
      <c r="A658" s="2"/>
      <c r="B658" s="2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9">
        <f t="shared" si="9"/>
        <v>0</v>
      </c>
      <c r="W658" s="1"/>
      <c r="X658" s="1"/>
      <c r="Y658" s="1"/>
      <c r="Z658" s="1"/>
      <c r="AA658" s="1"/>
    </row>
    <row r="659">
      <c r="A659" s="2"/>
      <c r="B659" s="2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9">
        <f t="shared" si="9"/>
        <v>0</v>
      </c>
      <c r="W659" s="1"/>
      <c r="X659" s="1"/>
      <c r="Y659" s="1"/>
      <c r="Z659" s="1"/>
      <c r="AA659" s="1"/>
    </row>
    <row r="660">
      <c r="A660" s="2"/>
      <c r="B660" s="2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9">
        <f t="shared" si="9"/>
        <v>0</v>
      </c>
      <c r="W660" s="1"/>
      <c r="X660" s="1"/>
      <c r="Y660" s="1"/>
      <c r="Z660" s="1"/>
      <c r="AA660" s="1"/>
    </row>
    <row r="661">
      <c r="A661" s="2"/>
      <c r="B661" s="2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9">
        <f t="shared" si="9"/>
        <v>0</v>
      </c>
      <c r="W661" s="1"/>
      <c r="X661" s="1"/>
      <c r="Y661" s="1"/>
      <c r="Z661" s="1"/>
      <c r="AA661" s="1"/>
    </row>
    <row r="662">
      <c r="A662" s="2"/>
      <c r="B662" s="2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9">
        <f t="shared" si="9"/>
        <v>0</v>
      </c>
      <c r="W662" s="1"/>
      <c r="X662" s="1"/>
      <c r="Y662" s="1"/>
      <c r="Z662" s="1"/>
      <c r="AA662" s="1"/>
    </row>
    <row r="663">
      <c r="A663" s="2"/>
      <c r="B663" s="2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9">
        <f t="shared" si="9"/>
        <v>0</v>
      </c>
      <c r="W663" s="1"/>
      <c r="X663" s="1"/>
      <c r="Y663" s="1"/>
      <c r="Z663" s="1"/>
      <c r="AA663" s="1"/>
    </row>
    <row r="664">
      <c r="A664" s="2"/>
      <c r="B664" s="2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9">
        <f t="shared" si="9"/>
        <v>0</v>
      </c>
      <c r="W664" s="1"/>
      <c r="X664" s="1"/>
      <c r="Y664" s="1"/>
      <c r="Z664" s="1"/>
      <c r="AA664" s="1"/>
    </row>
    <row r="665">
      <c r="A665" s="2"/>
      <c r="B665" s="2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9">
        <f t="shared" si="9"/>
        <v>0</v>
      </c>
      <c r="W665" s="1"/>
      <c r="X665" s="1"/>
      <c r="Y665" s="1"/>
      <c r="Z665" s="1"/>
      <c r="AA665" s="1"/>
    </row>
    <row r="666">
      <c r="A666" s="2"/>
      <c r="B666" s="2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9">
        <f t="shared" si="9"/>
        <v>0</v>
      </c>
      <c r="W666" s="1"/>
      <c r="X666" s="1"/>
      <c r="Y666" s="1"/>
      <c r="Z666" s="1"/>
      <c r="AA666" s="1"/>
    </row>
    <row r="667">
      <c r="A667" s="2"/>
      <c r="B667" s="2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9">
        <f t="shared" si="9"/>
        <v>0</v>
      </c>
      <c r="W667" s="1"/>
      <c r="X667" s="1"/>
      <c r="Y667" s="1"/>
      <c r="Z667" s="1"/>
      <c r="AA667" s="1"/>
    </row>
    <row r="668">
      <c r="A668" s="2"/>
      <c r="B668" s="2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9">
        <f t="shared" si="9"/>
        <v>0</v>
      </c>
      <c r="W668" s="1"/>
      <c r="X668" s="1"/>
      <c r="Y668" s="1"/>
      <c r="Z668" s="1"/>
      <c r="AA668" s="1"/>
    </row>
    <row r="669">
      <c r="A669" s="2"/>
      <c r="B669" s="2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9">
        <f t="shared" si="9"/>
        <v>0</v>
      </c>
      <c r="W669" s="1"/>
      <c r="X669" s="1"/>
      <c r="Y669" s="1"/>
      <c r="Z669" s="1"/>
      <c r="AA669" s="1"/>
    </row>
    <row r="670">
      <c r="A670" s="2"/>
      <c r="B670" s="2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9">
        <f t="shared" si="9"/>
        <v>0</v>
      </c>
      <c r="W670" s="1"/>
      <c r="X670" s="1"/>
      <c r="Y670" s="1"/>
      <c r="Z670" s="1"/>
      <c r="AA670" s="1"/>
    </row>
    <row r="671">
      <c r="A671" s="2"/>
      <c r="B671" s="2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9">
        <f t="shared" si="9"/>
        <v>0</v>
      </c>
      <c r="W671" s="1"/>
      <c r="X671" s="1"/>
      <c r="Y671" s="1"/>
      <c r="Z671" s="1"/>
      <c r="AA671" s="1"/>
    </row>
    <row r="672">
      <c r="A672" s="2"/>
      <c r="B672" s="2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9">
        <f t="shared" si="9"/>
        <v>0</v>
      </c>
      <c r="W672" s="1"/>
      <c r="X672" s="1"/>
      <c r="Y672" s="1"/>
      <c r="Z672" s="1"/>
      <c r="AA672" s="1"/>
    </row>
    <row r="673">
      <c r="A673" s="2"/>
      <c r="B673" s="2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9">
        <f t="shared" si="9"/>
        <v>0</v>
      </c>
      <c r="W673" s="1"/>
      <c r="X673" s="1"/>
      <c r="Y673" s="1"/>
      <c r="Z673" s="1"/>
      <c r="AA673" s="1"/>
    </row>
    <row r="674">
      <c r="A674" s="2"/>
      <c r="B674" s="2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9">
        <f t="shared" si="9"/>
        <v>0</v>
      </c>
      <c r="W674" s="1"/>
      <c r="X674" s="1"/>
      <c r="Y674" s="1"/>
      <c r="Z674" s="1"/>
      <c r="AA674" s="1"/>
    </row>
    <row r="675">
      <c r="A675" s="2"/>
      <c r="B675" s="2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9">
        <f t="shared" si="9"/>
        <v>0</v>
      </c>
      <c r="W675" s="1"/>
      <c r="X675" s="1"/>
      <c r="Y675" s="1"/>
      <c r="Z675" s="1"/>
      <c r="AA675" s="1"/>
    </row>
    <row r="676">
      <c r="A676" s="2"/>
      <c r="B676" s="2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9">
        <f t="shared" si="9"/>
        <v>0</v>
      </c>
      <c r="W676" s="1"/>
      <c r="X676" s="1"/>
      <c r="Y676" s="1"/>
      <c r="Z676" s="1"/>
      <c r="AA676" s="1"/>
    </row>
    <row r="677">
      <c r="A677" s="2"/>
      <c r="B677" s="2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9">
        <f t="shared" si="9"/>
        <v>0</v>
      </c>
      <c r="W677" s="1"/>
      <c r="X677" s="1"/>
      <c r="Y677" s="1"/>
      <c r="Z677" s="1"/>
      <c r="AA677" s="1"/>
    </row>
    <row r="678">
      <c r="A678" s="2"/>
      <c r="B678" s="2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9">
        <f t="shared" si="9"/>
        <v>0</v>
      </c>
      <c r="W678" s="1"/>
      <c r="X678" s="1"/>
      <c r="Y678" s="1"/>
      <c r="Z678" s="1"/>
      <c r="AA678" s="1"/>
    </row>
    <row r="679">
      <c r="A679" s="2"/>
      <c r="B679" s="2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9">
        <f t="shared" si="9"/>
        <v>0</v>
      </c>
      <c r="W679" s="1"/>
      <c r="X679" s="1"/>
      <c r="Y679" s="1"/>
      <c r="Z679" s="1"/>
      <c r="AA679" s="1"/>
    </row>
    <row r="680">
      <c r="A680" s="2"/>
      <c r="B680" s="2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9">
        <f t="shared" si="9"/>
        <v>0</v>
      </c>
      <c r="W680" s="1"/>
      <c r="X680" s="1"/>
      <c r="Y680" s="1"/>
      <c r="Z680" s="1"/>
      <c r="AA680" s="1"/>
    </row>
    <row r="681">
      <c r="A681" s="2"/>
      <c r="B681" s="2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9">
        <f t="shared" si="9"/>
        <v>0</v>
      </c>
      <c r="W681" s="1"/>
      <c r="X681" s="1"/>
      <c r="Y681" s="1"/>
      <c r="Z681" s="1"/>
      <c r="AA681" s="1"/>
    </row>
    <row r="682">
      <c r="A682" s="2"/>
      <c r="B682" s="2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9">
        <f t="shared" si="9"/>
        <v>0</v>
      </c>
      <c r="W682" s="1"/>
      <c r="X682" s="1"/>
      <c r="Y682" s="1"/>
      <c r="Z682" s="1"/>
      <c r="AA682" s="1"/>
    </row>
    <row r="683">
      <c r="A683" s="2"/>
      <c r="B683" s="2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9">
        <f t="shared" si="9"/>
        <v>0</v>
      </c>
      <c r="W683" s="1"/>
      <c r="X683" s="1"/>
      <c r="Y683" s="1"/>
      <c r="Z683" s="1"/>
      <c r="AA683" s="1"/>
    </row>
    <row r="684">
      <c r="A684" s="2"/>
      <c r="B684" s="2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9">
        <f t="shared" si="9"/>
        <v>0</v>
      </c>
      <c r="W684" s="1"/>
      <c r="X684" s="1"/>
      <c r="Y684" s="1"/>
      <c r="Z684" s="1"/>
      <c r="AA684" s="1"/>
    </row>
    <row r="685">
      <c r="A685" s="2"/>
      <c r="B685" s="2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9">
        <f t="shared" si="9"/>
        <v>0</v>
      </c>
      <c r="W685" s="1"/>
      <c r="X685" s="1"/>
      <c r="Y685" s="1"/>
      <c r="Z685" s="1"/>
      <c r="AA685" s="1"/>
    </row>
    <row r="686">
      <c r="A686" s="2"/>
      <c r="B686" s="2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9">
        <f t="shared" si="9"/>
        <v>0</v>
      </c>
      <c r="W686" s="1"/>
      <c r="X686" s="1"/>
      <c r="Y686" s="1"/>
      <c r="Z686" s="1"/>
      <c r="AA686" s="1"/>
    </row>
    <row r="687">
      <c r="A687" s="2"/>
      <c r="B687" s="2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9">
        <f t="shared" si="9"/>
        <v>0</v>
      </c>
      <c r="W687" s="1"/>
      <c r="X687" s="1"/>
      <c r="Y687" s="1"/>
      <c r="Z687" s="1"/>
      <c r="AA687" s="1"/>
    </row>
    <row r="688">
      <c r="A688" s="2"/>
      <c r="B688" s="2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9">
        <f t="shared" si="9"/>
        <v>0</v>
      </c>
      <c r="W688" s="1"/>
      <c r="X688" s="1"/>
      <c r="Y688" s="1"/>
      <c r="Z688" s="1"/>
      <c r="AA688" s="1"/>
    </row>
    <row r="689">
      <c r="A689" s="2"/>
      <c r="B689" s="2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9">
        <f t="shared" si="9"/>
        <v>0</v>
      </c>
      <c r="W689" s="1"/>
      <c r="X689" s="1"/>
      <c r="Y689" s="1"/>
      <c r="Z689" s="1"/>
      <c r="AA689" s="1"/>
    </row>
    <row r="690">
      <c r="A690" s="2"/>
      <c r="B690" s="2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9">
        <f t="shared" si="9"/>
        <v>0</v>
      </c>
      <c r="W690" s="1"/>
      <c r="X690" s="1"/>
      <c r="Y690" s="1"/>
      <c r="Z690" s="1"/>
      <c r="AA690" s="1"/>
    </row>
    <row r="691">
      <c r="A691" s="2"/>
      <c r="B691" s="2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9">
        <f t="shared" si="9"/>
        <v>0</v>
      </c>
      <c r="W691" s="1"/>
      <c r="X691" s="1"/>
      <c r="Y691" s="1"/>
      <c r="Z691" s="1"/>
      <c r="AA691" s="1"/>
    </row>
    <row r="692">
      <c r="A692" s="2"/>
      <c r="B692" s="2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9">
        <f t="shared" si="9"/>
        <v>0</v>
      </c>
      <c r="W692" s="1"/>
      <c r="X692" s="1"/>
      <c r="Y692" s="1"/>
      <c r="Z692" s="1"/>
      <c r="AA692" s="1"/>
    </row>
    <row r="693">
      <c r="A693" s="2"/>
      <c r="B693" s="2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9">
        <f t="shared" si="9"/>
        <v>0</v>
      </c>
      <c r="W693" s="1"/>
      <c r="X693" s="1"/>
      <c r="Y693" s="1"/>
      <c r="Z693" s="1"/>
      <c r="AA693" s="1"/>
    </row>
    <row r="694">
      <c r="A694" s="2"/>
      <c r="B694" s="2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9">
        <f t="shared" si="9"/>
        <v>0</v>
      </c>
      <c r="W694" s="1"/>
      <c r="X694" s="1"/>
      <c r="Y694" s="1"/>
      <c r="Z694" s="1"/>
      <c r="AA694" s="1"/>
    </row>
    <row r="695">
      <c r="A695" s="2"/>
      <c r="B695" s="2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9">
        <f t="shared" si="9"/>
        <v>0</v>
      </c>
      <c r="W695" s="1"/>
      <c r="X695" s="1"/>
      <c r="Y695" s="1"/>
      <c r="Z695" s="1"/>
      <c r="AA695" s="1"/>
    </row>
    <row r="696">
      <c r="A696" s="2"/>
      <c r="B696" s="2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9">
        <f t="shared" si="9"/>
        <v>0</v>
      </c>
      <c r="W696" s="1"/>
      <c r="X696" s="1"/>
      <c r="Y696" s="1"/>
      <c r="Z696" s="1"/>
      <c r="AA696" s="1"/>
    </row>
    <row r="697">
      <c r="A697" s="2"/>
      <c r="B697" s="2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9">
        <f t="shared" si="9"/>
        <v>0</v>
      </c>
      <c r="W697" s="1"/>
      <c r="X697" s="1"/>
      <c r="Y697" s="1"/>
      <c r="Z697" s="1"/>
      <c r="AA697" s="1"/>
    </row>
    <row r="698">
      <c r="A698" s="2"/>
      <c r="B698" s="2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9">
        <f t="shared" si="9"/>
        <v>0</v>
      </c>
      <c r="W698" s="1"/>
      <c r="X698" s="1"/>
      <c r="Y698" s="1"/>
      <c r="Z698" s="1"/>
      <c r="AA698" s="1"/>
    </row>
    <row r="699">
      <c r="A699" s="2"/>
      <c r="B699" s="2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9">
        <f t="shared" si="9"/>
        <v>0</v>
      </c>
      <c r="W699" s="1"/>
      <c r="X699" s="1"/>
      <c r="Y699" s="1"/>
      <c r="Z699" s="1"/>
      <c r="AA699" s="1"/>
    </row>
    <row r="700">
      <c r="A700" s="2"/>
      <c r="B700" s="2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9">
        <f t="shared" si="9"/>
        <v>0</v>
      </c>
      <c r="W700" s="1"/>
      <c r="X700" s="1"/>
      <c r="Y700" s="1"/>
      <c r="Z700" s="1"/>
      <c r="AA700" s="1"/>
    </row>
    <row r="701">
      <c r="A701" s="2"/>
      <c r="B701" s="2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9">
        <f t="shared" si="9"/>
        <v>0</v>
      </c>
      <c r="W701" s="1"/>
      <c r="X701" s="1"/>
      <c r="Y701" s="1"/>
      <c r="Z701" s="1"/>
      <c r="AA701" s="1"/>
    </row>
    <row r="702">
      <c r="A702" s="2"/>
      <c r="B702" s="2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9">
        <f t="shared" si="9"/>
        <v>0</v>
      </c>
      <c r="W702" s="1"/>
      <c r="X702" s="1"/>
      <c r="Y702" s="1"/>
      <c r="Z702" s="1"/>
      <c r="AA702" s="1"/>
    </row>
    <row r="703">
      <c r="A703" s="2"/>
      <c r="B703" s="2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9">
        <f t="shared" si="9"/>
        <v>0</v>
      </c>
      <c r="W703" s="1"/>
      <c r="X703" s="1"/>
      <c r="Y703" s="1"/>
      <c r="Z703" s="1"/>
      <c r="AA703" s="1"/>
    </row>
    <row r="704">
      <c r="A704" s="2"/>
      <c r="B704" s="2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9">
        <f t="shared" si="9"/>
        <v>0</v>
      </c>
      <c r="W704" s="1"/>
      <c r="X704" s="1"/>
      <c r="Y704" s="1"/>
      <c r="Z704" s="1"/>
      <c r="AA704" s="1"/>
    </row>
    <row r="705">
      <c r="A705" s="2"/>
      <c r="B705" s="2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9">
        <f t="shared" si="9"/>
        <v>0</v>
      </c>
      <c r="W705" s="1"/>
      <c r="X705" s="1"/>
      <c r="Y705" s="1"/>
      <c r="Z705" s="1"/>
      <c r="AA705" s="1"/>
    </row>
    <row r="706">
      <c r="A706" s="2"/>
      <c r="B706" s="2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9">
        <f t="shared" si="9"/>
        <v>0</v>
      </c>
      <c r="W706" s="1"/>
      <c r="X706" s="1"/>
      <c r="Y706" s="1"/>
      <c r="Z706" s="1"/>
      <c r="AA706" s="1"/>
    </row>
    <row r="707">
      <c r="A707" s="2"/>
      <c r="B707" s="2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9">
        <f t="shared" si="9"/>
        <v>0</v>
      </c>
      <c r="W707" s="1"/>
      <c r="X707" s="1"/>
      <c r="Y707" s="1"/>
      <c r="Z707" s="1"/>
      <c r="AA707" s="1"/>
    </row>
    <row r="708">
      <c r="A708" s="2"/>
      <c r="B708" s="2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9">
        <f t="shared" si="9"/>
        <v>0</v>
      </c>
      <c r="W708" s="1"/>
      <c r="X708" s="1"/>
      <c r="Y708" s="1"/>
      <c r="Z708" s="1"/>
      <c r="AA708" s="1"/>
    </row>
    <row r="709">
      <c r="A709" s="2"/>
      <c r="B709" s="2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9">
        <f t="shared" si="9"/>
        <v>0</v>
      </c>
      <c r="W709" s="1"/>
      <c r="X709" s="1"/>
      <c r="Y709" s="1"/>
      <c r="Z709" s="1"/>
      <c r="AA709" s="1"/>
    </row>
    <row r="710">
      <c r="A710" s="2"/>
      <c r="B710" s="2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9">
        <f t="shared" si="9"/>
        <v>0</v>
      </c>
      <c r="W710" s="1"/>
      <c r="X710" s="1"/>
      <c r="Y710" s="1"/>
      <c r="Z710" s="1"/>
      <c r="AA710" s="1"/>
    </row>
    <row r="711">
      <c r="A711" s="2"/>
      <c r="B711" s="2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9">
        <f t="shared" si="9"/>
        <v>0</v>
      </c>
      <c r="W711" s="1"/>
      <c r="X711" s="1"/>
      <c r="Y711" s="1"/>
      <c r="Z711" s="1"/>
      <c r="AA711" s="1"/>
    </row>
    <row r="712">
      <c r="A712" s="2"/>
      <c r="B712" s="2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9">
        <f t="shared" si="9"/>
        <v>0</v>
      </c>
      <c r="W712" s="1"/>
      <c r="X712" s="1"/>
      <c r="Y712" s="1"/>
      <c r="Z712" s="1"/>
      <c r="AA712" s="1"/>
    </row>
    <row r="713">
      <c r="A713" s="2"/>
      <c r="B713" s="2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9">
        <f t="shared" si="9"/>
        <v>0</v>
      </c>
      <c r="W713" s="1"/>
      <c r="X713" s="1"/>
      <c r="Y713" s="1"/>
      <c r="Z713" s="1"/>
      <c r="AA713" s="1"/>
    </row>
    <row r="714">
      <c r="A714" s="2"/>
      <c r="B714" s="2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9">
        <f t="shared" si="9"/>
        <v>0</v>
      </c>
      <c r="W714" s="1"/>
      <c r="X714" s="1"/>
      <c r="Y714" s="1"/>
      <c r="Z714" s="1"/>
      <c r="AA714" s="1"/>
    </row>
    <row r="715">
      <c r="A715" s="2"/>
      <c r="B715" s="2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9">
        <f t="shared" si="9"/>
        <v>0</v>
      </c>
      <c r="W715" s="1"/>
      <c r="X715" s="1"/>
      <c r="Y715" s="1"/>
      <c r="Z715" s="1"/>
      <c r="AA715" s="1"/>
    </row>
    <row r="716">
      <c r="A716" s="2"/>
      <c r="B716" s="2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9">
        <f t="shared" si="9"/>
        <v>0</v>
      </c>
      <c r="W716" s="1"/>
      <c r="X716" s="1"/>
      <c r="Y716" s="1"/>
      <c r="Z716" s="1"/>
      <c r="AA716" s="1"/>
    </row>
    <row r="717">
      <c r="A717" s="2"/>
      <c r="B717" s="2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9">
        <f t="shared" si="9"/>
        <v>0</v>
      </c>
      <c r="W717" s="1"/>
      <c r="X717" s="1"/>
      <c r="Y717" s="1"/>
      <c r="Z717" s="1"/>
      <c r="AA717" s="1"/>
    </row>
    <row r="718">
      <c r="A718" s="2"/>
      <c r="B718" s="2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9">
        <f t="shared" si="9"/>
        <v>0</v>
      </c>
      <c r="W718" s="1"/>
      <c r="X718" s="1"/>
      <c r="Y718" s="1"/>
      <c r="Z718" s="1"/>
      <c r="AA718" s="1"/>
    </row>
    <row r="719">
      <c r="A719" s="2"/>
      <c r="B719" s="2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9">
        <f t="shared" si="9"/>
        <v>0</v>
      </c>
      <c r="W719" s="1"/>
      <c r="X719" s="1"/>
      <c r="Y719" s="1"/>
      <c r="Z719" s="1"/>
      <c r="AA719" s="1"/>
    </row>
    <row r="720">
      <c r="A720" s="2"/>
      <c r="B720" s="2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9">
        <f t="shared" si="9"/>
        <v>0</v>
      </c>
      <c r="W720" s="1"/>
      <c r="X720" s="1"/>
      <c r="Y720" s="1"/>
      <c r="Z720" s="1"/>
      <c r="AA720" s="1"/>
    </row>
    <row r="721">
      <c r="A721" s="2"/>
      <c r="B721" s="2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9">
        <f t="shared" si="9"/>
        <v>0</v>
      </c>
      <c r="W721" s="1"/>
      <c r="X721" s="1"/>
      <c r="Y721" s="1"/>
      <c r="Z721" s="1"/>
      <c r="AA721" s="1"/>
    </row>
    <row r="722">
      <c r="A722" s="2"/>
      <c r="B722" s="2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9">
        <f t="shared" si="9"/>
        <v>0</v>
      </c>
      <c r="W722" s="1"/>
      <c r="X722" s="1"/>
      <c r="Y722" s="1"/>
      <c r="Z722" s="1"/>
      <c r="AA722" s="1"/>
    </row>
    <row r="723">
      <c r="A723" s="2"/>
      <c r="B723" s="2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9">
        <f t="shared" si="9"/>
        <v>0</v>
      </c>
      <c r="W723" s="1"/>
      <c r="X723" s="1"/>
      <c r="Y723" s="1"/>
      <c r="Z723" s="1"/>
      <c r="AA723" s="1"/>
    </row>
    <row r="724">
      <c r="A724" s="2"/>
      <c r="B724" s="2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9">
        <f t="shared" si="9"/>
        <v>0</v>
      </c>
      <c r="W724" s="1"/>
      <c r="X724" s="1"/>
      <c r="Y724" s="1"/>
      <c r="Z724" s="1"/>
      <c r="AA724" s="1"/>
    </row>
    <row r="725">
      <c r="A725" s="2"/>
      <c r="B725" s="2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9">
        <f t="shared" si="9"/>
        <v>0</v>
      </c>
      <c r="W725" s="1"/>
      <c r="X725" s="1"/>
      <c r="Y725" s="1"/>
      <c r="Z725" s="1"/>
      <c r="AA725" s="1"/>
    </row>
    <row r="726">
      <c r="A726" s="2"/>
      <c r="B726" s="2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9">
        <f t="shared" si="9"/>
        <v>0</v>
      </c>
      <c r="W726" s="1"/>
      <c r="X726" s="1"/>
      <c r="Y726" s="1"/>
      <c r="Z726" s="1"/>
      <c r="AA726" s="1"/>
    </row>
    <row r="727">
      <c r="A727" s="2"/>
      <c r="B727" s="2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9">
        <f t="shared" si="9"/>
        <v>0</v>
      </c>
      <c r="W727" s="1"/>
      <c r="X727" s="1"/>
      <c r="Y727" s="1"/>
      <c r="Z727" s="1"/>
      <c r="AA727" s="1"/>
    </row>
    <row r="728">
      <c r="A728" s="2"/>
      <c r="B728" s="2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9">
        <f t="shared" si="9"/>
        <v>0</v>
      </c>
      <c r="W728" s="1"/>
      <c r="X728" s="1"/>
      <c r="Y728" s="1"/>
      <c r="Z728" s="1"/>
      <c r="AA728" s="1"/>
    </row>
    <row r="729">
      <c r="A729" s="2"/>
      <c r="B729" s="2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9">
        <f t="shared" si="9"/>
        <v>0</v>
      </c>
      <c r="W729" s="1"/>
      <c r="X729" s="1"/>
      <c r="Y729" s="1"/>
      <c r="Z729" s="1"/>
      <c r="AA729" s="1"/>
    </row>
    <row r="730">
      <c r="A730" s="2"/>
      <c r="B730" s="2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9">
        <f t="shared" si="9"/>
        <v>0</v>
      </c>
      <c r="W730" s="1"/>
      <c r="X730" s="1"/>
      <c r="Y730" s="1"/>
      <c r="Z730" s="1"/>
      <c r="AA730" s="1"/>
    </row>
    <row r="731">
      <c r="A731" s="2"/>
      <c r="B731" s="2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9">
        <f t="shared" si="9"/>
        <v>0</v>
      </c>
      <c r="W731" s="1"/>
      <c r="X731" s="1"/>
      <c r="Y731" s="1"/>
      <c r="Z731" s="1"/>
      <c r="AA731" s="1"/>
    </row>
    <row r="732">
      <c r="A732" s="2"/>
      <c r="B732" s="2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9">
        <f t="shared" si="9"/>
        <v>0</v>
      </c>
      <c r="W732" s="1"/>
      <c r="X732" s="1"/>
      <c r="Y732" s="1"/>
      <c r="Z732" s="1"/>
      <c r="AA732" s="1"/>
    </row>
    <row r="733">
      <c r="A733" s="2"/>
      <c r="B733" s="2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9">
        <f t="shared" si="9"/>
        <v>0</v>
      </c>
      <c r="W733" s="1"/>
      <c r="X733" s="1"/>
      <c r="Y733" s="1"/>
      <c r="Z733" s="1"/>
      <c r="AA733" s="1"/>
    </row>
    <row r="734">
      <c r="A734" s="2"/>
      <c r="B734" s="2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9">
        <f t="shared" si="9"/>
        <v>0</v>
      </c>
      <c r="W734" s="1"/>
      <c r="X734" s="1"/>
      <c r="Y734" s="1"/>
      <c r="Z734" s="1"/>
      <c r="AA734" s="1"/>
    </row>
    <row r="735">
      <c r="A735" s="2"/>
      <c r="B735" s="2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9">
        <f t="shared" si="9"/>
        <v>0</v>
      </c>
      <c r="W735" s="1"/>
      <c r="X735" s="1"/>
      <c r="Y735" s="1"/>
      <c r="Z735" s="1"/>
      <c r="AA735" s="1"/>
    </row>
    <row r="736">
      <c r="A736" s="2"/>
      <c r="B736" s="2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9">
        <f t="shared" si="9"/>
        <v>0</v>
      </c>
      <c r="W736" s="1"/>
      <c r="X736" s="1"/>
      <c r="Y736" s="1"/>
      <c r="Z736" s="1"/>
      <c r="AA736" s="1"/>
    </row>
    <row r="737">
      <c r="A737" s="2"/>
      <c r="B737" s="2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9">
        <f t="shared" si="9"/>
        <v>0</v>
      </c>
      <c r="W737" s="1"/>
      <c r="X737" s="1"/>
      <c r="Y737" s="1"/>
      <c r="Z737" s="1"/>
      <c r="AA737" s="1"/>
    </row>
    <row r="738">
      <c r="A738" s="2"/>
      <c r="B738" s="2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9">
        <f t="shared" si="9"/>
        <v>0</v>
      </c>
      <c r="W738" s="1"/>
      <c r="X738" s="1"/>
      <c r="Y738" s="1"/>
      <c r="Z738" s="1"/>
      <c r="AA738" s="1"/>
    </row>
    <row r="739">
      <c r="A739" s="2"/>
      <c r="B739" s="2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9">
        <f t="shared" si="9"/>
        <v>0</v>
      </c>
      <c r="W739" s="1"/>
      <c r="X739" s="1"/>
      <c r="Y739" s="1"/>
      <c r="Z739" s="1"/>
      <c r="AA739" s="1"/>
    </row>
    <row r="740">
      <c r="A740" s="2"/>
      <c r="B740" s="2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9">
        <f t="shared" si="9"/>
        <v>0</v>
      </c>
      <c r="W740" s="1"/>
      <c r="X740" s="1"/>
      <c r="Y740" s="1"/>
      <c r="Z740" s="1"/>
      <c r="AA740" s="1"/>
    </row>
    <row r="741">
      <c r="A741" s="2"/>
      <c r="B741" s="2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9">
        <f t="shared" si="9"/>
        <v>0</v>
      </c>
      <c r="W741" s="1"/>
      <c r="X741" s="1"/>
      <c r="Y741" s="1"/>
      <c r="Z741" s="1"/>
      <c r="AA741" s="1"/>
    </row>
    <row r="742">
      <c r="A742" s="2"/>
      <c r="B742" s="2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9">
        <f t="shared" si="9"/>
        <v>0</v>
      </c>
      <c r="W742" s="1"/>
      <c r="X742" s="1"/>
      <c r="Y742" s="1"/>
      <c r="Z742" s="1"/>
      <c r="AA742" s="1"/>
    </row>
    <row r="743">
      <c r="A743" s="2"/>
      <c r="B743" s="2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9">
        <f t="shared" si="9"/>
        <v>0</v>
      </c>
      <c r="W743" s="1"/>
      <c r="X743" s="1"/>
      <c r="Y743" s="1"/>
      <c r="Z743" s="1"/>
      <c r="AA743" s="1"/>
    </row>
    <row r="744">
      <c r="A744" s="2"/>
      <c r="B744" s="2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9">
        <f t="shared" si="9"/>
        <v>0</v>
      </c>
      <c r="W744" s="1"/>
      <c r="X744" s="1"/>
      <c r="Y744" s="1"/>
      <c r="Z744" s="1"/>
      <c r="AA744" s="1"/>
    </row>
    <row r="745">
      <c r="A745" s="2"/>
      <c r="B745" s="2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9">
        <f t="shared" si="9"/>
        <v>0</v>
      </c>
      <c r="W745" s="1"/>
      <c r="X745" s="1"/>
      <c r="Y745" s="1"/>
      <c r="Z745" s="1"/>
      <c r="AA745" s="1"/>
    </row>
    <row r="746">
      <c r="A746" s="2"/>
      <c r="B746" s="2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9">
        <f t="shared" si="9"/>
        <v>0</v>
      </c>
      <c r="W746" s="1"/>
      <c r="X746" s="1"/>
      <c r="Y746" s="1"/>
      <c r="Z746" s="1"/>
      <c r="AA746" s="1"/>
    </row>
    <row r="747">
      <c r="A747" s="2"/>
      <c r="B747" s="2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9">
        <f t="shared" si="9"/>
        <v>0</v>
      </c>
      <c r="W747" s="1"/>
      <c r="X747" s="1"/>
      <c r="Y747" s="1"/>
      <c r="Z747" s="1"/>
      <c r="AA747" s="1"/>
    </row>
    <row r="748">
      <c r="A748" s="2"/>
      <c r="B748" s="2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9">
        <f t="shared" si="9"/>
        <v>0</v>
      </c>
      <c r="W748" s="1"/>
      <c r="X748" s="1"/>
      <c r="Y748" s="1"/>
      <c r="Z748" s="1"/>
      <c r="AA748" s="1"/>
    </row>
    <row r="749">
      <c r="A749" s="2"/>
      <c r="B749" s="2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9">
        <f t="shared" si="9"/>
        <v>0</v>
      </c>
      <c r="W749" s="1"/>
      <c r="X749" s="1"/>
      <c r="Y749" s="1"/>
      <c r="Z749" s="1"/>
      <c r="AA749" s="1"/>
    </row>
    <row r="750">
      <c r="A750" s="2"/>
      <c r="B750" s="2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9">
        <f t="shared" si="9"/>
        <v>0</v>
      </c>
      <c r="W750" s="1"/>
      <c r="X750" s="1"/>
      <c r="Y750" s="1"/>
      <c r="Z750" s="1"/>
      <c r="AA750" s="1"/>
    </row>
    <row r="751">
      <c r="A751" s="2"/>
      <c r="B751" s="2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9">
        <f t="shared" si="9"/>
        <v>0</v>
      </c>
      <c r="W751" s="1"/>
      <c r="X751" s="1"/>
      <c r="Y751" s="1"/>
      <c r="Z751" s="1"/>
      <c r="AA751" s="1"/>
    </row>
    <row r="752">
      <c r="A752" s="2"/>
      <c r="B752" s="2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9">
        <f t="shared" si="9"/>
        <v>0</v>
      </c>
      <c r="W752" s="1"/>
      <c r="X752" s="1"/>
      <c r="Y752" s="1"/>
      <c r="Z752" s="1"/>
      <c r="AA752" s="1"/>
    </row>
    <row r="753">
      <c r="A753" s="2"/>
      <c r="B753" s="2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9">
        <f t="shared" si="9"/>
        <v>0</v>
      </c>
      <c r="W753" s="1"/>
      <c r="X753" s="1"/>
      <c r="Y753" s="1"/>
      <c r="Z753" s="1"/>
      <c r="AA753" s="1"/>
    </row>
    <row r="754">
      <c r="A754" s="2"/>
      <c r="B754" s="2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9">
        <f t="shared" si="9"/>
        <v>0</v>
      </c>
      <c r="W754" s="1"/>
      <c r="X754" s="1"/>
      <c r="Y754" s="1"/>
      <c r="Z754" s="1"/>
      <c r="AA754" s="1"/>
    </row>
    <row r="755">
      <c r="A755" s="2"/>
      <c r="B755" s="2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9">
        <f t="shared" si="9"/>
        <v>0</v>
      </c>
      <c r="W755" s="1"/>
      <c r="X755" s="1"/>
      <c r="Y755" s="1"/>
      <c r="Z755" s="1"/>
      <c r="AA755" s="1"/>
    </row>
    <row r="756">
      <c r="A756" s="2"/>
      <c r="B756" s="2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9">
        <f t="shared" si="9"/>
        <v>0</v>
      </c>
      <c r="W756" s="1"/>
      <c r="X756" s="1"/>
      <c r="Y756" s="1"/>
      <c r="Z756" s="1"/>
      <c r="AA756" s="1"/>
    </row>
    <row r="757">
      <c r="A757" s="2"/>
      <c r="B757" s="2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9">
        <f t="shared" si="9"/>
        <v>0</v>
      </c>
      <c r="W757" s="1"/>
      <c r="X757" s="1"/>
      <c r="Y757" s="1"/>
      <c r="Z757" s="1"/>
      <c r="AA757" s="1"/>
    </row>
    <row r="758">
      <c r="A758" s="2"/>
      <c r="B758" s="2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9">
        <f t="shared" si="9"/>
        <v>0</v>
      </c>
      <c r="W758" s="1"/>
      <c r="X758" s="1"/>
      <c r="Y758" s="1"/>
      <c r="Z758" s="1"/>
      <c r="AA758" s="1"/>
    </row>
    <row r="759">
      <c r="A759" s="2"/>
      <c r="B759" s="2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9">
        <f t="shared" si="9"/>
        <v>0</v>
      </c>
      <c r="W759" s="1"/>
      <c r="X759" s="1"/>
      <c r="Y759" s="1"/>
      <c r="Z759" s="1"/>
      <c r="AA759" s="1"/>
    </row>
    <row r="760">
      <c r="A760" s="2"/>
      <c r="B760" s="2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9">
        <f t="shared" si="9"/>
        <v>0</v>
      </c>
      <c r="W760" s="1"/>
      <c r="X760" s="1"/>
      <c r="Y760" s="1"/>
      <c r="Z760" s="1"/>
      <c r="AA760" s="1"/>
    </row>
    <row r="761">
      <c r="A761" s="2"/>
      <c r="B761" s="2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9">
        <f t="shared" si="9"/>
        <v>0</v>
      </c>
      <c r="W761" s="1"/>
      <c r="X761" s="1"/>
      <c r="Y761" s="1"/>
      <c r="Z761" s="1"/>
      <c r="AA761" s="1"/>
    </row>
    <row r="762">
      <c r="A762" s="2"/>
      <c r="B762" s="2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9">
        <f t="shared" si="9"/>
        <v>0</v>
      </c>
      <c r="W762" s="1"/>
      <c r="X762" s="1"/>
      <c r="Y762" s="1"/>
      <c r="Z762" s="1"/>
      <c r="AA762" s="1"/>
    </row>
    <row r="763">
      <c r="A763" s="2"/>
      <c r="B763" s="2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9">
        <f t="shared" si="9"/>
        <v>0</v>
      </c>
      <c r="W763" s="1"/>
      <c r="X763" s="1"/>
      <c r="Y763" s="1"/>
      <c r="Z763" s="1"/>
      <c r="AA763" s="1"/>
    </row>
    <row r="764">
      <c r="A764" s="2"/>
      <c r="B764" s="2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9">
        <f t="shared" si="9"/>
        <v>0</v>
      </c>
      <c r="W764" s="1"/>
      <c r="X764" s="1"/>
      <c r="Y764" s="1"/>
      <c r="Z764" s="1"/>
      <c r="AA764" s="1"/>
    </row>
    <row r="765">
      <c r="A765" s="2"/>
      <c r="B765" s="2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9">
        <f t="shared" si="9"/>
        <v>0</v>
      </c>
      <c r="W765" s="1"/>
      <c r="X765" s="1"/>
      <c r="Y765" s="1"/>
      <c r="Z765" s="1"/>
      <c r="AA765" s="1"/>
    </row>
    <row r="766">
      <c r="A766" s="2"/>
      <c r="B766" s="2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9">
        <f t="shared" si="9"/>
        <v>0</v>
      </c>
      <c r="W766" s="1"/>
      <c r="X766" s="1"/>
      <c r="Y766" s="1"/>
      <c r="Z766" s="1"/>
      <c r="AA766" s="1"/>
    </row>
    <row r="767">
      <c r="A767" s="2"/>
      <c r="B767" s="2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9">
        <f t="shared" si="9"/>
        <v>0</v>
      </c>
      <c r="W767" s="1"/>
      <c r="X767" s="1"/>
      <c r="Y767" s="1"/>
      <c r="Z767" s="1"/>
      <c r="AA767" s="1"/>
    </row>
    <row r="768">
      <c r="A768" s="2"/>
      <c r="B768" s="2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9">
        <f t="shared" si="9"/>
        <v>0</v>
      </c>
      <c r="W768" s="1"/>
      <c r="X768" s="1"/>
      <c r="Y768" s="1"/>
      <c r="Z768" s="1"/>
      <c r="AA768" s="1"/>
    </row>
    <row r="769">
      <c r="A769" s="2"/>
      <c r="B769" s="2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9">
        <f t="shared" si="9"/>
        <v>0</v>
      </c>
      <c r="W769" s="1"/>
      <c r="X769" s="1"/>
      <c r="Y769" s="1"/>
      <c r="Z769" s="1"/>
      <c r="AA769" s="1"/>
    </row>
    <row r="770">
      <c r="A770" s="2"/>
      <c r="B770" s="2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9">
        <f t="shared" si="9"/>
        <v>0</v>
      </c>
      <c r="W770" s="1"/>
      <c r="X770" s="1"/>
      <c r="Y770" s="1"/>
      <c r="Z770" s="1"/>
      <c r="AA770" s="1"/>
    </row>
    <row r="771">
      <c r="A771" s="2"/>
      <c r="B771" s="2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9">
        <f t="shared" si="9"/>
        <v>0</v>
      </c>
      <c r="W771" s="1"/>
      <c r="X771" s="1"/>
      <c r="Y771" s="1"/>
      <c r="Z771" s="1"/>
      <c r="AA771" s="1"/>
    </row>
    <row r="772">
      <c r="A772" s="2"/>
      <c r="B772" s="2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9">
        <f t="shared" si="9"/>
        <v>0</v>
      </c>
      <c r="W772" s="1"/>
      <c r="X772" s="1"/>
      <c r="Y772" s="1"/>
      <c r="Z772" s="1"/>
      <c r="AA772" s="1"/>
    </row>
    <row r="773">
      <c r="A773" s="2"/>
      <c r="B773" s="2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9">
        <f t="shared" si="9"/>
        <v>0</v>
      </c>
      <c r="W773" s="1"/>
      <c r="X773" s="1"/>
      <c r="Y773" s="1"/>
      <c r="Z773" s="1"/>
      <c r="AA773" s="1"/>
    </row>
    <row r="774">
      <c r="A774" s="2"/>
      <c r="B774" s="2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9">
        <f t="shared" si="9"/>
        <v>0</v>
      </c>
      <c r="W774" s="1"/>
      <c r="X774" s="1"/>
      <c r="Y774" s="1"/>
      <c r="Z774" s="1"/>
      <c r="AA774" s="1"/>
    </row>
    <row r="775">
      <c r="A775" s="2"/>
      <c r="B775" s="2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9">
        <f t="shared" si="9"/>
        <v>0</v>
      </c>
      <c r="W775" s="1"/>
      <c r="X775" s="1"/>
      <c r="Y775" s="1"/>
      <c r="Z775" s="1"/>
      <c r="AA775" s="1"/>
    </row>
    <row r="776">
      <c r="A776" s="2"/>
      <c r="B776" s="2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9">
        <f t="shared" si="9"/>
        <v>0</v>
      </c>
      <c r="W776" s="1"/>
      <c r="X776" s="1"/>
      <c r="Y776" s="1"/>
      <c r="Z776" s="1"/>
      <c r="AA776" s="1"/>
    </row>
    <row r="777">
      <c r="A777" s="2"/>
      <c r="B777" s="2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9">
        <f t="shared" si="9"/>
        <v>0</v>
      </c>
      <c r="W777" s="1"/>
      <c r="X777" s="1"/>
      <c r="Y777" s="1"/>
      <c r="Z777" s="1"/>
      <c r="AA777" s="1"/>
    </row>
    <row r="778">
      <c r="A778" s="2"/>
      <c r="B778" s="2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9">
        <f t="shared" si="9"/>
        <v>0</v>
      </c>
      <c r="W778" s="1"/>
      <c r="X778" s="1"/>
      <c r="Y778" s="1"/>
      <c r="Z778" s="1"/>
      <c r="AA778" s="1"/>
    </row>
    <row r="779">
      <c r="A779" s="2"/>
      <c r="B779" s="2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9">
        <f t="shared" si="9"/>
        <v>0</v>
      </c>
      <c r="W779" s="1"/>
      <c r="X779" s="1"/>
      <c r="Y779" s="1"/>
      <c r="Z779" s="1"/>
      <c r="AA779" s="1"/>
    </row>
    <row r="780">
      <c r="A780" s="2"/>
      <c r="B780" s="2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9">
        <f t="shared" si="9"/>
        <v>0</v>
      </c>
      <c r="W780" s="1"/>
      <c r="X780" s="1"/>
      <c r="Y780" s="1"/>
      <c r="Z780" s="1"/>
      <c r="AA780" s="1"/>
    </row>
    <row r="781">
      <c r="A781" s="2"/>
      <c r="B781" s="2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9">
        <f t="shared" si="9"/>
        <v>0</v>
      </c>
      <c r="W781" s="1"/>
      <c r="X781" s="1"/>
      <c r="Y781" s="1"/>
      <c r="Z781" s="1"/>
      <c r="AA781" s="1"/>
    </row>
    <row r="782">
      <c r="A782" s="2"/>
      <c r="B782" s="2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9">
        <f t="shared" si="9"/>
        <v>0</v>
      </c>
      <c r="W782" s="1"/>
      <c r="X782" s="1"/>
      <c r="Y782" s="1"/>
      <c r="Z782" s="1"/>
      <c r="AA782" s="1"/>
    </row>
    <row r="783">
      <c r="A783" s="2"/>
      <c r="B783" s="2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9">
        <f t="shared" si="9"/>
        <v>0</v>
      </c>
      <c r="W783" s="1"/>
      <c r="X783" s="1"/>
      <c r="Y783" s="1"/>
      <c r="Z783" s="1"/>
      <c r="AA783" s="1"/>
    </row>
    <row r="784">
      <c r="A784" s="2"/>
      <c r="B784" s="2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9">
        <f t="shared" si="9"/>
        <v>0</v>
      </c>
      <c r="W784" s="1"/>
      <c r="X784" s="1"/>
      <c r="Y784" s="1"/>
      <c r="Z784" s="1"/>
      <c r="AA784" s="1"/>
    </row>
    <row r="785">
      <c r="A785" s="2"/>
      <c r="B785" s="2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9">
        <f t="shared" si="9"/>
        <v>0</v>
      </c>
      <c r="W785" s="1"/>
      <c r="X785" s="1"/>
      <c r="Y785" s="1"/>
      <c r="Z785" s="1"/>
      <c r="AA785" s="1"/>
    </row>
    <row r="786">
      <c r="A786" s="2"/>
      <c r="B786" s="2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9">
        <f t="shared" si="9"/>
        <v>0</v>
      </c>
      <c r="W786" s="1"/>
      <c r="X786" s="1"/>
      <c r="Y786" s="1"/>
      <c r="Z786" s="1"/>
      <c r="AA786" s="1"/>
    </row>
    <row r="787">
      <c r="A787" s="2"/>
      <c r="B787" s="2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9">
        <f t="shared" si="9"/>
        <v>0</v>
      </c>
      <c r="W787" s="1"/>
      <c r="X787" s="1"/>
      <c r="Y787" s="1"/>
      <c r="Z787" s="1"/>
      <c r="AA787" s="1"/>
    </row>
    <row r="788">
      <c r="A788" s="2"/>
      <c r="B788" s="2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9">
        <f t="shared" si="9"/>
        <v>0</v>
      </c>
      <c r="W788" s="1"/>
      <c r="X788" s="1"/>
      <c r="Y788" s="1"/>
      <c r="Z788" s="1"/>
      <c r="AA788" s="1"/>
    </row>
    <row r="789">
      <c r="A789" s="2"/>
      <c r="B789" s="2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9">
        <f t="shared" si="9"/>
        <v>0</v>
      </c>
      <c r="W789" s="1"/>
      <c r="X789" s="1"/>
      <c r="Y789" s="1"/>
      <c r="Z789" s="1"/>
      <c r="AA789" s="1"/>
    </row>
    <row r="790">
      <c r="A790" s="2"/>
      <c r="B790" s="2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9">
        <f t="shared" si="9"/>
        <v>0</v>
      </c>
      <c r="W790" s="1"/>
      <c r="X790" s="1"/>
      <c r="Y790" s="1"/>
      <c r="Z790" s="1"/>
      <c r="AA790" s="1"/>
    </row>
    <row r="791">
      <c r="A791" s="2"/>
      <c r="B791" s="2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9">
        <f t="shared" si="9"/>
        <v>0</v>
      </c>
      <c r="W791" s="1"/>
      <c r="X791" s="1"/>
      <c r="Y791" s="1"/>
      <c r="Z791" s="1"/>
      <c r="AA791" s="1"/>
    </row>
    <row r="792">
      <c r="A792" s="2"/>
      <c r="B792" s="2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9">
        <f t="shared" si="9"/>
        <v>0</v>
      </c>
      <c r="W792" s="1"/>
      <c r="X792" s="1"/>
      <c r="Y792" s="1"/>
      <c r="Z792" s="1"/>
      <c r="AA792" s="1"/>
    </row>
    <row r="793">
      <c r="A793" s="2"/>
      <c r="B793" s="2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9">
        <f t="shared" si="9"/>
        <v>0</v>
      </c>
      <c r="W793" s="1"/>
      <c r="X793" s="1"/>
      <c r="Y793" s="1"/>
      <c r="Z793" s="1"/>
      <c r="AA793" s="1"/>
    </row>
    <row r="794">
      <c r="A794" s="2"/>
      <c r="B794" s="2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9">
        <f t="shared" si="9"/>
        <v>0</v>
      </c>
      <c r="W794" s="1"/>
      <c r="X794" s="1"/>
      <c r="Y794" s="1"/>
      <c r="Z794" s="1"/>
      <c r="AA794" s="1"/>
    </row>
    <row r="795">
      <c r="A795" s="2"/>
      <c r="B795" s="2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9">
        <f t="shared" si="9"/>
        <v>0</v>
      </c>
      <c r="W795" s="1"/>
      <c r="X795" s="1"/>
      <c r="Y795" s="1"/>
      <c r="Z795" s="1"/>
      <c r="AA795" s="1"/>
    </row>
    <row r="796">
      <c r="A796" s="2"/>
      <c r="B796" s="2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9">
        <f t="shared" si="9"/>
        <v>0</v>
      </c>
      <c r="W796" s="1"/>
      <c r="X796" s="1"/>
      <c r="Y796" s="1"/>
      <c r="Z796" s="1"/>
      <c r="AA796" s="1"/>
    </row>
    <row r="797">
      <c r="A797" s="2"/>
      <c r="B797" s="2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9">
        <f t="shared" si="9"/>
        <v>0</v>
      </c>
      <c r="W797" s="1"/>
      <c r="X797" s="1"/>
      <c r="Y797" s="1"/>
      <c r="Z797" s="1"/>
      <c r="AA797" s="1"/>
    </row>
    <row r="798">
      <c r="A798" s="2"/>
      <c r="B798" s="2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9">
        <f t="shared" si="9"/>
        <v>0</v>
      </c>
      <c r="W798" s="1"/>
      <c r="X798" s="1"/>
      <c r="Y798" s="1"/>
      <c r="Z798" s="1"/>
      <c r="AA798" s="1"/>
    </row>
    <row r="799">
      <c r="A799" s="2"/>
      <c r="B799" s="2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9">
        <f t="shared" si="9"/>
        <v>0</v>
      </c>
      <c r="W799" s="1"/>
      <c r="X799" s="1"/>
      <c r="Y799" s="1"/>
      <c r="Z799" s="1"/>
      <c r="AA799" s="1"/>
    </row>
    <row r="800">
      <c r="A800" s="2"/>
      <c r="B800" s="2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9">
        <f t="shared" si="9"/>
        <v>0</v>
      </c>
      <c r="W800" s="1"/>
      <c r="X800" s="1"/>
      <c r="Y800" s="1"/>
      <c r="Z800" s="1"/>
      <c r="AA800" s="1"/>
    </row>
    <row r="801">
      <c r="A801" s="2"/>
      <c r="B801" s="2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9">
        <f t="shared" si="9"/>
        <v>0</v>
      </c>
      <c r="W801" s="1"/>
      <c r="X801" s="1"/>
      <c r="Y801" s="1"/>
      <c r="Z801" s="1"/>
      <c r="AA801" s="1"/>
    </row>
    <row r="802">
      <c r="A802" s="2"/>
      <c r="B802" s="2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9">
        <f t="shared" si="9"/>
        <v>0</v>
      </c>
      <c r="W802" s="1"/>
      <c r="X802" s="1"/>
      <c r="Y802" s="1"/>
      <c r="Z802" s="1"/>
      <c r="AA802" s="1"/>
    </row>
    <row r="803">
      <c r="A803" s="2"/>
      <c r="B803" s="2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9">
        <f t="shared" si="9"/>
        <v>0</v>
      </c>
      <c r="W803" s="1"/>
      <c r="X803" s="1"/>
      <c r="Y803" s="1"/>
      <c r="Z803" s="1"/>
      <c r="AA803" s="1"/>
    </row>
    <row r="804">
      <c r="A804" s="2"/>
      <c r="B804" s="2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9">
        <f t="shared" si="9"/>
        <v>0</v>
      </c>
      <c r="W804" s="1"/>
      <c r="X804" s="1"/>
      <c r="Y804" s="1"/>
      <c r="Z804" s="1"/>
      <c r="AA804" s="1"/>
    </row>
    <row r="805">
      <c r="A805" s="2"/>
      <c r="B805" s="2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9">
        <f t="shared" si="9"/>
        <v>0</v>
      </c>
      <c r="W805" s="1"/>
      <c r="X805" s="1"/>
      <c r="Y805" s="1"/>
      <c r="Z805" s="1"/>
      <c r="AA805" s="1"/>
    </row>
    <row r="806">
      <c r="A806" s="2"/>
      <c r="B806" s="2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9">
        <f t="shared" si="9"/>
        <v>0</v>
      </c>
      <c r="W806" s="1"/>
      <c r="X806" s="1"/>
      <c r="Y806" s="1"/>
      <c r="Z806" s="1"/>
      <c r="AA806" s="1"/>
    </row>
    <row r="807">
      <c r="A807" s="2"/>
      <c r="B807" s="2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9">
        <f t="shared" si="9"/>
        <v>0</v>
      </c>
      <c r="W807" s="1"/>
      <c r="X807" s="1"/>
      <c r="Y807" s="1"/>
      <c r="Z807" s="1"/>
      <c r="AA807" s="1"/>
    </row>
    <row r="808">
      <c r="A808" s="2"/>
      <c r="B808" s="2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9">
        <f t="shared" si="9"/>
        <v>0</v>
      </c>
      <c r="W808" s="1"/>
      <c r="X808" s="1"/>
      <c r="Y808" s="1"/>
      <c r="Z808" s="1"/>
      <c r="AA808" s="1"/>
    </row>
    <row r="809">
      <c r="A809" s="2"/>
      <c r="B809" s="2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9">
        <f t="shared" si="9"/>
        <v>0</v>
      </c>
      <c r="W809" s="1"/>
      <c r="X809" s="1"/>
      <c r="Y809" s="1"/>
      <c r="Z809" s="1"/>
      <c r="AA809" s="1"/>
    </row>
    <row r="810">
      <c r="A810" s="2"/>
      <c r="B810" s="2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9">
        <f t="shared" si="9"/>
        <v>0</v>
      </c>
      <c r="W810" s="1"/>
      <c r="X810" s="1"/>
      <c r="Y810" s="1"/>
      <c r="Z810" s="1"/>
      <c r="AA810" s="1"/>
    </row>
    <row r="811">
      <c r="A811" s="2"/>
      <c r="B811" s="2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9">
        <f t="shared" si="9"/>
        <v>0</v>
      </c>
      <c r="W811" s="1"/>
      <c r="X811" s="1"/>
      <c r="Y811" s="1"/>
      <c r="Z811" s="1"/>
      <c r="AA811" s="1"/>
    </row>
    <row r="812">
      <c r="A812" s="2"/>
      <c r="B812" s="2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9">
        <f t="shared" si="9"/>
        <v>0</v>
      </c>
      <c r="W812" s="1"/>
      <c r="X812" s="1"/>
      <c r="Y812" s="1"/>
      <c r="Z812" s="1"/>
      <c r="AA812" s="1"/>
    </row>
    <row r="813">
      <c r="A813" s="2"/>
      <c r="B813" s="2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9">
        <f t="shared" si="9"/>
        <v>0</v>
      </c>
      <c r="W813" s="1"/>
      <c r="X813" s="1"/>
      <c r="Y813" s="1"/>
      <c r="Z813" s="1"/>
      <c r="AA813" s="1"/>
    </row>
    <row r="814">
      <c r="A814" s="2"/>
      <c r="B814" s="2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9">
        <f t="shared" si="9"/>
        <v>0</v>
      </c>
      <c r="W814" s="1"/>
      <c r="X814" s="1"/>
      <c r="Y814" s="1"/>
      <c r="Z814" s="1"/>
      <c r="AA814" s="1"/>
    </row>
    <row r="815">
      <c r="A815" s="2"/>
      <c r="B815" s="2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9">
        <f t="shared" si="9"/>
        <v>0</v>
      </c>
      <c r="W815" s="1"/>
      <c r="X815" s="1"/>
      <c r="Y815" s="1"/>
      <c r="Z815" s="1"/>
      <c r="AA815" s="1"/>
    </row>
    <row r="816">
      <c r="A816" s="2"/>
      <c r="B816" s="2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9">
        <f t="shared" si="9"/>
        <v>0</v>
      </c>
      <c r="W816" s="1"/>
      <c r="X816" s="1"/>
      <c r="Y816" s="1"/>
      <c r="Z816" s="1"/>
      <c r="AA816" s="1"/>
    </row>
    <row r="817">
      <c r="A817" s="2"/>
      <c r="B817" s="2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9">
        <f t="shared" si="9"/>
        <v>0</v>
      </c>
      <c r="W817" s="1"/>
      <c r="X817" s="1"/>
      <c r="Y817" s="1"/>
      <c r="Z817" s="1"/>
      <c r="AA817" s="1"/>
    </row>
    <row r="818">
      <c r="A818" s="2"/>
      <c r="B818" s="2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9">
        <f t="shared" si="9"/>
        <v>0</v>
      </c>
      <c r="W818" s="1"/>
      <c r="X818" s="1"/>
      <c r="Y818" s="1"/>
      <c r="Z818" s="1"/>
      <c r="AA818" s="1"/>
    </row>
    <row r="819">
      <c r="A819" s="2"/>
      <c r="B819" s="2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9">
        <f t="shared" si="9"/>
        <v>0</v>
      </c>
      <c r="W819" s="1"/>
      <c r="X819" s="1"/>
      <c r="Y819" s="1"/>
      <c r="Z819" s="1"/>
      <c r="AA819" s="1"/>
    </row>
    <row r="820">
      <c r="A820" s="2"/>
      <c r="B820" s="2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9">
        <f t="shared" si="9"/>
        <v>0</v>
      </c>
      <c r="W820" s="1"/>
      <c r="X820" s="1"/>
      <c r="Y820" s="1"/>
      <c r="Z820" s="1"/>
      <c r="AA820" s="1"/>
    </row>
    <row r="821">
      <c r="A821" s="2"/>
      <c r="B821" s="2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9">
        <f t="shared" si="9"/>
        <v>0</v>
      </c>
      <c r="W821" s="1"/>
      <c r="X821" s="1"/>
      <c r="Y821" s="1"/>
      <c r="Z821" s="1"/>
      <c r="AA821" s="1"/>
    </row>
    <row r="822">
      <c r="A822" s="2"/>
      <c r="B822" s="2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9">
        <f t="shared" si="9"/>
        <v>0</v>
      </c>
      <c r="W822" s="1"/>
      <c r="X822" s="1"/>
      <c r="Y822" s="1"/>
      <c r="Z822" s="1"/>
      <c r="AA822" s="1"/>
    </row>
    <row r="823">
      <c r="A823" s="2"/>
      <c r="B823" s="2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9">
        <f t="shared" si="9"/>
        <v>0</v>
      </c>
      <c r="W823" s="1"/>
      <c r="X823" s="1"/>
      <c r="Y823" s="1"/>
      <c r="Z823" s="1"/>
      <c r="AA823" s="1"/>
    </row>
    <row r="824">
      <c r="A824" s="2"/>
      <c r="B824" s="2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9">
        <f t="shared" si="9"/>
        <v>0</v>
      </c>
      <c r="W824" s="1"/>
      <c r="X824" s="1"/>
      <c r="Y824" s="1"/>
      <c r="Z824" s="1"/>
      <c r="AA824" s="1"/>
    </row>
    <row r="825">
      <c r="A825" s="2"/>
      <c r="B825" s="2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9">
        <f t="shared" si="9"/>
        <v>0</v>
      </c>
      <c r="W825" s="1"/>
      <c r="X825" s="1"/>
      <c r="Y825" s="1"/>
      <c r="Z825" s="1"/>
      <c r="AA825" s="1"/>
    </row>
    <row r="826">
      <c r="A826" s="2"/>
      <c r="B826" s="2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9">
        <f t="shared" si="9"/>
        <v>0</v>
      </c>
      <c r="W826" s="1"/>
      <c r="X826" s="1"/>
      <c r="Y826" s="1"/>
      <c r="Z826" s="1"/>
      <c r="AA826" s="1"/>
    </row>
    <row r="827">
      <c r="A827" s="2"/>
      <c r="B827" s="2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9">
        <f t="shared" si="9"/>
        <v>0</v>
      </c>
      <c r="W827" s="1"/>
      <c r="X827" s="1"/>
      <c r="Y827" s="1"/>
      <c r="Z827" s="1"/>
      <c r="AA827" s="1"/>
    </row>
    <row r="828">
      <c r="A828" s="2"/>
      <c r="B828" s="2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9">
        <f t="shared" si="9"/>
        <v>0</v>
      </c>
      <c r="W828" s="1"/>
      <c r="X828" s="1"/>
      <c r="Y828" s="1"/>
      <c r="Z828" s="1"/>
      <c r="AA828" s="1"/>
    </row>
    <row r="829">
      <c r="A829" s="2"/>
      <c r="B829" s="2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9">
        <f t="shared" si="9"/>
        <v>0</v>
      </c>
      <c r="W829" s="1"/>
      <c r="X829" s="1"/>
      <c r="Y829" s="1"/>
      <c r="Z829" s="1"/>
      <c r="AA829" s="1"/>
    </row>
    <row r="830">
      <c r="A830" s="2"/>
      <c r="B830" s="2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9">
        <f t="shared" si="9"/>
        <v>0</v>
      </c>
      <c r="W830" s="1"/>
      <c r="X830" s="1"/>
      <c r="Y830" s="1"/>
      <c r="Z830" s="1"/>
      <c r="AA830" s="1"/>
    </row>
    <row r="831">
      <c r="A831" s="2"/>
      <c r="B831" s="2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9">
        <f t="shared" si="9"/>
        <v>0</v>
      </c>
      <c r="W831" s="1"/>
      <c r="X831" s="1"/>
      <c r="Y831" s="1"/>
      <c r="Z831" s="1"/>
      <c r="AA831" s="1"/>
    </row>
    <row r="832">
      <c r="A832" s="2"/>
      <c r="B832" s="2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9">
        <f t="shared" si="9"/>
        <v>0</v>
      </c>
      <c r="W832" s="1"/>
      <c r="X832" s="1"/>
      <c r="Y832" s="1"/>
      <c r="Z832" s="1"/>
      <c r="AA832" s="1"/>
    </row>
    <row r="833">
      <c r="A833" s="2"/>
      <c r="B833" s="2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9">
        <f t="shared" si="9"/>
        <v>0</v>
      </c>
      <c r="W833" s="1"/>
      <c r="X833" s="1"/>
      <c r="Y833" s="1"/>
      <c r="Z833" s="1"/>
      <c r="AA833" s="1"/>
    </row>
    <row r="834">
      <c r="A834" s="2"/>
      <c r="B834" s="2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9">
        <f t="shared" si="9"/>
        <v>0</v>
      </c>
      <c r="W834" s="1"/>
      <c r="X834" s="1"/>
      <c r="Y834" s="1"/>
      <c r="Z834" s="1"/>
      <c r="AA834" s="1"/>
    </row>
    <row r="835">
      <c r="A835" s="2"/>
      <c r="B835" s="2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9">
        <f t="shared" si="9"/>
        <v>0</v>
      </c>
      <c r="W835" s="1"/>
      <c r="X835" s="1"/>
      <c r="Y835" s="1"/>
      <c r="Z835" s="1"/>
      <c r="AA835" s="1"/>
    </row>
    <row r="836">
      <c r="A836" s="2"/>
      <c r="B836" s="2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9">
        <f t="shared" si="9"/>
        <v>0</v>
      </c>
      <c r="W836" s="1"/>
      <c r="X836" s="1"/>
      <c r="Y836" s="1"/>
      <c r="Z836" s="1"/>
      <c r="AA836" s="1"/>
    </row>
    <row r="837">
      <c r="A837" s="2"/>
      <c r="B837" s="2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9">
        <f t="shared" si="9"/>
        <v>0</v>
      </c>
      <c r="W837" s="1"/>
      <c r="X837" s="1"/>
      <c r="Y837" s="1"/>
      <c r="Z837" s="1"/>
      <c r="AA837" s="1"/>
    </row>
    <row r="838">
      <c r="A838" s="2"/>
      <c r="B838" s="2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9">
        <f t="shared" si="9"/>
        <v>0</v>
      </c>
      <c r="W838" s="1"/>
      <c r="X838" s="1"/>
      <c r="Y838" s="1"/>
      <c r="Z838" s="1"/>
      <c r="AA838" s="1"/>
    </row>
    <row r="839">
      <c r="A839" s="2"/>
      <c r="B839" s="2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9">
        <f t="shared" si="9"/>
        <v>0</v>
      </c>
      <c r="W839" s="1"/>
      <c r="X839" s="1"/>
      <c r="Y839" s="1"/>
      <c r="Z839" s="1"/>
      <c r="AA839" s="1"/>
    </row>
    <row r="840">
      <c r="A840" s="2"/>
      <c r="B840" s="2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9">
        <f t="shared" si="9"/>
        <v>0</v>
      </c>
      <c r="W840" s="1"/>
      <c r="X840" s="1"/>
      <c r="Y840" s="1"/>
      <c r="Z840" s="1"/>
      <c r="AA840" s="1"/>
    </row>
    <row r="841">
      <c r="A841" s="2"/>
      <c r="B841" s="2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9">
        <f t="shared" si="9"/>
        <v>0</v>
      </c>
      <c r="W841" s="1"/>
      <c r="X841" s="1"/>
      <c r="Y841" s="1"/>
      <c r="Z841" s="1"/>
      <c r="AA841" s="1"/>
    </row>
    <row r="842">
      <c r="A842" s="2"/>
      <c r="B842" s="2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9">
        <f t="shared" si="9"/>
        <v>0</v>
      </c>
      <c r="W842" s="1"/>
      <c r="X842" s="1"/>
      <c r="Y842" s="1"/>
      <c r="Z842" s="1"/>
      <c r="AA842" s="1"/>
    </row>
    <row r="843">
      <c r="A843" s="2"/>
      <c r="B843" s="2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9">
        <f t="shared" si="9"/>
        <v>0</v>
      </c>
      <c r="W843" s="1"/>
      <c r="X843" s="1"/>
      <c r="Y843" s="1"/>
      <c r="Z843" s="1"/>
      <c r="AA843" s="1"/>
    </row>
    <row r="844">
      <c r="A844" s="2"/>
      <c r="B844" s="2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9">
        <f t="shared" si="9"/>
        <v>0</v>
      </c>
      <c r="W844" s="1"/>
      <c r="X844" s="1"/>
      <c r="Y844" s="1"/>
      <c r="Z844" s="1"/>
      <c r="AA844" s="1"/>
    </row>
    <row r="845">
      <c r="A845" s="2"/>
      <c r="B845" s="2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9">
        <f t="shared" si="9"/>
        <v>0</v>
      </c>
      <c r="W845" s="1"/>
      <c r="X845" s="1"/>
      <c r="Y845" s="1"/>
      <c r="Z845" s="1"/>
      <c r="AA845" s="1"/>
    </row>
    <row r="846">
      <c r="A846" s="2"/>
      <c r="B846" s="2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9">
        <f t="shared" si="9"/>
        <v>0</v>
      </c>
      <c r="W846" s="1"/>
      <c r="X846" s="1"/>
      <c r="Y846" s="1"/>
      <c r="Z846" s="1"/>
      <c r="AA846" s="1"/>
    </row>
    <row r="847">
      <c r="A847" s="2"/>
      <c r="B847" s="2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9">
        <f t="shared" si="9"/>
        <v>0</v>
      </c>
      <c r="W847" s="1"/>
      <c r="X847" s="1"/>
      <c r="Y847" s="1"/>
      <c r="Z847" s="1"/>
      <c r="AA847" s="1"/>
    </row>
    <row r="848">
      <c r="A848" s="2"/>
      <c r="B848" s="2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9">
        <f t="shared" si="9"/>
        <v>0</v>
      </c>
      <c r="W848" s="1"/>
      <c r="X848" s="1"/>
      <c r="Y848" s="1"/>
      <c r="Z848" s="1"/>
      <c r="AA848" s="1"/>
    </row>
    <row r="849">
      <c r="A849" s="2"/>
      <c r="B849" s="2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9">
        <f t="shared" si="9"/>
        <v>0</v>
      </c>
      <c r="W849" s="1"/>
      <c r="X849" s="1"/>
      <c r="Y849" s="1"/>
      <c r="Z849" s="1"/>
      <c r="AA849" s="1"/>
    </row>
    <row r="850">
      <c r="A850" s="2"/>
      <c r="B850" s="2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9">
        <f t="shared" si="9"/>
        <v>0</v>
      </c>
      <c r="W850" s="1"/>
      <c r="X850" s="1"/>
      <c r="Y850" s="1"/>
      <c r="Z850" s="1"/>
      <c r="AA850" s="1"/>
    </row>
    <row r="851">
      <c r="A851" s="2"/>
      <c r="B851" s="2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9">
        <f t="shared" si="9"/>
        <v>0</v>
      </c>
      <c r="W851" s="1"/>
      <c r="X851" s="1"/>
      <c r="Y851" s="1"/>
      <c r="Z851" s="1"/>
      <c r="AA851" s="1"/>
    </row>
    <row r="852">
      <c r="A852" s="2"/>
      <c r="B852" s="2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9">
        <f t="shared" si="9"/>
        <v>0</v>
      </c>
      <c r="W852" s="1"/>
      <c r="X852" s="1"/>
      <c r="Y852" s="1"/>
      <c r="Z852" s="1"/>
      <c r="AA852" s="1"/>
    </row>
    <row r="853">
      <c r="A853" s="2"/>
      <c r="B853" s="2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9">
        <f t="shared" si="9"/>
        <v>0</v>
      </c>
      <c r="W853" s="1"/>
      <c r="X853" s="1"/>
      <c r="Y853" s="1"/>
      <c r="Z853" s="1"/>
      <c r="AA853" s="1"/>
    </row>
    <row r="854">
      <c r="A854" s="2"/>
      <c r="B854" s="2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9">
        <f t="shared" si="9"/>
        <v>0</v>
      </c>
      <c r="W854" s="1"/>
      <c r="X854" s="1"/>
      <c r="Y854" s="1"/>
      <c r="Z854" s="1"/>
      <c r="AA854" s="1"/>
    </row>
    <row r="855">
      <c r="A855" s="2"/>
      <c r="B855" s="2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9">
        <f t="shared" si="9"/>
        <v>0</v>
      </c>
      <c r="W855" s="1"/>
      <c r="X855" s="1"/>
      <c r="Y855" s="1"/>
      <c r="Z855" s="1"/>
      <c r="AA855" s="1"/>
    </row>
    <row r="856">
      <c r="A856" s="2"/>
      <c r="B856" s="2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9">
        <f t="shared" si="9"/>
        <v>0</v>
      </c>
      <c r="W856" s="1"/>
      <c r="X856" s="1"/>
      <c r="Y856" s="1"/>
      <c r="Z856" s="1"/>
      <c r="AA856" s="1"/>
    </row>
    <row r="857">
      <c r="A857" s="2"/>
      <c r="B857" s="2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9">
        <f t="shared" si="9"/>
        <v>0</v>
      </c>
      <c r="W857" s="1"/>
      <c r="X857" s="1"/>
      <c r="Y857" s="1"/>
      <c r="Z857" s="1"/>
      <c r="AA857" s="1"/>
    </row>
    <row r="858">
      <c r="A858" s="2"/>
      <c r="B858" s="2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9">
        <f t="shared" si="9"/>
        <v>0</v>
      </c>
      <c r="W858" s="1"/>
      <c r="X858" s="1"/>
      <c r="Y858" s="1"/>
      <c r="Z858" s="1"/>
      <c r="AA858" s="1"/>
    </row>
    <row r="859">
      <c r="A859" s="2"/>
      <c r="B859" s="2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9">
        <f t="shared" si="9"/>
        <v>0</v>
      </c>
      <c r="W859" s="1"/>
      <c r="X859" s="1"/>
      <c r="Y859" s="1"/>
      <c r="Z859" s="1"/>
      <c r="AA859" s="1"/>
    </row>
    <row r="860">
      <c r="A860" s="2"/>
      <c r="B860" s="2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9">
        <f t="shared" si="9"/>
        <v>0</v>
      </c>
      <c r="W860" s="1"/>
      <c r="X860" s="1"/>
      <c r="Y860" s="1"/>
      <c r="Z860" s="1"/>
      <c r="AA860" s="1"/>
    </row>
    <row r="861">
      <c r="A861" s="2"/>
      <c r="B861" s="2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9">
        <f t="shared" si="9"/>
        <v>0</v>
      </c>
      <c r="W861" s="1"/>
      <c r="X861" s="1"/>
      <c r="Y861" s="1"/>
      <c r="Z861" s="1"/>
      <c r="AA861" s="1"/>
    </row>
    <row r="862">
      <c r="A862" s="2"/>
      <c r="B862" s="2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9">
        <f t="shared" si="9"/>
        <v>0</v>
      </c>
      <c r="W862" s="1"/>
      <c r="X862" s="1"/>
      <c r="Y862" s="1"/>
      <c r="Z862" s="1"/>
      <c r="AA862" s="1"/>
    </row>
    <row r="863">
      <c r="A863" s="2"/>
      <c r="B863" s="2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9">
        <f t="shared" si="9"/>
        <v>0</v>
      </c>
      <c r="W863" s="1"/>
      <c r="X863" s="1"/>
      <c r="Y863" s="1"/>
      <c r="Z863" s="1"/>
      <c r="AA863" s="1"/>
    </row>
    <row r="864">
      <c r="A864" s="2"/>
      <c r="B864" s="2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9">
        <f t="shared" si="9"/>
        <v>0</v>
      </c>
      <c r="W864" s="1"/>
      <c r="X864" s="1"/>
      <c r="Y864" s="1"/>
      <c r="Z864" s="1"/>
      <c r="AA864" s="1"/>
    </row>
    <row r="865">
      <c r="A865" s="2"/>
      <c r="B865" s="2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9">
        <f t="shared" si="9"/>
        <v>0</v>
      </c>
      <c r="W865" s="1"/>
      <c r="X865" s="1"/>
      <c r="Y865" s="1"/>
      <c r="Z865" s="1"/>
      <c r="AA865" s="1"/>
    </row>
    <row r="866">
      <c r="A866" s="2"/>
      <c r="B866" s="2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9">
        <f t="shared" si="9"/>
        <v>0</v>
      </c>
      <c r="W866" s="1"/>
      <c r="X866" s="1"/>
      <c r="Y866" s="1"/>
      <c r="Z866" s="1"/>
      <c r="AA866" s="1"/>
    </row>
    <row r="867">
      <c r="A867" s="2"/>
      <c r="B867" s="2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9">
        <f t="shared" si="9"/>
        <v>0</v>
      </c>
      <c r="W867" s="1"/>
      <c r="X867" s="1"/>
      <c r="Y867" s="1"/>
      <c r="Z867" s="1"/>
      <c r="AA867" s="1"/>
    </row>
    <row r="868">
      <c r="A868" s="2"/>
      <c r="B868" s="2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9">
        <f t="shared" si="9"/>
        <v>0</v>
      </c>
      <c r="W868" s="1"/>
      <c r="X868" s="1"/>
      <c r="Y868" s="1"/>
      <c r="Z868" s="1"/>
      <c r="AA868" s="1"/>
    </row>
    <row r="869">
      <c r="A869" s="2"/>
      <c r="B869" s="2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9">
        <f t="shared" si="9"/>
        <v>0</v>
      </c>
      <c r="W869" s="1"/>
      <c r="X869" s="1"/>
      <c r="Y869" s="1"/>
      <c r="Z869" s="1"/>
      <c r="AA869" s="1"/>
    </row>
    <row r="870">
      <c r="A870" s="2"/>
      <c r="B870" s="2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9">
        <f t="shared" si="9"/>
        <v>0</v>
      </c>
      <c r="W870" s="1"/>
      <c r="X870" s="1"/>
      <c r="Y870" s="1"/>
      <c r="Z870" s="1"/>
      <c r="AA870" s="1"/>
    </row>
    <row r="871">
      <c r="A871" s="2"/>
      <c r="B871" s="2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9">
        <f t="shared" si="9"/>
        <v>0</v>
      </c>
      <c r="W871" s="1"/>
      <c r="X871" s="1"/>
      <c r="Y871" s="1"/>
      <c r="Z871" s="1"/>
      <c r="AA871" s="1"/>
    </row>
    <row r="872">
      <c r="A872" s="2"/>
      <c r="B872" s="2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9">
        <f t="shared" si="9"/>
        <v>0</v>
      </c>
      <c r="W872" s="1"/>
      <c r="X872" s="1"/>
      <c r="Y872" s="1"/>
      <c r="Z872" s="1"/>
      <c r="AA872" s="1"/>
    </row>
    <row r="873">
      <c r="A873" s="2"/>
      <c r="B873" s="2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9">
        <f t="shared" si="9"/>
        <v>0</v>
      </c>
      <c r="W873" s="1"/>
      <c r="X873" s="1"/>
      <c r="Y873" s="1"/>
      <c r="Z873" s="1"/>
      <c r="AA873" s="1"/>
    </row>
    <row r="874">
      <c r="A874" s="2"/>
      <c r="B874" s="2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9">
        <f t="shared" si="9"/>
        <v>0</v>
      </c>
      <c r="W874" s="1"/>
      <c r="X874" s="1"/>
      <c r="Y874" s="1"/>
      <c r="Z874" s="1"/>
      <c r="AA874" s="1"/>
    </row>
    <row r="875">
      <c r="A875" s="2"/>
      <c r="B875" s="2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9">
        <f t="shared" si="9"/>
        <v>0</v>
      </c>
      <c r="W875" s="1"/>
      <c r="X875" s="1"/>
      <c r="Y875" s="1"/>
      <c r="Z875" s="1"/>
      <c r="AA875" s="1"/>
    </row>
    <row r="876">
      <c r="A876" s="2"/>
      <c r="B876" s="2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9">
        <f t="shared" si="9"/>
        <v>0</v>
      </c>
      <c r="W876" s="1"/>
      <c r="X876" s="1"/>
      <c r="Y876" s="1"/>
      <c r="Z876" s="1"/>
      <c r="AA876" s="1"/>
    </row>
    <row r="877">
      <c r="A877" s="2"/>
      <c r="B877" s="2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9">
        <f t="shared" si="9"/>
        <v>0</v>
      </c>
      <c r="W877" s="1"/>
      <c r="X877" s="1"/>
      <c r="Y877" s="1"/>
      <c r="Z877" s="1"/>
      <c r="AA877" s="1"/>
    </row>
    <row r="878">
      <c r="A878" s="2"/>
      <c r="B878" s="2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9">
        <f t="shared" si="9"/>
        <v>0</v>
      </c>
      <c r="W878" s="1"/>
      <c r="X878" s="1"/>
      <c r="Y878" s="1"/>
      <c r="Z878" s="1"/>
      <c r="AA878" s="1"/>
    </row>
    <row r="879">
      <c r="A879" s="2"/>
      <c r="B879" s="2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9">
        <f t="shared" si="9"/>
        <v>0</v>
      </c>
      <c r="W879" s="1"/>
      <c r="X879" s="1"/>
      <c r="Y879" s="1"/>
      <c r="Z879" s="1"/>
      <c r="AA879" s="1"/>
    </row>
    <row r="880">
      <c r="A880" s="2"/>
      <c r="B880" s="2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9">
        <f t="shared" si="9"/>
        <v>0</v>
      </c>
      <c r="W880" s="1"/>
      <c r="X880" s="1"/>
      <c r="Y880" s="1"/>
      <c r="Z880" s="1"/>
      <c r="AA880" s="1"/>
    </row>
    <row r="881">
      <c r="A881" s="2"/>
      <c r="B881" s="2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9">
        <f t="shared" si="9"/>
        <v>0</v>
      </c>
      <c r="W881" s="1"/>
      <c r="X881" s="1"/>
      <c r="Y881" s="1"/>
      <c r="Z881" s="1"/>
      <c r="AA881" s="1"/>
    </row>
    <row r="882">
      <c r="A882" s="2"/>
      <c r="B882" s="2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9">
        <f t="shared" si="9"/>
        <v>0</v>
      </c>
      <c r="W882" s="1"/>
      <c r="X882" s="1"/>
      <c r="Y882" s="1"/>
      <c r="Z882" s="1"/>
      <c r="AA882" s="1"/>
    </row>
    <row r="883">
      <c r="A883" s="2"/>
      <c r="B883" s="2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9">
        <f t="shared" si="9"/>
        <v>0</v>
      </c>
      <c r="W883" s="1"/>
      <c r="X883" s="1"/>
      <c r="Y883" s="1"/>
      <c r="Z883" s="1"/>
      <c r="AA883" s="1"/>
    </row>
    <row r="884">
      <c r="A884" s="2"/>
      <c r="B884" s="2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9">
        <f t="shared" si="9"/>
        <v>0</v>
      </c>
      <c r="W884" s="1"/>
      <c r="X884" s="1"/>
      <c r="Y884" s="1"/>
      <c r="Z884" s="1"/>
      <c r="AA884" s="1"/>
    </row>
    <row r="885">
      <c r="A885" s="2"/>
      <c r="B885" s="2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9">
        <f t="shared" si="9"/>
        <v>0</v>
      </c>
      <c r="W885" s="1"/>
      <c r="X885" s="1"/>
      <c r="Y885" s="1"/>
      <c r="Z885" s="1"/>
      <c r="AA885" s="1"/>
    </row>
    <row r="886">
      <c r="A886" s="2"/>
      <c r="B886" s="2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9">
        <f t="shared" si="9"/>
        <v>0</v>
      </c>
      <c r="W886" s="1"/>
      <c r="X886" s="1"/>
      <c r="Y886" s="1"/>
      <c r="Z886" s="1"/>
      <c r="AA886" s="1"/>
    </row>
    <row r="887">
      <c r="A887" s="2"/>
      <c r="B887" s="2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9">
        <f t="shared" si="9"/>
        <v>0</v>
      </c>
      <c r="W887" s="1"/>
      <c r="X887" s="1"/>
      <c r="Y887" s="1"/>
      <c r="Z887" s="1"/>
      <c r="AA887" s="1"/>
    </row>
    <row r="888">
      <c r="A888" s="2"/>
      <c r="B888" s="2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9">
        <f t="shared" si="9"/>
        <v>0</v>
      </c>
      <c r="W888" s="1"/>
      <c r="X888" s="1"/>
      <c r="Y888" s="1"/>
      <c r="Z888" s="1"/>
      <c r="AA888" s="1"/>
    </row>
    <row r="889">
      <c r="A889" s="2"/>
      <c r="B889" s="2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9">
        <f t="shared" si="9"/>
        <v>0</v>
      </c>
      <c r="W889" s="1"/>
      <c r="X889" s="1"/>
      <c r="Y889" s="1"/>
      <c r="Z889" s="1"/>
      <c r="AA889" s="1"/>
    </row>
    <row r="890">
      <c r="A890" s="2"/>
      <c r="B890" s="2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9">
        <f t="shared" si="9"/>
        <v>0</v>
      </c>
      <c r="W890" s="1"/>
      <c r="X890" s="1"/>
      <c r="Y890" s="1"/>
      <c r="Z890" s="1"/>
      <c r="AA890" s="1"/>
    </row>
    <row r="891">
      <c r="A891" s="2"/>
      <c r="B891" s="2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9">
        <f t="shared" si="9"/>
        <v>0</v>
      </c>
      <c r="W891" s="1"/>
      <c r="X891" s="1"/>
      <c r="Y891" s="1"/>
      <c r="Z891" s="1"/>
      <c r="AA891" s="1"/>
    </row>
    <row r="892">
      <c r="A892" s="2"/>
      <c r="B892" s="2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9">
        <f t="shared" si="9"/>
        <v>0</v>
      </c>
      <c r="W892" s="1"/>
      <c r="X892" s="1"/>
      <c r="Y892" s="1"/>
      <c r="Z892" s="1"/>
      <c r="AA892" s="1"/>
    </row>
    <row r="893">
      <c r="A893" s="2"/>
      <c r="B893" s="2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9">
        <f t="shared" si="9"/>
        <v>0</v>
      </c>
      <c r="W893" s="1"/>
      <c r="X893" s="1"/>
      <c r="Y893" s="1"/>
      <c r="Z893" s="1"/>
      <c r="AA893" s="1"/>
    </row>
    <row r="894">
      <c r="A894" s="2"/>
      <c r="B894" s="2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9">
        <f t="shared" si="9"/>
        <v>0</v>
      </c>
      <c r="W894" s="1"/>
      <c r="X894" s="1"/>
      <c r="Y894" s="1"/>
      <c r="Z894" s="1"/>
      <c r="AA894" s="1"/>
    </row>
    <row r="895">
      <c r="A895" s="2"/>
      <c r="B895" s="2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9">
        <f t="shared" si="9"/>
        <v>0</v>
      </c>
      <c r="W895" s="1"/>
      <c r="X895" s="1"/>
      <c r="Y895" s="1"/>
      <c r="Z895" s="1"/>
      <c r="AA895" s="1"/>
    </row>
    <row r="896">
      <c r="A896" s="2"/>
      <c r="B896" s="2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9">
        <f t="shared" si="9"/>
        <v>0</v>
      </c>
      <c r="W896" s="1"/>
      <c r="X896" s="1"/>
      <c r="Y896" s="1"/>
      <c r="Z896" s="1"/>
      <c r="AA896" s="1"/>
    </row>
    <row r="897">
      <c r="A897" s="2"/>
      <c r="B897" s="2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9">
        <f t="shared" si="9"/>
        <v>0</v>
      </c>
      <c r="W897" s="1"/>
      <c r="X897" s="1"/>
      <c r="Y897" s="1"/>
      <c r="Z897" s="1"/>
      <c r="AA897" s="1"/>
    </row>
    <row r="898">
      <c r="A898" s="2"/>
      <c r="B898" s="2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9">
        <f t="shared" si="9"/>
        <v>0</v>
      </c>
      <c r="W898" s="1"/>
      <c r="X898" s="1"/>
      <c r="Y898" s="1"/>
      <c r="Z898" s="1"/>
      <c r="AA898" s="1"/>
    </row>
    <row r="899">
      <c r="A899" s="2"/>
      <c r="B899" s="2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9">
        <f t="shared" si="9"/>
        <v>0</v>
      </c>
      <c r="W899" s="1"/>
      <c r="X899" s="1"/>
      <c r="Y899" s="1"/>
      <c r="Z899" s="1"/>
      <c r="AA899" s="1"/>
    </row>
    <row r="900">
      <c r="A900" s="2"/>
      <c r="B900" s="2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9">
        <f t="shared" si="9"/>
        <v>0</v>
      </c>
      <c r="W900" s="1"/>
      <c r="X900" s="1"/>
      <c r="Y900" s="1"/>
      <c r="Z900" s="1"/>
      <c r="AA900" s="1"/>
    </row>
    <row r="901">
      <c r="A901" s="2"/>
      <c r="B901" s="2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9">
        <f t="shared" si="9"/>
        <v>0</v>
      </c>
      <c r="W901" s="1"/>
      <c r="X901" s="1"/>
      <c r="Y901" s="1"/>
      <c r="Z901" s="1"/>
      <c r="AA901" s="1"/>
    </row>
    <row r="902">
      <c r="A902" s="2"/>
      <c r="B902" s="2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9">
        <f t="shared" si="9"/>
        <v>0</v>
      </c>
      <c r="W902" s="1"/>
      <c r="X902" s="1"/>
      <c r="Y902" s="1"/>
      <c r="Z902" s="1"/>
      <c r="AA902" s="1"/>
    </row>
    <row r="903">
      <c r="A903" s="2"/>
      <c r="B903" s="2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9">
        <f t="shared" si="9"/>
        <v>0</v>
      </c>
      <c r="W903" s="1"/>
      <c r="X903" s="1"/>
      <c r="Y903" s="1"/>
      <c r="Z903" s="1"/>
      <c r="AA903" s="1"/>
    </row>
    <row r="904">
      <c r="A904" s="2"/>
      <c r="B904" s="2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9">
        <f t="shared" si="9"/>
        <v>0</v>
      </c>
      <c r="W904" s="1"/>
      <c r="X904" s="1"/>
      <c r="Y904" s="1"/>
      <c r="Z904" s="1"/>
      <c r="AA904" s="1"/>
    </row>
    <row r="905">
      <c r="A905" s="2"/>
      <c r="B905" s="2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9">
        <f t="shared" si="9"/>
        <v>0</v>
      </c>
      <c r="W905" s="1"/>
      <c r="X905" s="1"/>
      <c r="Y905" s="1"/>
      <c r="Z905" s="1"/>
      <c r="AA905" s="1"/>
    </row>
    <row r="906">
      <c r="A906" s="2"/>
      <c r="B906" s="2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9">
        <f t="shared" si="9"/>
        <v>0</v>
      </c>
      <c r="W906" s="1"/>
      <c r="X906" s="1"/>
      <c r="Y906" s="1"/>
      <c r="Z906" s="1"/>
      <c r="AA906" s="1"/>
    </row>
    <row r="907">
      <c r="A907" s="2"/>
      <c r="B907" s="2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9">
        <f t="shared" si="9"/>
        <v>0</v>
      </c>
      <c r="W907" s="1"/>
      <c r="X907" s="1"/>
      <c r="Y907" s="1"/>
      <c r="Z907" s="1"/>
      <c r="AA907" s="1"/>
    </row>
    <row r="908">
      <c r="A908" s="2"/>
      <c r="B908" s="2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9">
        <f t="shared" si="9"/>
        <v>0</v>
      </c>
      <c r="W908" s="1"/>
      <c r="X908" s="1"/>
      <c r="Y908" s="1"/>
      <c r="Z908" s="1"/>
      <c r="AA908" s="1"/>
    </row>
    <row r="909">
      <c r="A909" s="2"/>
      <c r="B909" s="2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9">
        <f t="shared" si="9"/>
        <v>0</v>
      </c>
      <c r="W909" s="1"/>
      <c r="X909" s="1"/>
      <c r="Y909" s="1"/>
      <c r="Z909" s="1"/>
      <c r="AA909" s="1"/>
    </row>
    <row r="910">
      <c r="A910" s="2"/>
      <c r="B910" s="2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9">
        <f t="shared" si="9"/>
        <v>0</v>
      </c>
      <c r="W910" s="1"/>
      <c r="X910" s="1"/>
      <c r="Y910" s="1"/>
      <c r="Z910" s="1"/>
      <c r="AA910" s="1"/>
    </row>
    <row r="911">
      <c r="A911" s="2"/>
      <c r="B911" s="2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9">
        <f t="shared" si="9"/>
        <v>0</v>
      </c>
      <c r="W911" s="1"/>
      <c r="X911" s="1"/>
      <c r="Y911" s="1"/>
      <c r="Z911" s="1"/>
      <c r="AA911" s="1"/>
    </row>
    <row r="912">
      <c r="A912" s="2"/>
      <c r="B912" s="2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9">
        <f t="shared" si="9"/>
        <v>0</v>
      </c>
      <c r="W912" s="1"/>
      <c r="X912" s="1"/>
      <c r="Y912" s="1"/>
      <c r="Z912" s="1"/>
      <c r="AA912" s="1"/>
    </row>
    <row r="913">
      <c r="A913" s="2"/>
      <c r="B913" s="2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9">
        <f t="shared" si="9"/>
        <v>0</v>
      </c>
      <c r="W913" s="1"/>
      <c r="X913" s="1"/>
      <c r="Y913" s="1"/>
      <c r="Z913" s="1"/>
      <c r="AA913" s="1"/>
    </row>
    <row r="914">
      <c r="A914" s="2"/>
      <c r="B914" s="2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9">
        <f t="shared" si="9"/>
        <v>0</v>
      </c>
      <c r="W914" s="1"/>
      <c r="X914" s="1"/>
      <c r="Y914" s="1"/>
      <c r="Z914" s="1"/>
      <c r="AA914" s="1"/>
    </row>
    <row r="915">
      <c r="A915" s="2"/>
      <c r="B915" s="2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9">
        <f t="shared" si="9"/>
        <v>0</v>
      </c>
      <c r="W915" s="1"/>
      <c r="X915" s="1"/>
      <c r="Y915" s="1"/>
      <c r="Z915" s="1"/>
      <c r="AA915" s="1"/>
    </row>
    <row r="916">
      <c r="A916" s="2"/>
      <c r="B916" s="2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9">
        <f t="shared" si="9"/>
        <v>0</v>
      </c>
      <c r="W916" s="1"/>
      <c r="X916" s="1"/>
      <c r="Y916" s="1"/>
      <c r="Z916" s="1"/>
      <c r="AA916" s="1"/>
    </row>
    <row r="917">
      <c r="A917" s="2"/>
      <c r="B917" s="2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9">
        <f t="shared" si="9"/>
        <v>0</v>
      </c>
      <c r="W917" s="1"/>
      <c r="X917" s="1"/>
      <c r="Y917" s="1"/>
      <c r="Z917" s="1"/>
      <c r="AA917" s="1"/>
    </row>
    <row r="918">
      <c r="A918" s="2"/>
      <c r="B918" s="2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9">
        <f t="shared" si="9"/>
        <v>0</v>
      </c>
      <c r="W918" s="1"/>
      <c r="X918" s="1"/>
      <c r="Y918" s="1"/>
      <c r="Z918" s="1"/>
      <c r="AA918" s="1"/>
    </row>
    <row r="919">
      <c r="A919" s="2"/>
      <c r="B919" s="2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9">
        <f t="shared" si="9"/>
        <v>0</v>
      </c>
      <c r="W919" s="1"/>
      <c r="X919" s="1"/>
      <c r="Y919" s="1"/>
      <c r="Z919" s="1"/>
      <c r="AA919" s="1"/>
    </row>
    <row r="920">
      <c r="A920" s="2"/>
      <c r="B920" s="2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9">
        <f t="shared" si="9"/>
        <v>0</v>
      </c>
      <c r="W920" s="1"/>
      <c r="X920" s="1"/>
      <c r="Y920" s="1"/>
      <c r="Z920" s="1"/>
      <c r="AA920" s="1"/>
    </row>
    <row r="921">
      <c r="A921" s="2"/>
      <c r="B921" s="2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9">
        <f t="shared" si="9"/>
        <v>0</v>
      </c>
      <c r="W921" s="1"/>
      <c r="X921" s="1"/>
      <c r="Y921" s="1"/>
      <c r="Z921" s="1"/>
      <c r="AA921" s="1"/>
    </row>
    <row r="922">
      <c r="A922" s="2"/>
      <c r="B922" s="2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9">
        <f t="shared" si="9"/>
        <v>0</v>
      </c>
      <c r="W922" s="1"/>
      <c r="X922" s="1"/>
      <c r="Y922" s="1"/>
      <c r="Z922" s="1"/>
      <c r="AA922" s="1"/>
    </row>
    <row r="923">
      <c r="A923" s="2"/>
      <c r="B923" s="2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9">
        <f t="shared" si="9"/>
        <v>0</v>
      </c>
      <c r="W923" s="1"/>
      <c r="X923" s="1"/>
      <c r="Y923" s="1"/>
      <c r="Z923" s="1"/>
      <c r="AA923" s="1"/>
    </row>
    <row r="924">
      <c r="A924" s="2"/>
      <c r="B924" s="2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9">
        <f t="shared" si="9"/>
        <v>0</v>
      </c>
      <c r="W924" s="1"/>
      <c r="X924" s="1"/>
      <c r="Y924" s="1"/>
      <c r="Z924" s="1"/>
      <c r="AA924" s="1"/>
    </row>
    <row r="925">
      <c r="A925" s="2"/>
      <c r="B925" s="2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9">
        <f t="shared" si="9"/>
        <v>0</v>
      </c>
      <c r="W925" s="1"/>
      <c r="X925" s="1"/>
      <c r="Y925" s="1"/>
      <c r="Z925" s="1"/>
      <c r="AA925" s="1"/>
    </row>
    <row r="926">
      <c r="A926" s="2"/>
      <c r="B926" s="2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9">
        <f t="shared" si="9"/>
        <v>0</v>
      </c>
      <c r="W926" s="1"/>
      <c r="X926" s="1"/>
      <c r="Y926" s="1"/>
      <c r="Z926" s="1"/>
      <c r="AA926" s="1"/>
    </row>
    <row r="927">
      <c r="A927" s="2"/>
      <c r="B927" s="2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9">
        <f t="shared" si="9"/>
        <v>0</v>
      </c>
      <c r="W927" s="1"/>
      <c r="X927" s="1"/>
      <c r="Y927" s="1"/>
      <c r="Z927" s="1"/>
      <c r="AA927" s="1"/>
    </row>
    <row r="928">
      <c r="A928" s="2"/>
      <c r="B928" s="2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9">
        <f t="shared" si="9"/>
        <v>0</v>
      </c>
      <c r="W928" s="1"/>
      <c r="X928" s="1"/>
      <c r="Y928" s="1"/>
      <c r="Z928" s="1"/>
      <c r="AA928" s="1"/>
    </row>
    <row r="929">
      <c r="A929" s="2"/>
      <c r="B929" s="2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9">
        <f t="shared" si="9"/>
        <v>0</v>
      </c>
      <c r="W929" s="1"/>
      <c r="X929" s="1"/>
      <c r="Y929" s="1"/>
      <c r="Z929" s="1"/>
      <c r="AA929" s="1"/>
    </row>
    <row r="930">
      <c r="A930" s="2"/>
      <c r="B930" s="2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9">
        <f t="shared" si="9"/>
        <v>0</v>
      </c>
      <c r="W930" s="1"/>
      <c r="X930" s="1"/>
      <c r="Y930" s="1"/>
      <c r="Z930" s="1"/>
      <c r="AA930" s="1"/>
    </row>
    <row r="931">
      <c r="A931" s="2"/>
      <c r="B931" s="2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9">
        <f t="shared" si="9"/>
        <v>0</v>
      </c>
      <c r="W931" s="1"/>
      <c r="X931" s="1"/>
      <c r="Y931" s="1"/>
      <c r="Z931" s="1"/>
      <c r="AA931" s="1"/>
    </row>
    <row r="932">
      <c r="A932" s="2"/>
      <c r="B932" s="2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9">
        <f t="shared" si="9"/>
        <v>0</v>
      </c>
      <c r="W932" s="1"/>
      <c r="X932" s="1"/>
      <c r="Y932" s="1"/>
      <c r="Z932" s="1"/>
      <c r="AA932" s="1"/>
    </row>
    <row r="933">
      <c r="A933" s="2"/>
      <c r="B933" s="2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9">
        <f t="shared" si="9"/>
        <v>0</v>
      </c>
      <c r="W933" s="1"/>
      <c r="X933" s="1"/>
      <c r="Y933" s="1"/>
      <c r="Z933" s="1"/>
      <c r="AA933" s="1"/>
    </row>
    <row r="934">
      <c r="A934" s="2"/>
      <c r="B934" s="2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9">
        <f t="shared" si="9"/>
        <v>0</v>
      </c>
      <c r="W934" s="1"/>
      <c r="X934" s="1"/>
      <c r="Y934" s="1"/>
      <c r="Z934" s="1"/>
      <c r="AA934" s="1"/>
    </row>
    <row r="935">
      <c r="A935" s="2"/>
      <c r="B935" s="2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9">
        <f t="shared" si="9"/>
        <v>0</v>
      </c>
      <c r="W935" s="1"/>
      <c r="X935" s="1"/>
      <c r="Y935" s="1"/>
      <c r="Z935" s="1"/>
      <c r="AA935" s="1"/>
    </row>
    <row r="936">
      <c r="A936" s="2"/>
      <c r="B936" s="2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9">
        <f t="shared" si="9"/>
        <v>0</v>
      </c>
      <c r="W936" s="1"/>
      <c r="X936" s="1"/>
      <c r="Y936" s="1"/>
      <c r="Z936" s="1"/>
      <c r="AA936" s="1"/>
    </row>
    <row r="937">
      <c r="A937" s="2"/>
      <c r="B937" s="2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9">
        <f t="shared" si="9"/>
        <v>0</v>
      </c>
      <c r="W937" s="1"/>
      <c r="X937" s="1"/>
      <c r="Y937" s="1"/>
      <c r="Z937" s="1"/>
      <c r="AA937" s="1"/>
    </row>
    <row r="938">
      <c r="A938" s="2"/>
      <c r="B938" s="2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9">
        <f t="shared" si="9"/>
        <v>0</v>
      </c>
      <c r="W938" s="1"/>
      <c r="X938" s="1"/>
      <c r="Y938" s="1"/>
      <c r="Z938" s="1"/>
      <c r="AA938" s="1"/>
    </row>
    <row r="939">
      <c r="A939" s="2"/>
      <c r="B939" s="2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9">
        <f t="shared" si="9"/>
        <v>0</v>
      </c>
      <c r="W939" s="1"/>
      <c r="X939" s="1"/>
      <c r="Y939" s="1"/>
      <c r="Z939" s="1"/>
      <c r="AA939" s="1"/>
    </row>
    <row r="940">
      <c r="A940" s="2"/>
      <c r="B940" s="2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9">
        <f t="shared" si="9"/>
        <v>0</v>
      </c>
      <c r="W940" s="1"/>
      <c r="X940" s="1"/>
      <c r="Y940" s="1"/>
      <c r="Z940" s="1"/>
      <c r="AA940" s="1"/>
    </row>
    <row r="941">
      <c r="A941" s="2"/>
      <c r="B941" s="2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9">
        <f t="shared" si="9"/>
        <v>0</v>
      </c>
      <c r="W941" s="1"/>
      <c r="X941" s="1"/>
      <c r="Y941" s="1"/>
      <c r="Z941" s="1"/>
      <c r="AA941" s="1"/>
    </row>
    <row r="942">
      <c r="A942" s="2"/>
      <c r="B942" s="2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9">
        <f t="shared" si="9"/>
        <v>0</v>
      </c>
      <c r="W942" s="1"/>
      <c r="X942" s="1"/>
      <c r="Y942" s="1"/>
      <c r="Z942" s="1"/>
      <c r="AA942" s="1"/>
    </row>
    <row r="943">
      <c r="A943" s="2"/>
      <c r="B943" s="2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9">
        <f t="shared" si="9"/>
        <v>0</v>
      </c>
      <c r="W943" s="1"/>
      <c r="X943" s="1"/>
      <c r="Y943" s="1"/>
      <c r="Z943" s="1"/>
      <c r="AA943" s="1"/>
    </row>
    <row r="944">
      <c r="A944" s="2"/>
      <c r="B944" s="2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9">
        <f t="shared" si="9"/>
        <v>0</v>
      </c>
      <c r="W944" s="1"/>
      <c r="X944" s="1"/>
      <c r="Y944" s="1"/>
      <c r="Z944" s="1"/>
      <c r="AA944" s="1"/>
    </row>
    <row r="945">
      <c r="A945" s="2"/>
      <c r="B945" s="2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9">
        <f t="shared" si="9"/>
        <v>0</v>
      </c>
      <c r="W945" s="1"/>
      <c r="X945" s="1"/>
      <c r="Y945" s="1"/>
      <c r="Z945" s="1"/>
      <c r="AA945" s="1"/>
    </row>
    <row r="946">
      <c r="A946" s="2"/>
      <c r="B946" s="2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9">
        <f t="shared" si="9"/>
        <v>0</v>
      </c>
      <c r="W946" s="1"/>
      <c r="X946" s="1"/>
      <c r="Y946" s="1"/>
      <c r="Z946" s="1"/>
      <c r="AA946" s="1"/>
    </row>
    <row r="947">
      <c r="A947" s="2"/>
      <c r="B947" s="2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9">
        <f t="shared" si="9"/>
        <v>0</v>
      </c>
      <c r="W947" s="1"/>
      <c r="X947" s="1"/>
      <c r="Y947" s="1"/>
      <c r="Z947" s="1"/>
      <c r="AA947" s="1"/>
    </row>
    <row r="948">
      <c r="A948" s="2"/>
      <c r="B948" s="2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9">
        <f t="shared" si="9"/>
        <v>0</v>
      </c>
      <c r="W948" s="1"/>
      <c r="X948" s="1"/>
      <c r="Y948" s="1"/>
      <c r="Z948" s="1"/>
      <c r="AA948" s="1"/>
    </row>
    <row r="949">
      <c r="A949" s="2"/>
      <c r="B949" s="2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9">
        <f t="shared" si="9"/>
        <v>0</v>
      </c>
      <c r="W949" s="1"/>
      <c r="X949" s="1"/>
      <c r="Y949" s="1"/>
      <c r="Z949" s="1"/>
      <c r="AA949" s="1"/>
    </row>
    <row r="950">
      <c r="A950" s="2"/>
      <c r="B950" s="2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9">
        <f t="shared" si="9"/>
        <v>0</v>
      </c>
      <c r="W950" s="1"/>
      <c r="X950" s="1"/>
      <c r="Y950" s="1"/>
      <c r="Z950" s="1"/>
      <c r="AA950" s="1"/>
    </row>
    <row r="951">
      <c r="A951" s="2"/>
      <c r="B951" s="2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9">
        <f t="shared" si="9"/>
        <v>0</v>
      </c>
      <c r="W951" s="1"/>
      <c r="X951" s="1"/>
      <c r="Y951" s="1"/>
      <c r="Z951" s="1"/>
      <c r="AA951" s="1"/>
    </row>
    <row r="952">
      <c r="A952" s="2"/>
      <c r="B952" s="2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9">
        <f t="shared" si="9"/>
        <v>0</v>
      </c>
      <c r="W952" s="1"/>
      <c r="X952" s="1"/>
      <c r="Y952" s="1"/>
      <c r="Z952" s="1"/>
      <c r="AA952" s="1"/>
    </row>
    <row r="953">
      <c r="A953" s="2"/>
      <c r="B953" s="2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9">
        <f t="shared" si="9"/>
        <v>0</v>
      </c>
      <c r="W953" s="1"/>
      <c r="X953" s="1"/>
      <c r="Y953" s="1"/>
      <c r="Z953" s="1"/>
      <c r="AA953" s="1"/>
    </row>
    <row r="954">
      <c r="A954" s="2"/>
      <c r="B954" s="2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9">
        <f t="shared" si="9"/>
        <v>0</v>
      </c>
      <c r="W954" s="1"/>
      <c r="X954" s="1"/>
      <c r="Y954" s="1"/>
      <c r="Z954" s="1"/>
      <c r="AA954" s="1"/>
    </row>
    <row r="955">
      <c r="A955" s="2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9">
        <f t="shared" si="9"/>
        <v>0</v>
      </c>
      <c r="W955" s="1"/>
      <c r="X955" s="1"/>
      <c r="Y955" s="1"/>
      <c r="Z955" s="1"/>
      <c r="AA955" s="1"/>
    </row>
    <row r="956">
      <c r="A956" s="2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9">
        <f t="shared" si="9"/>
        <v>0</v>
      </c>
      <c r="W956" s="1"/>
      <c r="X956" s="1"/>
      <c r="Y956" s="1"/>
      <c r="Z956" s="1"/>
      <c r="AA956" s="1"/>
    </row>
    <row r="957">
      <c r="A957" s="2"/>
      <c r="B957" s="2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9">
        <f t="shared" si="9"/>
        <v>0</v>
      </c>
      <c r="W957" s="1"/>
      <c r="X957" s="1"/>
      <c r="Y957" s="1"/>
      <c r="Z957" s="1"/>
      <c r="AA957" s="1"/>
    </row>
    <row r="958">
      <c r="A958" s="2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9">
        <f t="shared" si="9"/>
        <v>0</v>
      </c>
      <c r="W958" s="1"/>
      <c r="X958" s="1"/>
      <c r="Y958" s="1"/>
      <c r="Z958" s="1"/>
      <c r="AA958" s="1"/>
    </row>
    <row r="959">
      <c r="A959" s="2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9">
        <f t="shared" si="9"/>
        <v>0</v>
      </c>
      <c r="W959" s="1"/>
      <c r="X959" s="1"/>
      <c r="Y959" s="1"/>
      <c r="Z959" s="1"/>
      <c r="AA959" s="1"/>
    </row>
    <row r="960">
      <c r="A960" s="2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9">
        <f t="shared" si="9"/>
        <v>0</v>
      </c>
      <c r="W960" s="1"/>
      <c r="X960" s="1"/>
      <c r="Y960" s="1"/>
      <c r="Z960" s="1"/>
      <c r="AA960" s="1"/>
    </row>
    <row r="961">
      <c r="A961" s="2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9">
        <f t="shared" si="9"/>
        <v>0</v>
      </c>
      <c r="W961" s="1"/>
      <c r="X961" s="1"/>
      <c r="Y961" s="1"/>
      <c r="Z961" s="1"/>
      <c r="AA961" s="1"/>
    </row>
    <row r="962">
      <c r="A962" s="2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9">
        <f t="shared" si="9"/>
        <v>0</v>
      </c>
      <c r="W962" s="1"/>
      <c r="X962" s="1"/>
      <c r="Y962" s="1"/>
      <c r="Z962" s="1"/>
      <c r="AA962" s="1"/>
    </row>
    <row r="963">
      <c r="A963" s="2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9">
        <f t="shared" si="9"/>
        <v>0</v>
      </c>
      <c r="W963" s="1"/>
      <c r="X963" s="1"/>
      <c r="Y963" s="1"/>
      <c r="Z963" s="1"/>
      <c r="AA963" s="1"/>
    </row>
    <row r="964">
      <c r="A964" s="2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9">
        <f t="shared" si="9"/>
        <v>0</v>
      </c>
      <c r="W964" s="1"/>
      <c r="X964" s="1"/>
      <c r="Y964" s="1"/>
      <c r="Z964" s="1"/>
      <c r="AA964" s="1"/>
    </row>
    <row r="965">
      <c r="A965" s="2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9">
        <f t="shared" si="9"/>
        <v>0</v>
      </c>
      <c r="W965" s="1"/>
      <c r="X965" s="1"/>
      <c r="Y965" s="1"/>
      <c r="Z965" s="1"/>
      <c r="AA965" s="1"/>
    </row>
    <row r="966">
      <c r="A966" s="2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9">
        <f t="shared" si="9"/>
        <v>0</v>
      </c>
      <c r="W966" s="1"/>
      <c r="X966" s="1"/>
      <c r="Y966" s="1"/>
      <c r="Z966" s="1"/>
      <c r="AA966" s="1"/>
    </row>
    <row r="967">
      <c r="A967" s="2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9">
        <f t="shared" si="9"/>
        <v>0</v>
      </c>
      <c r="W967" s="1"/>
      <c r="X967" s="1"/>
      <c r="Y967" s="1"/>
      <c r="Z967" s="1"/>
      <c r="AA967" s="1"/>
    </row>
    <row r="968">
      <c r="A968" s="2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9">
        <f t="shared" si="9"/>
        <v>0</v>
      </c>
      <c r="W968" s="1"/>
      <c r="X968" s="1"/>
      <c r="Y968" s="1"/>
      <c r="Z968" s="1"/>
      <c r="AA968" s="1"/>
    </row>
    <row r="969">
      <c r="A969" s="2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9">
        <f t="shared" si="9"/>
        <v>0</v>
      </c>
      <c r="W969" s="1"/>
      <c r="X969" s="1"/>
      <c r="Y969" s="1"/>
      <c r="Z969" s="1"/>
      <c r="AA969" s="1"/>
    </row>
    <row r="970">
      <c r="A970" s="2"/>
      <c r="B970" s="2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9">
        <f t="shared" si="9"/>
        <v>0</v>
      </c>
      <c r="W970" s="1"/>
      <c r="X970" s="1"/>
      <c r="Y970" s="1"/>
      <c r="Z970" s="1"/>
      <c r="AA970" s="1"/>
    </row>
    <row r="971">
      <c r="A971" s="2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9">
        <f t="shared" si="9"/>
        <v>0</v>
      </c>
      <c r="W971" s="1"/>
      <c r="X971" s="1"/>
      <c r="Y971" s="1"/>
      <c r="Z971" s="1"/>
      <c r="AA971" s="1"/>
    </row>
    <row r="972">
      <c r="A972" s="2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9">
        <f t="shared" si="9"/>
        <v>0</v>
      </c>
      <c r="W972" s="1"/>
      <c r="X972" s="1"/>
      <c r="Y972" s="1"/>
      <c r="Z972" s="1"/>
      <c r="AA972" s="1"/>
    </row>
    <row r="973">
      <c r="A973" s="2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9">
        <f t="shared" si="9"/>
        <v>0</v>
      </c>
      <c r="W973" s="1"/>
      <c r="X973" s="1"/>
      <c r="Y973" s="1"/>
      <c r="Z973" s="1"/>
      <c r="AA973" s="1"/>
    </row>
    <row r="974">
      <c r="A974" s="2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9">
        <f t="shared" si="9"/>
        <v>0</v>
      </c>
      <c r="W974" s="1"/>
      <c r="X974" s="1"/>
      <c r="Y974" s="1"/>
      <c r="Z974" s="1"/>
      <c r="AA974" s="1"/>
    </row>
    <row r="975">
      <c r="A975" s="2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9">
        <f t="shared" si="9"/>
        <v>0</v>
      </c>
      <c r="W975" s="1"/>
      <c r="X975" s="1"/>
      <c r="Y975" s="1"/>
      <c r="Z975" s="1"/>
      <c r="AA975" s="1"/>
    </row>
    <row r="976">
      <c r="A976" s="2"/>
      <c r="B976" s="2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9">
        <f t="shared" si="9"/>
        <v>0</v>
      </c>
      <c r="W976" s="1"/>
      <c r="X976" s="1"/>
      <c r="Y976" s="1"/>
      <c r="Z976" s="1"/>
      <c r="AA976" s="1"/>
    </row>
    <row r="977">
      <c r="A977" s="2"/>
      <c r="B977" s="2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9">
        <f t="shared" si="9"/>
        <v>0</v>
      </c>
      <c r="W977" s="1"/>
      <c r="X977" s="1"/>
      <c r="Y977" s="1"/>
      <c r="Z977" s="1"/>
      <c r="AA977" s="1"/>
    </row>
    <row r="978">
      <c r="A978" s="2"/>
      <c r="B978" s="2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9">
        <f t="shared" si="9"/>
        <v>0</v>
      </c>
      <c r="W978" s="1"/>
      <c r="X978" s="1"/>
      <c r="Y978" s="1"/>
      <c r="Z978" s="1"/>
      <c r="AA978" s="1"/>
    </row>
    <row r="979">
      <c r="A979" s="2"/>
      <c r="B979" s="2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9">
        <f t="shared" si="9"/>
        <v>0</v>
      </c>
      <c r="W979" s="1"/>
      <c r="X979" s="1"/>
      <c r="Y979" s="1"/>
      <c r="Z979" s="1"/>
      <c r="AA979" s="1"/>
    </row>
    <row r="980">
      <c r="A980" s="2"/>
      <c r="B980" s="2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9">
        <f t="shared" si="9"/>
        <v>0</v>
      </c>
      <c r="W980" s="1"/>
      <c r="X980" s="1"/>
      <c r="Y980" s="1"/>
      <c r="Z980" s="1"/>
      <c r="AA980" s="1"/>
    </row>
    <row r="981">
      <c r="A981" s="2"/>
      <c r="B981" s="2"/>
      <c r="C981" s="2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9">
        <f t="shared" si="9"/>
        <v>0</v>
      </c>
      <c r="W981" s="1"/>
      <c r="X981" s="1"/>
      <c r="Y981" s="1"/>
      <c r="Z981" s="1"/>
      <c r="AA981" s="1"/>
    </row>
    <row r="982">
      <c r="A982" s="2"/>
      <c r="B982" s="2"/>
      <c r="C982" s="2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9">
        <f t="shared" si="9"/>
        <v>0</v>
      </c>
      <c r="W982" s="1"/>
      <c r="X982" s="1"/>
      <c r="Y982" s="1"/>
      <c r="Z982" s="1"/>
      <c r="AA982" s="1"/>
    </row>
    <row r="983">
      <c r="A983" s="2"/>
      <c r="B983" s="2"/>
      <c r="C983" s="2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9">
        <f t="shared" si="9"/>
        <v>0</v>
      </c>
      <c r="W983" s="1"/>
      <c r="X983" s="1"/>
      <c r="Y983" s="1"/>
      <c r="Z983" s="1"/>
      <c r="AA983" s="1"/>
    </row>
    <row r="984">
      <c r="A984" s="2"/>
      <c r="B984" s="2"/>
      <c r="C984" s="2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9">
        <f t="shared" si="9"/>
        <v>0</v>
      </c>
      <c r="W984" s="1"/>
      <c r="X984" s="1"/>
      <c r="Y984" s="1"/>
      <c r="Z984" s="1"/>
      <c r="AA984" s="1"/>
    </row>
    <row r="985">
      <c r="A985" s="2"/>
      <c r="B985" s="2"/>
      <c r="C985" s="2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9">
        <f t="shared" si="9"/>
        <v>0</v>
      </c>
      <c r="W985" s="1"/>
      <c r="X985" s="1"/>
      <c r="Y985" s="1"/>
      <c r="Z985" s="1"/>
      <c r="AA985" s="1"/>
    </row>
    <row r="986">
      <c r="A986" s="2"/>
      <c r="B986" s="2"/>
      <c r="C986" s="2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9">
        <f t="shared" si="9"/>
        <v>0</v>
      </c>
      <c r="W986" s="1"/>
      <c r="X986" s="1"/>
      <c r="Y986" s="1"/>
      <c r="Z986" s="1"/>
      <c r="AA986" s="1"/>
    </row>
    <row r="987">
      <c r="A987" s="2"/>
      <c r="B987" s="2"/>
      <c r="C987" s="2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9">
        <f t="shared" si="9"/>
        <v>0</v>
      </c>
      <c r="W987" s="1"/>
      <c r="X987" s="1"/>
      <c r="Y987" s="1"/>
      <c r="Z987" s="1"/>
      <c r="AA987" s="1"/>
    </row>
    <row r="988">
      <c r="A988" s="2"/>
      <c r="B988" s="2"/>
      <c r="C988" s="2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9">
        <f t="shared" si="9"/>
        <v>0</v>
      </c>
      <c r="W988" s="1"/>
      <c r="X988" s="1"/>
      <c r="Y988" s="1"/>
      <c r="Z988" s="1"/>
      <c r="AA988" s="1"/>
    </row>
    <row r="989">
      <c r="A989" s="2"/>
      <c r="B989" s="2"/>
      <c r="C989" s="2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9">
        <f t="shared" si="9"/>
        <v>0</v>
      </c>
      <c r="W989" s="1"/>
      <c r="X989" s="1"/>
      <c r="Y989" s="1"/>
      <c r="Z989" s="1"/>
      <c r="AA989" s="1"/>
    </row>
    <row r="990">
      <c r="A990" s="2"/>
      <c r="B990" s="2"/>
      <c r="C990" s="2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9">
        <f t="shared" si="9"/>
        <v>0</v>
      </c>
      <c r="W990" s="1"/>
      <c r="X990" s="1"/>
      <c r="Y990" s="1"/>
      <c r="Z990" s="1"/>
      <c r="AA990" s="1"/>
    </row>
    <row r="991">
      <c r="A991" s="2"/>
      <c r="B991" s="2"/>
      <c r="C991" s="2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9">
        <f t="shared" si="9"/>
        <v>0</v>
      </c>
      <c r="W991" s="1"/>
      <c r="X991" s="1"/>
      <c r="Y991" s="1"/>
      <c r="Z991" s="1"/>
      <c r="AA991" s="1"/>
    </row>
    <row r="992">
      <c r="A992" s="2"/>
      <c r="B992" s="2"/>
      <c r="C992" s="2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9">
        <f t="shared" si="9"/>
        <v>0</v>
      </c>
      <c r="W992" s="1"/>
      <c r="X992" s="1"/>
      <c r="Y992" s="1"/>
      <c r="Z992" s="1"/>
      <c r="AA992" s="1"/>
    </row>
    <row r="993">
      <c r="A993" s="2"/>
      <c r="B993" s="2"/>
      <c r="C993" s="2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9">
        <f t="shared" si="9"/>
        <v>0</v>
      </c>
      <c r="W993" s="1"/>
      <c r="X993" s="1"/>
      <c r="Y993" s="1"/>
      <c r="Z993" s="1"/>
      <c r="AA993" s="1"/>
    </row>
    <row r="994">
      <c r="A994" s="2"/>
      <c r="B994" s="2"/>
      <c r="C994" s="2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9">
        <f t="shared" si="9"/>
        <v>0</v>
      </c>
      <c r="W994" s="1"/>
      <c r="X994" s="1"/>
      <c r="Y994" s="1"/>
      <c r="Z994" s="1"/>
      <c r="AA994" s="1"/>
    </row>
    <row r="995">
      <c r="A995" s="2"/>
      <c r="B995" s="2"/>
      <c r="C995" s="2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9">
        <f t="shared" si="9"/>
        <v>0</v>
      </c>
      <c r="W995" s="1"/>
      <c r="X995" s="1"/>
      <c r="Y995" s="1"/>
      <c r="Z995" s="1"/>
      <c r="AA995" s="1"/>
    </row>
    <row r="996">
      <c r="A996" s="2"/>
      <c r="B996" s="2"/>
      <c r="C996" s="2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9">
        <f t="shared" si="9"/>
        <v>0</v>
      </c>
      <c r="W996" s="1"/>
      <c r="X996" s="1"/>
      <c r="Y996" s="1"/>
      <c r="Z996" s="1"/>
      <c r="AA996" s="1"/>
    </row>
    <row r="997">
      <c r="A997" s="2"/>
      <c r="B997" s="2"/>
      <c r="C997" s="2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9">
        <f t="shared" si="9"/>
        <v>0</v>
      </c>
      <c r="W997" s="1"/>
      <c r="X997" s="1"/>
      <c r="Y997" s="1"/>
      <c r="Z997" s="1"/>
      <c r="AA997" s="1"/>
    </row>
    <row r="998">
      <c r="A998" s="2"/>
      <c r="B998" s="2"/>
      <c r="C998" s="2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9">
        <f t="shared" si="9"/>
        <v>0</v>
      </c>
      <c r="W998" s="1"/>
      <c r="X998" s="1"/>
      <c r="Y998" s="1"/>
      <c r="Z998" s="1"/>
      <c r="AA998" s="1"/>
    </row>
    <row r="999">
      <c r="A999" s="2"/>
      <c r="B999" s="2"/>
      <c r="C999" s="2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9">
        <f t="shared" si="9"/>
        <v>0</v>
      </c>
      <c r="W999" s="1"/>
      <c r="X999" s="1"/>
      <c r="Y999" s="1"/>
      <c r="Z999" s="1"/>
      <c r="AA999" s="1"/>
    </row>
  </sheetData>
  <dataValidations>
    <dataValidation type="list" allowBlank="1" showErrorMessage="1" sqref="B2:B999">
      <formula1>'預算欄位參數表'!$B$2:$B$22</formula1>
    </dataValidation>
    <dataValidation type="list" allowBlank="1" showErrorMessage="1" sqref="D2:D999">
      <formula1>'預算欄位參數表'!$E$2:E999</formula1>
    </dataValidation>
    <dataValidation type="list" allowBlank="1" showErrorMessage="1" sqref="E2:E999">
      <formula1>"NA"</formula1>
    </dataValidation>
    <dataValidation type="list" allowBlank="1" showErrorMessage="1" sqref="G2:G36 G39:G999">
      <formula1>'預算欄位參數表'!$G$2:G999</formula1>
    </dataValidation>
    <dataValidation type="list" allowBlank="1" showErrorMessage="1" sqref="C2:C999">
      <formula1>'預算欄位參數表'!$C$2:C999</formula1>
    </dataValidation>
    <dataValidation type="list" allowBlank="1" showErrorMessage="1" sqref="A2:A999">
      <formula1>'預算欄位參數表'!$A$2:$A999</formula1>
    </dataValidation>
    <dataValidation type="list" allowBlank="1" showErrorMessage="1" sqref="F2:F999">
      <formula1>'預算欄位參數表'!$H$2:$H999</formula1>
    </dataValidation>
    <dataValidation type="list" allowBlank="1" showErrorMessage="1" sqref="G37:G38">
      <formula1>'預算欄位參數表'!$G$2:$G999</formula1>
    </dataValidation>
  </dataValidations>
  <hyperlinks>
    <hyperlink r:id="rId2" ref="I23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5" max="5" width="16.0"/>
    <col customWidth="1" min="6" max="6" width="45.0"/>
    <col customWidth="1" min="7" max="7" width="13.13"/>
    <col customWidth="1" min="8" max="9" width="15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</row>
    <row r="2">
      <c r="A2" s="4"/>
      <c r="B2" s="4"/>
      <c r="C2" s="4"/>
      <c r="D2" s="4"/>
      <c r="E2" s="2"/>
      <c r="F2" s="2"/>
      <c r="G2" s="4"/>
      <c r="H2" s="4"/>
      <c r="I2" s="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1"/>
      <c r="X2" s="1"/>
      <c r="Y2" s="1"/>
      <c r="Z2" s="1"/>
    </row>
    <row r="3">
      <c r="A3" s="7" t="s">
        <v>10</v>
      </c>
      <c r="B3" s="7" t="s">
        <v>99</v>
      </c>
      <c r="C3" s="7" t="s">
        <v>99</v>
      </c>
      <c r="D3" s="7" t="s">
        <v>99</v>
      </c>
      <c r="E3" s="7" t="s">
        <v>14</v>
      </c>
      <c r="F3" s="7" t="s">
        <v>37</v>
      </c>
      <c r="G3" s="7" t="s">
        <v>16</v>
      </c>
      <c r="H3" s="7" t="s">
        <v>180</v>
      </c>
      <c r="I3" s="7" t="s">
        <v>181</v>
      </c>
      <c r="J3" s="7">
        <v>1.0</v>
      </c>
      <c r="K3" s="7">
        <v>1.0</v>
      </c>
      <c r="L3" s="7">
        <v>1.0</v>
      </c>
      <c r="M3" s="7">
        <v>1.0</v>
      </c>
      <c r="N3" s="7">
        <v>1.0</v>
      </c>
      <c r="O3" s="7">
        <v>1.0</v>
      </c>
      <c r="P3" s="7">
        <v>1.0</v>
      </c>
      <c r="Q3" s="7">
        <v>1.0</v>
      </c>
      <c r="R3" s="7">
        <v>1.0</v>
      </c>
      <c r="S3" s="7">
        <v>1.0</v>
      </c>
      <c r="T3" s="7">
        <v>1.0</v>
      </c>
      <c r="U3" s="7">
        <v>1.0</v>
      </c>
      <c r="V3" s="9">
        <f t="shared" ref="V3:V1000" si="1">SUM(B3:U3)</f>
        <v>12</v>
      </c>
      <c r="W3" s="1"/>
      <c r="X3" s="1"/>
      <c r="Y3" s="1"/>
      <c r="Z3" s="1"/>
    </row>
    <row r="4">
      <c r="A4" s="7" t="s">
        <v>10</v>
      </c>
      <c r="B4" s="7" t="s">
        <v>11</v>
      </c>
      <c r="C4" s="7" t="s">
        <v>99</v>
      </c>
      <c r="D4" s="7" t="s">
        <v>99</v>
      </c>
      <c r="E4" s="7" t="s">
        <v>14</v>
      </c>
      <c r="F4" s="7" t="s">
        <v>37</v>
      </c>
      <c r="G4" s="7" t="s">
        <v>16</v>
      </c>
      <c r="H4" s="7" t="s">
        <v>182</v>
      </c>
      <c r="I4" s="7" t="s">
        <v>183</v>
      </c>
      <c r="J4" s="7">
        <v>0.2</v>
      </c>
      <c r="K4" s="7">
        <v>0.2</v>
      </c>
      <c r="L4" s="7">
        <v>0.2</v>
      </c>
      <c r="M4" s="7">
        <v>0.2</v>
      </c>
      <c r="N4" s="7">
        <v>0.2</v>
      </c>
      <c r="O4" s="7">
        <v>0.2</v>
      </c>
      <c r="P4" s="7">
        <v>0.2</v>
      </c>
      <c r="Q4" s="7">
        <v>0.2</v>
      </c>
      <c r="R4" s="7">
        <v>0.2</v>
      </c>
      <c r="S4" s="7">
        <v>0.2</v>
      </c>
      <c r="T4" s="7">
        <v>0.2</v>
      </c>
      <c r="U4" s="7">
        <v>0.2</v>
      </c>
      <c r="V4" s="9">
        <f t="shared" si="1"/>
        <v>2.4</v>
      </c>
      <c r="W4" s="1"/>
      <c r="X4" s="1"/>
      <c r="Y4" s="1"/>
      <c r="Z4" s="1"/>
    </row>
    <row r="5">
      <c r="A5" s="7" t="s">
        <v>10</v>
      </c>
      <c r="B5" s="7" t="s">
        <v>18</v>
      </c>
      <c r="C5" s="7" t="s">
        <v>99</v>
      </c>
      <c r="D5" s="7" t="s">
        <v>99</v>
      </c>
      <c r="E5" s="7" t="s">
        <v>14</v>
      </c>
      <c r="F5" s="7" t="s">
        <v>37</v>
      </c>
      <c r="G5" s="7" t="s">
        <v>16</v>
      </c>
      <c r="H5" s="7" t="s">
        <v>182</v>
      </c>
      <c r="I5" s="7" t="s">
        <v>183</v>
      </c>
      <c r="J5" s="7">
        <v>0.8</v>
      </c>
      <c r="K5" s="7">
        <v>0.8</v>
      </c>
      <c r="L5" s="7">
        <v>0.8</v>
      </c>
      <c r="M5" s="7">
        <v>0.8</v>
      </c>
      <c r="N5" s="7">
        <v>0.8</v>
      </c>
      <c r="O5" s="7">
        <v>0.8</v>
      </c>
      <c r="P5" s="7">
        <v>0.8</v>
      </c>
      <c r="Q5" s="7">
        <v>0.8</v>
      </c>
      <c r="R5" s="7">
        <v>0.8</v>
      </c>
      <c r="S5" s="7">
        <v>0.8</v>
      </c>
      <c r="T5" s="7">
        <v>0.8</v>
      </c>
      <c r="U5" s="7">
        <v>0.8</v>
      </c>
      <c r="V5" s="9">
        <f t="shared" si="1"/>
        <v>9.6</v>
      </c>
      <c r="W5" s="1"/>
      <c r="X5" s="1"/>
      <c r="Y5" s="1"/>
      <c r="Z5" s="1"/>
    </row>
    <row r="6">
      <c r="A6" s="7" t="s">
        <v>10</v>
      </c>
      <c r="B6" s="7" t="s">
        <v>11</v>
      </c>
      <c r="C6" s="7" t="s">
        <v>99</v>
      </c>
      <c r="D6" s="7" t="s">
        <v>99</v>
      </c>
      <c r="E6" s="7" t="s">
        <v>14</v>
      </c>
      <c r="F6" s="7" t="s">
        <v>37</v>
      </c>
      <c r="G6" s="7" t="s">
        <v>16</v>
      </c>
      <c r="H6" s="7" t="s">
        <v>184</v>
      </c>
      <c r="I6" s="7" t="s">
        <v>183</v>
      </c>
      <c r="J6" s="7">
        <v>0.6</v>
      </c>
      <c r="K6" s="7">
        <v>0.6</v>
      </c>
      <c r="L6" s="7">
        <v>0.6</v>
      </c>
      <c r="M6" s="7">
        <v>0.6</v>
      </c>
      <c r="N6" s="7">
        <v>0.6</v>
      </c>
      <c r="O6" s="7">
        <v>0.6</v>
      </c>
      <c r="P6" s="7">
        <v>0.6</v>
      </c>
      <c r="Q6" s="7">
        <v>0.6</v>
      </c>
      <c r="R6" s="7">
        <v>0.6</v>
      </c>
      <c r="S6" s="7">
        <v>0.6</v>
      </c>
      <c r="T6" s="7">
        <v>0.6</v>
      </c>
      <c r="U6" s="7">
        <v>0.6</v>
      </c>
      <c r="V6" s="9">
        <f t="shared" si="1"/>
        <v>7.2</v>
      </c>
      <c r="W6" s="1"/>
      <c r="X6" s="1"/>
      <c r="Y6" s="1"/>
      <c r="Z6" s="1"/>
    </row>
    <row r="7">
      <c r="A7" s="7" t="s">
        <v>10</v>
      </c>
      <c r="B7" s="7" t="s">
        <v>18</v>
      </c>
      <c r="C7" s="7" t="s">
        <v>99</v>
      </c>
      <c r="D7" s="7" t="s">
        <v>99</v>
      </c>
      <c r="E7" s="7" t="s">
        <v>14</v>
      </c>
      <c r="F7" s="7" t="s">
        <v>37</v>
      </c>
      <c r="G7" s="7" t="s">
        <v>16</v>
      </c>
      <c r="H7" s="7" t="s">
        <v>184</v>
      </c>
      <c r="I7" s="7" t="s">
        <v>183</v>
      </c>
      <c r="J7" s="7">
        <v>0.4</v>
      </c>
      <c r="K7" s="7">
        <v>0.4</v>
      </c>
      <c r="L7" s="7">
        <v>0.4</v>
      </c>
      <c r="M7" s="7">
        <v>0.4</v>
      </c>
      <c r="N7" s="7">
        <v>0.4</v>
      </c>
      <c r="O7" s="7">
        <v>0.4</v>
      </c>
      <c r="P7" s="7">
        <v>0.4</v>
      </c>
      <c r="Q7" s="7">
        <v>0.4</v>
      </c>
      <c r="R7" s="7">
        <v>0.4</v>
      </c>
      <c r="S7" s="7">
        <v>0.4</v>
      </c>
      <c r="T7" s="7">
        <v>0.4</v>
      </c>
      <c r="U7" s="7">
        <v>0.4</v>
      </c>
      <c r="V7" s="9">
        <f t="shared" si="1"/>
        <v>4.8</v>
      </c>
      <c r="W7" s="1"/>
      <c r="X7" s="1"/>
      <c r="Y7" s="1"/>
      <c r="Z7" s="1"/>
    </row>
    <row r="8">
      <c r="A8" s="7" t="s">
        <v>10</v>
      </c>
      <c r="B8" s="7" t="s">
        <v>11</v>
      </c>
      <c r="C8" s="7" t="s">
        <v>99</v>
      </c>
      <c r="D8" s="7" t="s">
        <v>99</v>
      </c>
      <c r="E8" s="7" t="s">
        <v>14</v>
      </c>
      <c r="F8" s="7" t="s">
        <v>37</v>
      </c>
      <c r="G8" s="7" t="s">
        <v>16</v>
      </c>
      <c r="H8" s="7" t="s">
        <v>185</v>
      </c>
      <c r="I8" s="7" t="s">
        <v>39</v>
      </c>
      <c r="J8" s="7">
        <v>0.6</v>
      </c>
      <c r="K8" s="7">
        <v>0.6</v>
      </c>
      <c r="L8" s="7">
        <v>0.6</v>
      </c>
      <c r="M8" s="7">
        <v>0.6</v>
      </c>
      <c r="N8" s="7">
        <v>0.6</v>
      </c>
      <c r="O8" s="7">
        <v>0.6</v>
      </c>
      <c r="P8" s="7">
        <v>0.6</v>
      </c>
      <c r="Q8" s="7">
        <v>0.6</v>
      </c>
      <c r="R8" s="7">
        <v>0.6</v>
      </c>
      <c r="S8" s="7">
        <v>0.6</v>
      </c>
      <c r="T8" s="7">
        <v>0.6</v>
      </c>
      <c r="U8" s="7">
        <v>0.6</v>
      </c>
      <c r="V8" s="9">
        <f t="shared" si="1"/>
        <v>7.2</v>
      </c>
      <c r="W8" s="1"/>
      <c r="X8" s="1"/>
      <c r="Y8" s="1"/>
      <c r="Z8" s="1"/>
    </row>
    <row r="9">
      <c r="A9" s="7" t="s">
        <v>10</v>
      </c>
      <c r="B9" s="7" t="s">
        <v>18</v>
      </c>
      <c r="C9" s="7" t="s">
        <v>99</v>
      </c>
      <c r="D9" s="7" t="s">
        <v>99</v>
      </c>
      <c r="E9" s="7" t="s">
        <v>14</v>
      </c>
      <c r="F9" s="7" t="s">
        <v>37</v>
      </c>
      <c r="G9" s="7" t="s">
        <v>16</v>
      </c>
      <c r="H9" s="7" t="s">
        <v>185</v>
      </c>
      <c r="I9" s="7" t="s">
        <v>39</v>
      </c>
      <c r="J9" s="7">
        <v>0.5</v>
      </c>
      <c r="K9" s="7">
        <v>0.5</v>
      </c>
      <c r="L9" s="7">
        <v>0.5</v>
      </c>
      <c r="M9" s="7">
        <v>0.5</v>
      </c>
      <c r="N9" s="7">
        <v>0.4</v>
      </c>
      <c r="O9" s="7">
        <v>0.4</v>
      </c>
      <c r="P9" s="7">
        <v>0.4</v>
      </c>
      <c r="Q9" s="7">
        <v>0.4</v>
      </c>
      <c r="R9" s="7">
        <v>0.4</v>
      </c>
      <c r="S9" s="7">
        <v>0.4</v>
      </c>
      <c r="T9" s="7">
        <v>0.4</v>
      </c>
      <c r="U9" s="7">
        <v>0.4</v>
      </c>
      <c r="V9" s="9">
        <f t="shared" si="1"/>
        <v>5.2</v>
      </c>
      <c r="W9" s="1"/>
      <c r="X9" s="1"/>
      <c r="Y9" s="1"/>
      <c r="Z9" s="1"/>
    </row>
    <row r="10">
      <c r="A10" s="7" t="s">
        <v>10</v>
      </c>
      <c r="B10" s="7" t="s">
        <v>11</v>
      </c>
      <c r="C10" s="7" t="s">
        <v>99</v>
      </c>
      <c r="D10" s="7" t="s">
        <v>99</v>
      </c>
      <c r="E10" s="7" t="s">
        <v>14</v>
      </c>
      <c r="F10" s="7" t="s">
        <v>37</v>
      </c>
      <c r="G10" s="7" t="s">
        <v>16</v>
      </c>
      <c r="H10" s="7" t="s">
        <v>38</v>
      </c>
      <c r="I10" s="7" t="s">
        <v>39</v>
      </c>
      <c r="J10" s="7">
        <v>0.3</v>
      </c>
      <c r="K10" s="7">
        <v>0.3</v>
      </c>
      <c r="L10" s="7">
        <v>0.3</v>
      </c>
      <c r="M10" s="7">
        <v>0.3</v>
      </c>
      <c r="N10" s="7">
        <v>0.3</v>
      </c>
      <c r="O10" s="7">
        <v>0.3</v>
      </c>
      <c r="P10" s="7">
        <v>0.3</v>
      </c>
      <c r="Q10" s="7">
        <v>0.3</v>
      </c>
      <c r="R10" s="7">
        <v>0.3</v>
      </c>
      <c r="S10" s="7">
        <v>0.3</v>
      </c>
      <c r="T10" s="7">
        <v>0.3</v>
      </c>
      <c r="U10" s="7">
        <v>0.3</v>
      </c>
      <c r="V10" s="9">
        <f t="shared" si="1"/>
        <v>3.6</v>
      </c>
      <c r="W10" s="1"/>
      <c r="X10" s="1"/>
      <c r="Y10" s="1"/>
      <c r="Z10" s="1"/>
    </row>
    <row r="11">
      <c r="A11" s="7" t="s">
        <v>10</v>
      </c>
      <c r="B11" s="7" t="s">
        <v>18</v>
      </c>
      <c r="C11" s="7" t="s">
        <v>99</v>
      </c>
      <c r="D11" s="7" t="s">
        <v>99</v>
      </c>
      <c r="E11" s="7" t="s">
        <v>14</v>
      </c>
      <c r="F11" s="7" t="s">
        <v>37</v>
      </c>
      <c r="G11" s="7" t="s">
        <v>16</v>
      </c>
      <c r="H11" s="7" t="s">
        <v>38</v>
      </c>
      <c r="I11" s="7" t="s">
        <v>39</v>
      </c>
      <c r="J11" s="7">
        <v>0.7</v>
      </c>
      <c r="K11" s="7">
        <v>0.7</v>
      </c>
      <c r="L11" s="7">
        <v>0.7</v>
      </c>
      <c r="M11" s="7">
        <v>0.7</v>
      </c>
      <c r="N11" s="7">
        <v>0.6</v>
      </c>
      <c r="O11" s="7">
        <v>0.6</v>
      </c>
      <c r="P11" s="7">
        <v>0.6</v>
      </c>
      <c r="Q11" s="7">
        <v>0.6</v>
      </c>
      <c r="R11" s="7">
        <v>0.6</v>
      </c>
      <c r="S11" s="7">
        <v>0.6</v>
      </c>
      <c r="T11" s="7">
        <v>0.6</v>
      </c>
      <c r="U11" s="7">
        <v>0.6</v>
      </c>
      <c r="V11" s="9">
        <f t="shared" si="1"/>
        <v>7.6</v>
      </c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7">
        <f t="shared" si="1"/>
        <v>0</v>
      </c>
      <c r="W12" s="38"/>
      <c r="X12" s="38"/>
      <c r="Y12" s="38"/>
      <c r="Z12" s="38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9">
        <f t="shared" si="1"/>
        <v>0</v>
      </c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9">
        <f t="shared" si="1"/>
        <v>0</v>
      </c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9">
        <f t="shared" si="1"/>
        <v>0</v>
      </c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9">
        <f t="shared" si="1"/>
        <v>0</v>
      </c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9">
        <f t="shared" si="1"/>
        <v>0</v>
      </c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9">
        <f t="shared" si="1"/>
        <v>0</v>
      </c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9">
        <f t="shared" si="1"/>
        <v>0</v>
      </c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9">
        <f t="shared" si="1"/>
        <v>0</v>
      </c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9">
        <f t="shared" si="1"/>
        <v>0</v>
      </c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9">
        <f t="shared" si="1"/>
        <v>0</v>
      </c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9">
        <f t="shared" si="1"/>
        <v>0</v>
      </c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9">
        <f t="shared" si="1"/>
        <v>0</v>
      </c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9">
        <f t="shared" si="1"/>
        <v>0</v>
      </c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9">
        <f t="shared" si="1"/>
        <v>0</v>
      </c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9">
        <f t="shared" si="1"/>
        <v>0</v>
      </c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9">
        <f t="shared" si="1"/>
        <v>0</v>
      </c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9">
        <f t="shared" si="1"/>
        <v>0</v>
      </c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9">
        <f t="shared" si="1"/>
        <v>0</v>
      </c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9">
        <f t="shared" si="1"/>
        <v>0</v>
      </c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9">
        <f t="shared" si="1"/>
        <v>0</v>
      </c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9">
        <f t="shared" si="1"/>
        <v>0</v>
      </c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9">
        <f t="shared" si="1"/>
        <v>0</v>
      </c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>
        <f t="shared" si="1"/>
        <v>0</v>
      </c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9">
        <f t="shared" si="1"/>
        <v>0</v>
      </c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9">
        <f t="shared" si="1"/>
        <v>0</v>
      </c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9">
        <f t="shared" si="1"/>
        <v>0</v>
      </c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9">
        <f t="shared" si="1"/>
        <v>0</v>
      </c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9">
        <f t="shared" si="1"/>
        <v>0</v>
      </c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9">
        <f t="shared" si="1"/>
        <v>0</v>
      </c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9">
        <f t="shared" si="1"/>
        <v>0</v>
      </c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9">
        <f t="shared" si="1"/>
        <v>0</v>
      </c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9">
        <f t="shared" si="1"/>
        <v>0</v>
      </c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9">
        <f t="shared" si="1"/>
        <v>0</v>
      </c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9">
        <f t="shared" si="1"/>
        <v>0</v>
      </c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>
        <f t="shared" si="1"/>
        <v>0</v>
      </c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9">
        <f t="shared" si="1"/>
        <v>0</v>
      </c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9">
        <f t="shared" si="1"/>
        <v>0</v>
      </c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9">
        <f t="shared" si="1"/>
        <v>0</v>
      </c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>
        <f t="shared" si="1"/>
        <v>0</v>
      </c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>
        <f t="shared" si="1"/>
        <v>0</v>
      </c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>
        <f t="shared" si="1"/>
        <v>0</v>
      </c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9">
        <f t="shared" si="1"/>
        <v>0</v>
      </c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>
        <f t="shared" si="1"/>
        <v>0</v>
      </c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">
        <f t="shared" si="1"/>
        <v>0</v>
      </c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9">
        <f t="shared" si="1"/>
        <v>0</v>
      </c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9">
        <f t="shared" si="1"/>
        <v>0</v>
      </c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>
        <f t="shared" si="1"/>
        <v>0</v>
      </c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9">
        <f t="shared" si="1"/>
        <v>0</v>
      </c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9">
        <f t="shared" si="1"/>
        <v>0</v>
      </c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>
        <f t="shared" si="1"/>
        <v>0</v>
      </c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>
        <f t="shared" si="1"/>
        <v>0</v>
      </c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">
        <f t="shared" si="1"/>
        <v>0</v>
      </c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9">
        <f t="shared" si="1"/>
        <v>0</v>
      </c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9">
        <f t="shared" si="1"/>
        <v>0</v>
      </c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9">
        <f t="shared" si="1"/>
        <v>0</v>
      </c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9">
        <f t="shared" si="1"/>
        <v>0</v>
      </c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9">
        <f t="shared" si="1"/>
        <v>0</v>
      </c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9">
        <f t="shared" si="1"/>
        <v>0</v>
      </c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>
        <f t="shared" si="1"/>
        <v>0</v>
      </c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>
        <f t="shared" si="1"/>
        <v>0</v>
      </c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9">
        <f t="shared" si="1"/>
        <v>0</v>
      </c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9">
        <f t="shared" si="1"/>
        <v>0</v>
      </c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9">
        <f t="shared" si="1"/>
        <v>0</v>
      </c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9">
        <f t="shared" si="1"/>
        <v>0</v>
      </c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9">
        <f t="shared" si="1"/>
        <v>0</v>
      </c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9">
        <f t="shared" si="1"/>
        <v>0</v>
      </c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9">
        <f t="shared" si="1"/>
        <v>0</v>
      </c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9">
        <f t="shared" si="1"/>
        <v>0</v>
      </c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9">
        <f t="shared" si="1"/>
        <v>0</v>
      </c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9">
        <f t="shared" si="1"/>
        <v>0</v>
      </c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9">
        <f t="shared" si="1"/>
        <v>0</v>
      </c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9">
        <f t="shared" si="1"/>
        <v>0</v>
      </c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9">
        <f t="shared" si="1"/>
        <v>0</v>
      </c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9">
        <f t="shared" si="1"/>
        <v>0</v>
      </c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9">
        <f t="shared" si="1"/>
        <v>0</v>
      </c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9">
        <f t="shared" si="1"/>
        <v>0</v>
      </c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9">
        <f t="shared" si="1"/>
        <v>0</v>
      </c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9">
        <f t="shared" si="1"/>
        <v>0</v>
      </c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9">
        <f t="shared" si="1"/>
        <v>0</v>
      </c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9">
        <f t="shared" si="1"/>
        <v>0</v>
      </c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9">
        <f t="shared" si="1"/>
        <v>0</v>
      </c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9">
        <f t="shared" si="1"/>
        <v>0</v>
      </c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9">
        <f t="shared" si="1"/>
        <v>0</v>
      </c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9">
        <f t="shared" si="1"/>
        <v>0</v>
      </c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9">
        <f t="shared" si="1"/>
        <v>0</v>
      </c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9">
        <f t="shared" si="1"/>
        <v>0</v>
      </c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9">
        <f t="shared" si="1"/>
        <v>0</v>
      </c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9">
        <f t="shared" si="1"/>
        <v>0</v>
      </c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9">
        <f t="shared" si="1"/>
        <v>0</v>
      </c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9">
        <f t="shared" si="1"/>
        <v>0</v>
      </c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9">
        <f t="shared" si="1"/>
        <v>0</v>
      </c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9">
        <f t="shared" si="1"/>
        <v>0</v>
      </c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9">
        <f t="shared" si="1"/>
        <v>0</v>
      </c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9">
        <f t="shared" si="1"/>
        <v>0</v>
      </c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9">
        <f t="shared" si="1"/>
        <v>0</v>
      </c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9">
        <f t="shared" si="1"/>
        <v>0</v>
      </c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9">
        <f t="shared" si="1"/>
        <v>0</v>
      </c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9">
        <f t="shared" si="1"/>
        <v>0</v>
      </c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9">
        <f t="shared" si="1"/>
        <v>0</v>
      </c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9">
        <f t="shared" si="1"/>
        <v>0</v>
      </c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9">
        <f t="shared" si="1"/>
        <v>0</v>
      </c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9">
        <f t="shared" si="1"/>
        <v>0</v>
      </c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9">
        <f t="shared" si="1"/>
        <v>0</v>
      </c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9">
        <f t="shared" si="1"/>
        <v>0</v>
      </c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9">
        <f t="shared" si="1"/>
        <v>0</v>
      </c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9">
        <f t="shared" si="1"/>
        <v>0</v>
      </c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9">
        <f t="shared" si="1"/>
        <v>0</v>
      </c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9">
        <f t="shared" si="1"/>
        <v>0</v>
      </c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9">
        <f t="shared" si="1"/>
        <v>0</v>
      </c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9">
        <f t="shared" si="1"/>
        <v>0</v>
      </c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9">
        <f t="shared" si="1"/>
        <v>0</v>
      </c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9">
        <f t="shared" si="1"/>
        <v>0</v>
      </c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9">
        <f t="shared" si="1"/>
        <v>0</v>
      </c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9">
        <f t="shared" si="1"/>
        <v>0</v>
      </c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9">
        <f t="shared" si="1"/>
        <v>0</v>
      </c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9">
        <f t="shared" si="1"/>
        <v>0</v>
      </c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9">
        <f t="shared" si="1"/>
        <v>0</v>
      </c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9">
        <f t="shared" si="1"/>
        <v>0</v>
      </c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9">
        <f t="shared" si="1"/>
        <v>0</v>
      </c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9">
        <f t="shared" si="1"/>
        <v>0</v>
      </c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9">
        <f t="shared" si="1"/>
        <v>0</v>
      </c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9">
        <f t="shared" si="1"/>
        <v>0</v>
      </c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9">
        <f t="shared" si="1"/>
        <v>0</v>
      </c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9">
        <f t="shared" si="1"/>
        <v>0</v>
      </c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9">
        <f t="shared" si="1"/>
        <v>0</v>
      </c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9">
        <f t="shared" si="1"/>
        <v>0</v>
      </c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9">
        <f t="shared" si="1"/>
        <v>0</v>
      </c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9">
        <f t="shared" si="1"/>
        <v>0</v>
      </c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9">
        <f t="shared" si="1"/>
        <v>0</v>
      </c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9">
        <f t="shared" si="1"/>
        <v>0</v>
      </c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9">
        <f t="shared" si="1"/>
        <v>0</v>
      </c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9">
        <f t="shared" si="1"/>
        <v>0</v>
      </c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9">
        <f t="shared" si="1"/>
        <v>0</v>
      </c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9">
        <f t="shared" si="1"/>
        <v>0</v>
      </c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9">
        <f t="shared" si="1"/>
        <v>0</v>
      </c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9">
        <f t="shared" si="1"/>
        <v>0</v>
      </c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9">
        <f t="shared" si="1"/>
        <v>0</v>
      </c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9">
        <f t="shared" si="1"/>
        <v>0</v>
      </c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9">
        <f t="shared" si="1"/>
        <v>0</v>
      </c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9">
        <f t="shared" si="1"/>
        <v>0</v>
      </c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9">
        <f t="shared" si="1"/>
        <v>0</v>
      </c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9">
        <f t="shared" si="1"/>
        <v>0</v>
      </c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9">
        <f t="shared" si="1"/>
        <v>0</v>
      </c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9">
        <f t="shared" si="1"/>
        <v>0</v>
      </c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9">
        <f t="shared" si="1"/>
        <v>0</v>
      </c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9">
        <f t="shared" si="1"/>
        <v>0</v>
      </c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9">
        <f t="shared" si="1"/>
        <v>0</v>
      </c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9">
        <f t="shared" si="1"/>
        <v>0</v>
      </c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9">
        <f t="shared" si="1"/>
        <v>0</v>
      </c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9">
        <f t="shared" si="1"/>
        <v>0</v>
      </c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9">
        <f t="shared" si="1"/>
        <v>0</v>
      </c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9">
        <f t="shared" si="1"/>
        <v>0</v>
      </c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9">
        <f t="shared" si="1"/>
        <v>0</v>
      </c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9">
        <f t="shared" si="1"/>
        <v>0</v>
      </c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9">
        <f t="shared" si="1"/>
        <v>0</v>
      </c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9">
        <f t="shared" si="1"/>
        <v>0</v>
      </c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9">
        <f t="shared" si="1"/>
        <v>0</v>
      </c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9">
        <f t="shared" si="1"/>
        <v>0</v>
      </c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9">
        <f t="shared" si="1"/>
        <v>0</v>
      </c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9">
        <f t="shared" si="1"/>
        <v>0</v>
      </c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9">
        <f t="shared" si="1"/>
        <v>0</v>
      </c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9">
        <f t="shared" si="1"/>
        <v>0</v>
      </c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9">
        <f t="shared" si="1"/>
        <v>0</v>
      </c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9">
        <f t="shared" si="1"/>
        <v>0</v>
      </c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9">
        <f t="shared" si="1"/>
        <v>0</v>
      </c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9">
        <f t="shared" si="1"/>
        <v>0</v>
      </c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9">
        <f t="shared" si="1"/>
        <v>0</v>
      </c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9">
        <f t="shared" si="1"/>
        <v>0</v>
      </c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9">
        <f t="shared" si="1"/>
        <v>0</v>
      </c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9">
        <f t="shared" si="1"/>
        <v>0</v>
      </c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9">
        <f t="shared" si="1"/>
        <v>0</v>
      </c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9">
        <f t="shared" si="1"/>
        <v>0</v>
      </c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9">
        <f t="shared" si="1"/>
        <v>0</v>
      </c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9">
        <f t="shared" si="1"/>
        <v>0</v>
      </c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9">
        <f t="shared" si="1"/>
        <v>0</v>
      </c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9">
        <f t="shared" si="1"/>
        <v>0</v>
      </c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9">
        <f t="shared" si="1"/>
        <v>0</v>
      </c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9">
        <f t="shared" si="1"/>
        <v>0</v>
      </c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9">
        <f t="shared" si="1"/>
        <v>0</v>
      </c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9">
        <f t="shared" si="1"/>
        <v>0</v>
      </c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9">
        <f t="shared" si="1"/>
        <v>0</v>
      </c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9">
        <f t="shared" si="1"/>
        <v>0</v>
      </c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9">
        <f t="shared" si="1"/>
        <v>0</v>
      </c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9">
        <f t="shared" si="1"/>
        <v>0</v>
      </c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9">
        <f t="shared" si="1"/>
        <v>0</v>
      </c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9">
        <f t="shared" si="1"/>
        <v>0</v>
      </c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9">
        <f t="shared" si="1"/>
        <v>0</v>
      </c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9">
        <f t="shared" si="1"/>
        <v>0</v>
      </c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9">
        <f t="shared" si="1"/>
        <v>0</v>
      </c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9">
        <f t="shared" si="1"/>
        <v>0</v>
      </c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9">
        <f t="shared" si="1"/>
        <v>0</v>
      </c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9">
        <f t="shared" si="1"/>
        <v>0</v>
      </c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9">
        <f t="shared" si="1"/>
        <v>0</v>
      </c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9">
        <f t="shared" si="1"/>
        <v>0</v>
      </c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9">
        <f t="shared" si="1"/>
        <v>0</v>
      </c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9">
        <f t="shared" si="1"/>
        <v>0</v>
      </c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9">
        <f t="shared" si="1"/>
        <v>0</v>
      </c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9">
        <f t="shared" si="1"/>
        <v>0</v>
      </c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9">
        <f t="shared" si="1"/>
        <v>0</v>
      </c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9">
        <f t="shared" si="1"/>
        <v>0</v>
      </c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9">
        <f t="shared" si="1"/>
        <v>0</v>
      </c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9">
        <f t="shared" si="1"/>
        <v>0</v>
      </c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9">
        <f t="shared" si="1"/>
        <v>0</v>
      </c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9">
        <f t="shared" si="1"/>
        <v>0</v>
      </c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9">
        <f t="shared" si="1"/>
        <v>0</v>
      </c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9">
        <f t="shared" si="1"/>
        <v>0</v>
      </c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9">
        <f t="shared" si="1"/>
        <v>0</v>
      </c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9">
        <f t="shared" si="1"/>
        <v>0</v>
      </c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9">
        <f t="shared" si="1"/>
        <v>0</v>
      </c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9">
        <f t="shared" si="1"/>
        <v>0</v>
      </c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9">
        <f t="shared" si="1"/>
        <v>0</v>
      </c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9">
        <f t="shared" si="1"/>
        <v>0</v>
      </c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9">
        <f t="shared" si="1"/>
        <v>0</v>
      </c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9">
        <f t="shared" si="1"/>
        <v>0</v>
      </c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9">
        <f t="shared" si="1"/>
        <v>0</v>
      </c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9">
        <f t="shared" si="1"/>
        <v>0</v>
      </c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9">
        <f t="shared" si="1"/>
        <v>0</v>
      </c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9">
        <f t="shared" si="1"/>
        <v>0</v>
      </c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9">
        <f t="shared" si="1"/>
        <v>0</v>
      </c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9">
        <f t="shared" si="1"/>
        <v>0</v>
      </c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9">
        <f t="shared" si="1"/>
        <v>0</v>
      </c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9">
        <f t="shared" si="1"/>
        <v>0</v>
      </c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9">
        <f t="shared" si="1"/>
        <v>0</v>
      </c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9">
        <f t="shared" si="1"/>
        <v>0</v>
      </c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9">
        <f t="shared" si="1"/>
        <v>0</v>
      </c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9">
        <f t="shared" si="1"/>
        <v>0</v>
      </c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9">
        <f t="shared" si="1"/>
        <v>0</v>
      </c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9">
        <f t="shared" si="1"/>
        <v>0</v>
      </c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9">
        <f t="shared" si="1"/>
        <v>0</v>
      </c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9">
        <f t="shared" si="1"/>
        <v>0</v>
      </c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9">
        <f t="shared" si="1"/>
        <v>0</v>
      </c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9">
        <f t="shared" si="1"/>
        <v>0</v>
      </c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9">
        <f t="shared" si="1"/>
        <v>0</v>
      </c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9">
        <f t="shared" si="1"/>
        <v>0</v>
      </c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9">
        <f t="shared" si="1"/>
        <v>0</v>
      </c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9">
        <f t="shared" si="1"/>
        <v>0</v>
      </c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9">
        <f t="shared" si="1"/>
        <v>0</v>
      </c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9">
        <f t="shared" si="1"/>
        <v>0</v>
      </c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9">
        <f t="shared" si="1"/>
        <v>0</v>
      </c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9">
        <f t="shared" si="1"/>
        <v>0</v>
      </c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9">
        <f t="shared" si="1"/>
        <v>0</v>
      </c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9">
        <f t="shared" si="1"/>
        <v>0</v>
      </c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9">
        <f t="shared" si="1"/>
        <v>0</v>
      </c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9">
        <f t="shared" si="1"/>
        <v>0</v>
      </c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9">
        <f t="shared" si="1"/>
        <v>0</v>
      </c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9">
        <f t="shared" si="1"/>
        <v>0</v>
      </c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9">
        <f t="shared" si="1"/>
        <v>0</v>
      </c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9">
        <f t="shared" si="1"/>
        <v>0</v>
      </c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9">
        <f t="shared" si="1"/>
        <v>0</v>
      </c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9">
        <f t="shared" si="1"/>
        <v>0</v>
      </c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9">
        <f t="shared" si="1"/>
        <v>0</v>
      </c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9">
        <f t="shared" si="1"/>
        <v>0</v>
      </c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9">
        <f t="shared" si="1"/>
        <v>0</v>
      </c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9">
        <f t="shared" si="1"/>
        <v>0</v>
      </c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9">
        <f t="shared" si="1"/>
        <v>0</v>
      </c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9">
        <f t="shared" si="1"/>
        <v>0</v>
      </c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9">
        <f t="shared" si="1"/>
        <v>0</v>
      </c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9">
        <f t="shared" si="1"/>
        <v>0</v>
      </c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9">
        <f t="shared" si="1"/>
        <v>0</v>
      </c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9">
        <f t="shared" si="1"/>
        <v>0</v>
      </c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9">
        <f t="shared" si="1"/>
        <v>0</v>
      </c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9">
        <f t="shared" si="1"/>
        <v>0</v>
      </c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9">
        <f t="shared" si="1"/>
        <v>0</v>
      </c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9">
        <f t="shared" si="1"/>
        <v>0</v>
      </c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9">
        <f t="shared" si="1"/>
        <v>0</v>
      </c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9">
        <f t="shared" si="1"/>
        <v>0</v>
      </c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9">
        <f t="shared" si="1"/>
        <v>0</v>
      </c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9">
        <f t="shared" si="1"/>
        <v>0</v>
      </c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9">
        <f t="shared" si="1"/>
        <v>0</v>
      </c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9">
        <f t="shared" si="1"/>
        <v>0</v>
      </c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9">
        <f t="shared" si="1"/>
        <v>0</v>
      </c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9">
        <f t="shared" si="1"/>
        <v>0</v>
      </c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9">
        <f t="shared" si="1"/>
        <v>0</v>
      </c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9">
        <f t="shared" si="1"/>
        <v>0</v>
      </c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9">
        <f t="shared" si="1"/>
        <v>0</v>
      </c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9">
        <f t="shared" si="1"/>
        <v>0</v>
      </c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9">
        <f t="shared" si="1"/>
        <v>0</v>
      </c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9">
        <f t="shared" si="1"/>
        <v>0</v>
      </c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9">
        <f t="shared" si="1"/>
        <v>0</v>
      </c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9">
        <f t="shared" si="1"/>
        <v>0</v>
      </c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9">
        <f t="shared" si="1"/>
        <v>0</v>
      </c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9">
        <f t="shared" si="1"/>
        <v>0</v>
      </c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9">
        <f t="shared" si="1"/>
        <v>0</v>
      </c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9">
        <f t="shared" si="1"/>
        <v>0</v>
      </c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9">
        <f t="shared" si="1"/>
        <v>0</v>
      </c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9">
        <f t="shared" si="1"/>
        <v>0</v>
      </c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9">
        <f t="shared" si="1"/>
        <v>0</v>
      </c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9">
        <f t="shared" si="1"/>
        <v>0</v>
      </c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9">
        <f t="shared" si="1"/>
        <v>0</v>
      </c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9">
        <f t="shared" si="1"/>
        <v>0</v>
      </c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9">
        <f t="shared" si="1"/>
        <v>0</v>
      </c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9">
        <f t="shared" si="1"/>
        <v>0</v>
      </c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9">
        <f t="shared" si="1"/>
        <v>0</v>
      </c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9">
        <f t="shared" si="1"/>
        <v>0</v>
      </c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9">
        <f t="shared" si="1"/>
        <v>0</v>
      </c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9">
        <f t="shared" si="1"/>
        <v>0</v>
      </c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9">
        <f t="shared" si="1"/>
        <v>0</v>
      </c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9">
        <f t="shared" si="1"/>
        <v>0</v>
      </c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9">
        <f t="shared" si="1"/>
        <v>0</v>
      </c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9">
        <f t="shared" si="1"/>
        <v>0</v>
      </c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9">
        <f t="shared" si="1"/>
        <v>0</v>
      </c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9">
        <f t="shared" si="1"/>
        <v>0</v>
      </c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9">
        <f t="shared" si="1"/>
        <v>0</v>
      </c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9">
        <f t="shared" si="1"/>
        <v>0</v>
      </c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9">
        <f t="shared" si="1"/>
        <v>0</v>
      </c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9">
        <f t="shared" si="1"/>
        <v>0</v>
      </c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9">
        <f t="shared" si="1"/>
        <v>0</v>
      </c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9">
        <f t="shared" si="1"/>
        <v>0</v>
      </c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9">
        <f t="shared" si="1"/>
        <v>0</v>
      </c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9">
        <f t="shared" si="1"/>
        <v>0</v>
      </c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9">
        <f t="shared" si="1"/>
        <v>0</v>
      </c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9">
        <f t="shared" si="1"/>
        <v>0</v>
      </c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9">
        <f t="shared" si="1"/>
        <v>0</v>
      </c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9">
        <f t="shared" si="1"/>
        <v>0</v>
      </c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9">
        <f t="shared" si="1"/>
        <v>0</v>
      </c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9">
        <f t="shared" si="1"/>
        <v>0</v>
      </c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9">
        <f t="shared" si="1"/>
        <v>0</v>
      </c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9">
        <f t="shared" si="1"/>
        <v>0</v>
      </c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9">
        <f t="shared" si="1"/>
        <v>0</v>
      </c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9">
        <f t="shared" si="1"/>
        <v>0</v>
      </c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9">
        <f t="shared" si="1"/>
        <v>0</v>
      </c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9">
        <f t="shared" si="1"/>
        <v>0</v>
      </c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9">
        <f t="shared" si="1"/>
        <v>0</v>
      </c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9">
        <f t="shared" si="1"/>
        <v>0</v>
      </c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9">
        <f t="shared" si="1"/>
        <v>0</v>
      </c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9">
        <f t="shared" si="1"/>
        <v>0</v>
      </c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9">
        <f t="shared" si="1"/>
        <v>0</v>
      </c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9">
        <f t="shared" si="1"/>
        <v>0</v>
      </c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9">
        <f t="shared" si="1"/>
        <v>0</v>
      </c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9">
        <f t="shared" si="1"/>
        <v>0</v>
      </c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9">
        <f t="shared" si="1"/>
        <v>0</v>
      </c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9">
        <f t="shared" si="1"/>
        <v>0</v>
      </c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9">
        <f t="shared" si="1"/>
        <v>0</v>
      </c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9">
        <f t="shared" si="1"/>
        <v>0</v>
      </c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9">
        <f t="shared" si="1"/>
        <v>0</v>
      </c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9">
        <f t="shared" si="1"/>
        <v>0</v>
      </c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9">
        <f t="shared" si="1"/>
        <v>0</v>
      </c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9">
        <f t="shared" si="1"/>
        <v>0</v>
      </c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9">
        <f t="shared" si="1"/>
        <v>0</v>
      </c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9">
        <f t="shared" si="1"/>
        <v>0</v>
      </c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9">
        <f t="shared" si="1"/>
        <v>0</v>
      </c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9">
        <f t="shared" si="1"/>
        <v>0</v>
      </c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9">
        <f t="shared" si="1"/>
        <v>0</v>
      </c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9">
        <f t="shared" si="1"/>
        <v>0</v>
      </c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9">
        <f t="shared" si="1"/>
        <v>0</v>
      </c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9">
        <f t="shared" si="1"/>
        <v>0</v>
      </c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9">
        <f t="shared" si="1"/>
        <v>0</v>
      </c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9">
        <f t="shared" si="1"/>
        <v>0</v>
      </c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9">
        <f t="shared" si="1"/>
        <v>0</v>
      </c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9">
        <f t="shared" si="1"/>
        <v>0</v>
      </c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9">
        <f t="shared" si="1"/>
        <v>0</v>
      </c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9">
        <f t="shared" si="1"/>
        <v>0</v>
      </c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9">
        <f t="shared" si="1"/>
        <v>0</v>
      </c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9">
        <f t="shared" si="1"/>
        <v>0</v>
      </c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9">
        <f t="shared" si="1"/>
        <v>0</v>
      </c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9">
        <f t="shared" si="1"/>
        <v>0</v>
      </c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9">
        <f t="shared" si="1"/>
        <v>0</v>
      </c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9">
        <f t="shared" si="1"/>
        <v>0</v>
      </c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9">
        <f t="shared" si="1"/>
        <v>0</v>
      </c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9">
        <f t="shared" si="1"/>
        <v>0</v>
      </c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9">
        <f t="shared" si="1"/>
        <v>0</v>
      </c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9">
        <f t="shared" si="1"/>
        <v>0</v>
      </c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9">
        <f t="shared" si="1"/>
        <v>0</v>
      </c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9">
        <f t="shared" si="1"/>
        <v>0</v>
      </c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9">
        <f t="shared" si="1"/>
        <v>0</v>
      </c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9">
        <f t="shared" si="1"/>
        <v>0</v>
      </c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9">
        <f t="shared" si="1"/>
        <v>0</v>
      </c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9">
        <f t="shared" si="1"/>
        <v>0</v>
      </c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9">
        <f t="shared" si="1"/>
        <v>0</v>
      </c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9">
        <f t="shared" si="1"/>
        <v>0</v>
      </c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9">
        <f t="shared" si="1"/>
        <v>0</v>
      </c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9">
        <f t="shared" si="1"/>
        <v>0</v>
      </c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9">
        <f t="shared" si="1"/>
        <v>0</v>
      </c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9">
        <f t="shared" si="1"/>
        <v>0</v>
      </c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9">
        <f t="shared" si="1"/>
        <v>0</v>
      </c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9">
        <f t="shared" si="1"/>
        <v>0</v>
      </c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9">
        <f t="shared" si="1"/>
        <v>0</v>
      </c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9">
        <f t="shared" si="1"/>
        <v>0</v>
      </c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9">
        <f t="shared" si="1"/>
        <v>0</v>
      </c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9">
        <f t="shared" si="1"/>
        <v>0</v>
      </c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9">
        <f t="shared" si="1"/>
        <v>0</v>
      </c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9">
        <f t="shared" si="1"/>
        <v>0</v>
      </c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9">
        <f t="shared" si="1"/>
        <v>0</v>
      </c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9">
        <f t="shared" si="1"/>
        <v>0</v>
      </c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9">
        <f t="shared" si="1"/>
        <v>0</v>
      </c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9">
        <f t="shared" si="1"/>
        <v>0</v>
      </c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9">
        <f t="shared" si="1"/>
        <v>0</v>
      </c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9">
        <f t="shared" si="1"/>
        <v>0</v>
      </c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9">
        <f t="shared" si="1"/>
        <v>0</v>
      </c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9">
        <f t="shared" si="1"/>
        <v>0</v>
      </c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9">
        <f t="shared" si="1"/>
        <v>0</v>
      </c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9">
        <f t="shared" si="1"/>
        <v>0</v>
      </c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9">
        <f t="shared" si="1"/>
        <v>0</v>
      </c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9">
        <f t="shared" si="1"/>
        <v>0</v>
      </c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9">
        <f t="shared" si="1"/>
        <v>0</v>
      </c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9">
        <f t="shared" si="1"/>
        <v>0</v>
      </c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9">
        <f t="shared" si="1"/>
        <v>0</v>
      </c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9">
        <f t="shared" si="1"/>
        <v>0</v>
      </c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9">
        <f t="shared" si="1"/>
        <v>0</v>
      </c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9">
        <f t="shared" si="1"/>
        <v>0</v>
      </c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9">
        <f t="shared" si="1"/>
        <v>0</v>
      </c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9">
        <f t="shared" si="1"/>
        <v>0</v>
      </c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9">
        <f t="shared" si="1"/>
        <v>0</v>
      </c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9">
        <f t="shared" si="1"/>
        <v>0</v>
      </c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9">
        <f t="shared" si="1"/>
        <v>0</v>
      </c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9">
        <f t="shared" si="1"/>
        <v>0</v>
      </c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9">
        <f t="shared" si="1"/>
        <v>0</v>
      </c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9">
        <f t="shared" si="1"/>
        <v>0</v>
      </c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9">
        <f t="shared" si="1"/>
        <v>0</v>
      </c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9">
        <f t="shared" si="1"/>
        <v>0</v>
      </c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9">
        <f t="shared" si="1"/>
        <v>0</v>
      </c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9">
        <f t="shared" si="1"/>
        <v>0</v>
      </c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9">
        <f t="shared" si="1"/>
        <v>0</v>
      </c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9">
        <f t="shared" si="1"/>
        <v>0</v>
      </c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9">
        <f t="shared" si="1"/>
        <v>0</v>
      </c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9">
        <f t="shared" si="1"/>
        <v>0</v>
      </c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9">
        <f t="shared" si="1"/>
        <v>0</v>
      </c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9">
        <f t="shared" si="1"/>
        <v>0</v>
      </c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9">
        <f t="shared" si="1"/>
        <v>0</v>
      </c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9">
        <f t="shared" si="1"/>
        <v>0</v>
      </c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9">
        <f t="shared" si="1"/>
        <v>0</v>
      </c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9">
        <f t="shared" si="1"/>
        <v>0</v>
      </c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9">
        <f t="shared" si="1"/>
        <v>0</v>
      </c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9">
        <f t="shared" si="1"/>
        <v>0</v>
      </c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9">
        <f t="shared" si="1"/>
        <v>0</v>
      </c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9">
        <f t="shared" si="1"/>
        <v>0</v>
      </c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9">
        <f t="shared" si="1"/>
        <v>0</v>
      </c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9">
        <f t="shared" si="1"/>
        <v>0</v>
      </c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9">
        <f t="shared" si="1"/>
        <v>0</v>
      </c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9">
        <f t="shared" si="1"/>
        <v>0</v>
      </c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9">
        <f t="shared" si="1"/>
        <v>0</v>
      </c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9">
        <f t="shared" si="1"/>
        <v>0</v>
      </c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9">
        <f t="shared" si="1"/>
        <v>0</v>
      </c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9">
        <f t="shared" si="1"/>
        <v>0</v>
      </c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9">
        <f t="shared" si="1"/>
        <v>0</v>
      </c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9">
        <f t="shared" si="1"/>
        <v>0</v>
      </c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9">
        <f t="shared" si="1"/>
        <v>0</v>
      </c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9">
        <f t="shared" si="1"/>
        <v>0</v>
      </c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9">
        <f t="shared" si="1"/>
        <v>0</v>
      </c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9">
        <f t="shared" si="1"/>
        <v>0</v>
      </c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9">
        <f t="shared" si="1"/>
        <v>0</v>
      </c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9">
        <f t="shared" si="1"/>
        <v>0</v>
      </c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9">
        <f t="shared" si="1"/>
        <v>0</v>
      </c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9">
        <f t="shared" si="1"/>
        <v>0</v>
      </c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9">
        <f t="shared" si="1"/>
        <v>0</v>
      </c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9">
        <f t="shared" si="1"/>
        <v>0</v>
      </c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9">
        <f t="shared" si="1"/>
        <v>0</v>
      </c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9">
        <f t="shared" si="1"/>
        <v>0</v>
      </c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9">
        <f t="shared" si="1"/>
        <v>0</v>
      </c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9">
        <f t="shared" si="1"/>
        <v>0</v>
      </c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9">
        <f t="shared" si="1"/>
        <v>0</v>
      </c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9">
        <f t="shared" si="1"/>
        <v>0</v>
      </c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9">
        <f t="shared" si="1"/>
        <v>0</v>
      </c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9">
        <f t="shared" si="1"/>
        <v>0</v>
      </c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9">
        <f t="shared" si="1"/>
        <v>0</v>
      </c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9">
        <f t="shared" si="1"/>
        <v>0</v>
      </c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9">
        <f t="shared" si="1"/>
        <v>0</v>
      </c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9">
        <f t="shared" si="1"/>
        <v>0</v>
      </c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9">
        <f t="shared" si="1"/>
        <v>0</v>
      </c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9">
        <f t="shared" si="1"/>
        <v>0</v>
      </c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9">
        <f t="shared" si="1"/>
        <v>0</v>
      </c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9">
        <f t="shared" si="1"/>
        <v>0</v>
      </c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9">
        <f t="shared" si="1"/>
        <v>0</v>
      </c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9">
        <f t="shared" si="1"/>
        <v>0</v>
      </c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9">
        <f t="shared" si="1"/>
        <v>0</v>
      </c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9">
        <f t="shared" si="1"/>
        <v>0</v>
      </c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9">
        <f t="shared" si="1"/>
        <v>0</v>
      </c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9">
        <f t="shared" si="1"/>
        <v>0</v>
      </c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9">
        <f t="shared" si="1"/>
        <v>0</v>
      </c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9">
        <f t="shared" si="1"/>
        <v>0</v>
      </c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9">
        <f t="shared" si="1"/>
        <v>0</v>
      </c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9">
        <f t="shared" si="1"/>
        <v>0</v>
      </c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9">
        <f t="shared" si="1"/>
        <v>0</v>
      </c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9">
        <f t="shared" si="1"/>
        <v>0</v>
      </c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9">
        <f t="shared" si="1"/>
        <v>0</v>
      </c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9">
        <f t="shared" si="1"/>
        <v>0</v>
      </c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9">
        <f t="shared" si="1"/>
        <v>0</v>
      </c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9">
        <f t="shared" si="1"/>
        <v>0</v>
      </c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9">
        <f t="shared" si="1"/>
        <v>0</v>
      </c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9">
        <f t="shared" si="1"/>
        <v>0</v>
      </c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9">
        <f t="shared" si="1"/>
        <v>0</v>
      </c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9">
        <f t="shared" si="1"/>
        <v>0</v>
      </c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9">
        <f t="shared" si="1"/>
        <v>0</v>
      </c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9">
        <f t="shared" si="1"/>
        <v>0</v>
      </c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9">
        <f t="shared" si="1"/>
        <v>0</v>
      </c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9">
        <f t="shared" si="1"/>
        <v>0</v>
      </c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9">
        <f t="shared" si="1"/>
        <v>0</v>
      </c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9">
        <f t="shared" si="1"/>
        <v>0</v>
      </c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9">
        <f t="shared" si="1"/>
        <v>0</v>
      </c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9">
        <f t="shared" si="1"/>
        <v>0</v>
      </c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9">
        <f t="shared" si="1"/>
        <v>0</v>
      </c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9">
        <f t="shared" si="1"/>
        <v>0</v>
      </c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9">
        <f t="shared" si="1"/>
        <v>0</v>
      </c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9">
        <f t="shared" si="1"/>
        <v>0</v>
      </c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9">
        <f t="shared" si="1"/>
        <v>0</v>
      </c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9">
        <f t="shared" si="1"/>
        <v>0</v>
      </c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9">
        <f t="shared" si="1"/>
        <v>0</v>
      </c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9">
        <f t="shared" si="1"/>
        <v>0</v>
      </c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9">
        <f t="shared" si="1"/>
        <v>0</v>
      </c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9">
        <f t="shared" si="1"/>
        <v>0</v>
      </c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9">
        <f t="shared" si="1"/>
        <v>0</v>
      </c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9">
        <f t="shared" si="1"/>
        <v>0</v>
      </c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9">
        <f t="shared" si="1"/>
        <v>0</v>
      </c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9">
        <f t="shared" si="1"/>
        <v>0</v>
      </c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9">
        <f t="shared" si="1"/>
        <v>0</v>
      </c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9">
        <f t="shared" si="1"/>
        <v>0</v>
      </c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9">
        <f t="shared" si="1"/>
        <v>0</v>
      </c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9">
        <f t="shared" si="1"/>
        <v>0</v>
      </c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9">
        <f t="shared" si="1"/>
        <v>0</v>
      </c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9">
        <f t="shared" si="1"/>
        <v>0</v>
      </c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9">
        <f t="shared" si="1"/>
        <v>0</v>
      </c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9">
        <f t="shared" si="1"/>
        <v>0</v>
      </c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9">
        <f t="shared" si="1"/>
        <v>0</v>
      </c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9">
        <f t="shared" si="1"/>
        <v>0</v>
      </c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9">
        <f t="shared" si="1"/>
        <v>0</v>
      </c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9">
        <f t="shared" si="1"/>
        <v>0</v>
      </c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9">
        <f t="shared" si="1"/>
        <v>0</v>
      </c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si="1"/>
        <v>0</v>
      </c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9">
        <f t="shared" si="1"/>
        <v>0</v>
      </c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9">
        <f t="shared" si="1"/>
        <v>0</v>
      </c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9">
        <f t="shared" si="1"/>
        <v>0</v>
      </c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9">
        <f t="shared" si="1"/>
        <v>0</v>
      </c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9">
        <f t="shared" si="1"/>
        <v>0</v>
      </c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9">
        <f t="shared" si="1"/>
        <v>0</v>
      </c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9">
        <f t="shared" si="1"/>
        <v>0</v>
      </c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9">
        <f t="shared" si="1"/>
        <v>0</v>
      </c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9">
        <f t="shared" si="1"/>
        <v>0</v>
      </c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9">
        <f t="shared" si="1"/>
        <v>0</v>
      </c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9">
        <f t="shared" si="1"/>
        <v>0</v>
      </c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9">
        <f t="shared" si="1"/>
        <v>0</v>
      </c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9">
        <f t="shared" si="1"/>
        <v>0</v>
      </c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9">
        <f t="shared" si="1"/>
        <v>0</v>
      </c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9">
        <f t="shared" si="1"/>
        <v>0</v>
      </c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9">
        <f t="shared" si="1"/>
        <v>0</v>
      </c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9">
        <f t="shared" si="1"/>
        <v>0</v>
      </c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9">
        <f t="shared" si="1"/>
        <v>0</v>
      </c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9">
        <f t="shared" si="1"/>
        <v>0</v>
      </c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9">
        <f t="shared" si="1"/>
        <v>0</v>
      </c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9">
        <f t="shared" si="1"/>
        <v>0</v>
      </c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9">
        <f t="shared" si="1"/>
        <v>0</v>
      </c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9">
        <f t="shared" si="1"/>
        <v>0</v>
      </c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9">
        <f t="shared" si="1"/>
        <v>0</v>
      </c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9">
        <f t="shared" si="1"/>
        <v>0</v>
      </c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9">
        <f t="shared" si="1"/>
        <v>0</v>
      </c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9">
        <f t="shared" si="1"/>
        <v>0</v>
      </c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9">
        <f t="shared" si="1"/>
        <v>0</v>
      </c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9">
        <f t="shared" si="1"/>
        <v>0</v>
      </c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9">
        <f t="shared" si="1"/>
        <v>0</v>
      </c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9">
        <f t="shared" si="1"/>
        <v>0</v>
      </c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9">
        <f t="shared" si="1"/>
        <v>0</v>
      </c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9">
        <f t="shared" si="1"/>
        <v>0</v>
      </c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9">
        <f t="shared" si="1"/>
        <v>0</v>
      </c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9">
        <f t="shared" si="1"/>
        <v>0</v>
      </c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9">
        <f t="shared" si="1"/>
        <v>0</v>
      </c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9">
        <f t="shared" si="1"/>
        <v>0</v>
      </c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9">
        <f t="shared" si="1"/>
        <v>0</v>
      </c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9">
        <f t="shared" si="1"/>
        <v>0</v>
      </c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9">
        <f t="shared" si="1"/>
        <v>0</v>
      </c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9">
        <f t="shared" si="1"/>
        <v>0</v>
      </c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9">
        <f t="shared" si="1"/>
        <v>0</v>
      </c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9">
        <f t="shared" si="1"/>
        <v>0</v>
      </c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9">
        <f t="shared" si="1"/>
        <v>0</v>
      </c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9">
        <f t="shared" si="1"/>
        <v>0</v>
      </c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9">
        <f t="shared" si="1"/>
        <v>0</v>
      </c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9">
        <f t="shared" si="1"/>
        <v>0</v>
      </c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9">
        <f t="shared" si="1"/>
        <v>0</v>
      </c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9">
        <f t="shared" si="1"/>
        <v>0</v>
      </c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9">
        <f t="shared" si="1"/>
        <v>0</v>
      </c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9">
        <f t="shared" si="1"/>
        <v>0</v>
      </c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9">
        <f t="shared" si="1"/>
        <v>0</v>
      </c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9">
        <f t="shared" si="1"/>
        <v>0</v>
      </c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9">
        <f t="shared" si="1"/>
        <v>0</v>
      </c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9">
        <f t="shared" si="1"/>
        <v>0</v>
      </c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9">
        <f t="shared" si="1"/>
        <v>0</v>
      </c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9">
        <f t="shared" si="1"/>
        <v>0</v>
      </c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9">
        <f t="shared" si="1"/>
        <v>0</v>
      </c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9">
        <f t="shared" si="1"/>
        <v>0</v>
      </c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9">
        <f t="shared" si="1"/>
        <v>0</v>
      </c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9">
        <f t="shared" si="1"/>
        <v>0</v>
      </c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9">
        <f t="shared" si="1"/>
        <v>0</v>
      </c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9">
        <f t="shared" si="1"/>
        <v>0</v>
      </c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9">
        <f t="shared" si="1"/>
        <v>0</v>
      </c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9">
        <f t="shared" si="1"/>
        <v>0</v>
      </c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9">
        <f t="shared" si="1"/>
        <v>0</v>
      </c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9">
        <f t="shared" si="1"/>
        <v>0</v>
      </c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9">
        <f t="shared" si="1"/>
        <v>0</v>
      </c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9">
        <f t="shared" si="1"/>
        <v>0</v>
      </c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9">
        <f t="shared" si="1"/>
        <v>0</v>
      </c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9">
        <f t="shared" si="1"/>
        <v>0</v>
      </c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9">
        <f t="shared" si="1"/>
        <v>0</v>
      </c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9">
        <f t="shared" si="1"/>
        <v>0</v>
      </c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9">
        <f t="shared" si="1"/>
        <v>0</v>
      </c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9">
        <f t="shared" si="1"/>
        <v>0</v>
      </c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9">
        <f t="shared" si="1"/>
        <v>0</v>
      </c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9">
        <f t="shared" si="1"/>
        <v>0</v>
      </c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9">
        <f t="shared" si="1"/>
        <v>0</v>
      </c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9">
        <f t="shared" si="1"/>
        <v>0</v>
      </c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9">
        <f t="shared" si="1"/>
        <v>0</v>
      </c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9">
        <f t="shared" si="1"/>
        <v>0</v>
      </c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9">
        <f t="shared" si="1"/>
        <v>0</v>
      </c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9">
        <f t="shared" si="1"/>
        <v>0</v>
      </c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9">
        <f t="shared" si="1"/>
        <v>0</v>
      </c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9">
        <f t="shared" si="1"/>
        <v>0</v>
      </c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9">
        <f t="shared" si="1"/>
        <v>0</v>
      </c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9">
        <f t="shared" si="1"/>
        <v>0</v>
      </c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9">
        <f t="shared" si="1"/>
        <v>0</v>
      </c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9">
        <f t="shared" si="1"/>
        <v>0</v>
      </c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9">
        <f t="shared" si="1"/>
        <v>0</v>
      </c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9">
        <f t="shared" si="1"/>
        <v>0</v>
      </c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9">
        <f t="shared" si="1"/>
        <v>0</v>
      </c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9">
        <f t="shared" si="1"/>
        <v>0</v>
      </c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9">
        <f t="shared" si="1"/>
        <v>0</v>
      </c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9">
        <f t="shared" si="1"/>
        <v>0</v>
      </c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9">
        <f t="shared" si="1"/>
        <v>0</v>
      </c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9">
        <f t="shared" si="1"/>
        <v>0</v>
      </c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9">
        <f t="shared" si="1"/>
        <v>0</v>
      </c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9">
        <f t="shared" si="1"/>
        <v>0</v>
      </c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9">
        <f t="shared" si="1"/>
        <v>0</v>
      </c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9">
        <f t="shared" si="1"/>
        <v>0</v>
      </c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9">
        <f t="shared" si="1"/>
        <v>0</v>
      </c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9">
        <f t="shared" si="1"/>
        <v>0</v>
      </c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9">
        <f t="shared" si="1"/>
        <v>0</v>
      </c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9">
        <f t="shared" si="1"/>
        <v>0</v>
      </c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9">
        <f t="shared" si="1"/>
        <v>0</v>
      </c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9">
        <f t="shared" si="1"/>
        <v>0</v>
      </c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9">
        <f t="shared" si="1"/>
        <v>0</v>
      </c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9">
        <f t="shared" si="1"/>
        <v>0</v>
      </c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9">
        <f t="shared" si="1"/>
        <v>0</v>
      </c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9">
        <f t="shared" si="1"/>
        <v>0</v>
      </c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9">
        <f t="shared" si="1"/>
        <v>0</v>
      </c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9">
        <f t="shared" si="1"/>
        <v>0</v>
      </c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9">
        <f t="shared" si="1"/>
        <v>0</v>
      </c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9">
        <f t="shared" si="1"/>
        <v>0</v>
      </c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9">
        <f t="shared" si="1"/>
        <v>0</v>
      </c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9">
        <f t="shared" si="1"/>
        <v>0</v>
      </c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9">
        <f t="shared" si="1"/>
        <v>0</v>
      </c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9">
        <f t="shared" si="1"/>
        <v>0</v>
      </c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9">
        <f t="shared" si="1"/>
        <v>0</v>
      </c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9">
        <f t="shared" si="1"/>
        <v>0</v>
      </c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9">
        <f t="shared" si="1"/>
        <v>0</v>
      </c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9">
        <f t="shared" si="1"/>
        <v>0</v>
      </c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9">
        <f t="shared" si="1"/>
        <v>0</v>
      </c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9">
        <f t="shared" si="1"/>
        <v>0</v>
      </c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9">
        <f t="shared" si="1"/>
        <v>0</v>
      </c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9">
        <f t="shared" si="1"/>
        <v>0</v>
      </c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9">
        <f t="shared" si="1"/>
        <v>0</v>
      </c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9">
        <f t="shared" si="1"/>
        <v>0</v>
      </c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9">
        <f t="shared" si="1"/>
        <v>0</v>
      </c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9">
        <f t="shared" si="1"/>
        <v>0</v>
      </c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9">
        <f t="shared" si="1"/>
        <v>0</v>
      </c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9">
        <f t="shared" si="1"/>
        <v>0</v>
      </c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9">
        <f t="shared" si="1"/>
        <v>0</v>
      </c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9">
        <f t="shared" si="1"/>
        <v>0</v>
      </c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9">
        <f t="shared" si="1"/>
        <v>0</v>
      </c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9">
        <f t="shared" si="1"/>
        <v>0</v>
      </c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9">
        <f t="shared" si="1"/>
        <v>0</v>
      </c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9">
        <f t="shared" si="1"/>
        <v>0</v>
      </c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9">
        <f t="shared" si="1"/>
        <v>0</v>
      </c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9">
        <f t="shared" si="1"/>
        <v>0</v>
      </c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9">
        <f t="shared" si="1"/>
        <v>0</v>
      </c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9">
        <f t="shared" si="1"/>
        <v>0</v>
      </c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9">
        <f t="shared" si="1"/>
        <v>0</v>
      </c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9">
        <f t="shared" si="1"/>
        <v>0</v>
      </c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9">
        <f t="shared" si="1"/>
        <v>0</v>
      </c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9">
        <f t="shared" si="1"/>
        <v>0</v>
      </c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9">
        <f t="shared" si="1"/>
        <v>0</v>
      </c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9">
        <f t="shared" si="1"/>
        <v>0</v>
      </c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9">
        <f t="shared" si="1"/>
        <v>0</v>
      </c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9">
        <f t="shared" si="1"/>
        <v>0</v>
      </c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9">
        <f t="shared" si="1"/>
        <v>0</v>
      </c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9">
        <f t="shared" si="1"/>
        <v>0</v>
      </c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9">
        <f t="shared" si="1"/>
        <v>0</v>
      </c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9">
        <f t="shared" si="1"/>
        <v>0</v>
      </c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9">
        <f t="shared" si="1"/>
        <v>0</v>
      </c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9">
        <f t="shared" si="1"/>
        <v>0</v>
      </c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9">
        <f t="shared" si="1"/>
        <v>0</v>
      </c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9">
        <f t="shared" si="1"/>
        <v>0</v>
      </c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9">
        <f t="shared" si="1"/>
        <v>0</v>
      </c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9">
        <f t="shared" si="1"/>
        <v>0</v>
      </c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9">
        <f t="shared" si="1"/>
        <v>0</v>
      </c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9">
        <f t="shared" si="1"/>
        <v>0</v>
      </c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9">
        <f t="shared" si="1"/>
        <v>0</v>
      </c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9">
        <f t="shared" si="1"/>
        <v>0</v>
      </c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9">
        <f t="shared" si="1"/>
        <v>0</v>
      </c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9">
        <f t="shared" si="1"/>
        <v>0</v>
      </c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9">
        <f t="shared" si="1"/>
        <v>0</v>
      </c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9">
        <f t="shared" si="1"/>
        <v>0</v>
      </c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9">
        <f t="shared" si="1"/>
        <v>0</v>
      </c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9">
        <f t="shared" si="1"/>
        <v>0</v>
      </c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9">
        <f t="shared" si="1"/>
        <v>0</v>
      </c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9">
        <f t="shared" si="1"/>
        <v>0</v>
      </c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9">
        <f t="shared" si="1"/>
        <v>0</v>
      </c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9">
        <f t="shared" si="1"/>
        <v>0</v>
      </c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9">
        <f t="shared" si="1"/>
        <v>0</v>
      </c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9">
        <f t="shared" si="1"/>
        <v>0</v>
      </c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9">
        <f t="shared" si="1"/>
        <v>0</v>
      </c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9">
        <f t="shared" si="1"/>
        <v>0</v>
      </c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9">
        <f t="shared" si="1"/>
        <v>0</v>
      </c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9">
        <f t="shared" si="1"/>
        <v>0</v>
      </c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9">
        <f t="shared" si="1"/>
        <v>0</v>
      </c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9">
        <f t="shared" si="1"/>
        <v>0</v>
      </c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9">
        <f t="shared" si="1"/>
        <v>0</v>
      </c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9">
        <f t="shared" si="1"/>
        <v>0</v>
      </c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9">
        <f t="shared" si="1"/>
        <v>0</v>
      </c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9">
        <f t="shared" si="1"/>
        <v>0</v>
      </c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9">
        <f t="shared" si="1"/>
        <v>0</v>
      </c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9">
        <f t="shared" si="1"/>
        <v>0</v>
      </c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9">
        <f t="shared" si="1"/>
        <v>0</v>
      </c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9">
        <f t="shared" si="1"/>
        <v>0</v>
      </c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9">
        <f t="shared" si="1"/>
        <v>0</v>
      </c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9">
        <f t="shared" si="1"/>
        <v>0</v>
      </c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9">
        <f t="shared" si="1"/>
        <v>0</v>
      </c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9">
        <f t="shared" si="1"/>
        <v>0</v>
      </c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9">
        <f t="shared" si="1"/>
        <v>0</v>
      </c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9">
        <f t="shared" si="1"/>
        <v>0</v>
      </c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9">
        <f t="shared" si="1"/>
        <v>0</v>
      </c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9">
        <f t="shared" si="1"/>
        <v>0</v>
      </c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9">
        <f t="shared" si="1"/>
        <v>0</v>
      </c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9">
        <f t="shared" si="1"/>
        <v>0</v>
      </c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9">
        <f t="shared" si="1"/>
        <v>0</v>
      </c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9">
        <f t="shared" si="1"/>
        <v>0</v>
      </c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9">
        <f t="shared" si="1"/>
        <v>0</v>
      </c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9">
        <f t="shared" si="1"/>
        <v>0</v>
      </c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9">
        <f t="shared" si="1"/>
        <v>0</v>
      </c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9">
        <f t="shared" si="1"/>
        <v>0</v>
      </c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9">
        <f t="shared" si="1"/>
        <v>0</v>
      </c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9">
        <f t="shared" si="1"/>
        <v>0</v>
      </c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9">
        <f t="shared" si="1"/>
        <v>0</v>
      </c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9">
        <f t="shared" si="1"/>
        <v>0</v>
      </c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9">
        <f t="shared" si="1"/>
        <v>0</v>
      </c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9">
        <f t="shared" si="1"/>
        <v>0</v>
      </c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9">
        <f t="shared" si="1"/>
        <v>0</v>
      </c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9">
        <f t="shared" si="1"/>
        <v>0</v>
      </c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9">
        <f t="shared" si="1"/>
        <v>0</v>
      </c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9">
        <f t="shared" si="1"/>
        <v>0</v>
      </c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9">
        <f t="shared" si="1"/>
        <v>0</v>
      </c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9">
        <f t="shared" si="1"/>
        <v>0</v>
      </c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9">
        <f t="shared" si="1"/>
        <v>0</v>
      </c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9">
        <f t="shared" si="1"/>
        <v>0</v>
      </c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9">
        <f t="shared" si="1"/>
        <v>0</v>
      </c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9">
        <f t="shared" si="1"/>
        <v>0</v>
      </c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9">
        <f t="shared" si="1"/>
        <v>0</v>
      </c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9">
        <f t="shared" si="1"/>
        <v>0</v>
      </c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9">
        <f t="shared" si="1"/>
        <v>0</v>
      </c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9">
        <f t="shared" si="1"/>
        <v>0</v>
      </c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9">
        <f t="shared" si="1"/>
        <v>0</v>
      </c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9">
        <f t="shared" si="1"/>
        <v>0</v>
      </c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9">
        <f t="shared" si="1"/>
        <v>0</v>
      </c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9">
        <f t="shared" si="1"/>
        <v>0</v>
      </c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9">
        <f t="shared" si="1"/>
        <v>0</v>
      </c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9">
        <f t="shared" si="1"/>
        <v>0</v>
      </c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9">
        <f t="shared" si="1"/>
        <v>0</v>
      </c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9">
        <f t="shared" si="1"/>
        <v>0</v>
      </c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9">
        <f t="shared" si="1"/>
        <v>0</v>
      </c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9">
        <f t="shared" si="1"/>
        <v>0</v>
      </c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9">
        <f t="shared" si="1"/>
        <v>0</v>
      </c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9">
        <f t="shared" si="1"/>
        <v>0</v>
      </c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9">
        <f t="shared" si="1"/>
        <v>0</v>
      </c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9">
        <f t="shared" si="1"/>
        <v>0</v>
      </c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9">
        <f t="shared" si="1"/>
        <v>0</v>
      </c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9">
        <f t="shared" si="1"/>
        <v>0</v>
      </c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9">
        <f t="shared" si="1"/>
        <v>0</v>
      </c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9">
        <f t="shared" si="1"/>
        <v>0</v>
      </c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9">
        <f t="shared" si="1"/>
        <v>0</v>
      </c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9">
        <f t="shared" si="1"/>
        <v>0</v>
      </c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9">
        <f t="shared" si="1"/>
        <v>0</v>
      </c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9">
        <f t="shared" si="1"/>
        <v>0</v>
      </c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9">
        <f t="shared" si="1"/>
        <v>0</v>
      </c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9">
        <f t="shared" si="1"/>
        <v>0</v>
      </c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9">
        <f t="shared" si="1"/>
        <v>0</v>
      </c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9">
        <f t="shared" si="1"/>
        <v>0</v>
      </c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9">
        <f t="shared" si="1"/>
        <v>0</v>
      </c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9">
        <f t="shared" si="1"/>
        <v>0</v>
      </c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9">
        <f t="shared" si="1"/>
        <v>0</v>
      </c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9">
        <f t="shared" si="1"/>
        <v>0</v>
      </c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9">
        <f t="shared" si="1"/>
        <v>0</v>
      </c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9">
        <f t="shared" si="1"/>
        <v>0</v>
      </c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9">
        <f t="shared" si="1"/>
        <v>0</v>
      </c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9">
        <f t="shared" si="1"/>
        <v>0</v>
      </c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9">
        <f t="shared" si="1"/>
        <v>0</v>
      </c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9">
        <f t="shared" si="1"/>
        <v>0</v>
      </c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9">
        <f t="shared" si="1"/>
        <v>0</v>
      </c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9">
        <f t="shared" si="1"/>
        <v>0</v>
      </c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9">
        <f t="shared" si="1"/>
        <v>0</v>
      </c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9">
        <f t="shared" si="1"/>
        <v>0</v>
      </c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9">
        <f t="shared" si="1"/>
        <v>0</v>
      </c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9">
        <f t="shared" si="1"/>
        <v>0</v>
      </c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9">
        <f t="shared" si="1"/>
        <v>0</v>
      </c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9">
        <f t="shared" si="1"/>
        <v>0</v>
      </c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9">
        <f t="shared" si="1"/>
        <v>0</v>
      </c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9">
        <f t="shared" si="1"/>
        <v>0</v>
      </c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9">
        <f t="shared" si="1"/>
        <v>0</v>
      </c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9">
        <f t="shared" si="1"/>
        <v>0</v>
      </c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9">
        <f t="shared" si="1"/>
        <v>0</v>
      </c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9">
        <f t="shared" si="1"/>
        <v>0</v>
      </c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9">
        <f t="shared" si="1"/>
        <v>0</v>
      </c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9">
        <f t="shared" si="1"/>
        <v>0</v>
      </c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9">
        <f t="shared" si="1"/>
        <v>0</v>
      </c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9">
        <f t="shared" si="1"/>
        <v>0</v>
      </c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9">
        <f t="shared" si="1"/>
        <v>0</v>
      </c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9">
        <f t="shared" si="1"/>
        <v>0</v>
      </c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9">
        <f t="shared" si="1"/>
        <v>0</v>
      </c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9">
        <f t="shared" si="1"/>
        <v>0</v>
      </c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9">
        <f t="shared" si="1"/>
        <v>0</v>
      </c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9">
        <f t="shared" si="1"/>
        <v>0</v>
      </c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9">
        <f t="shared" si="1"/>
        <v>0</v>
      </c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9">
        <f t="shared" si="1"/>
        <v>0</v>
      </c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9">
        <f t="shared" si="1"/>
        <v>0</v>
      </c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9">
        <f t="shared" si="1"/>
        <v>0</v>
      </c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9">
        <f t="shared" si="1"/>
        <v>0</v>
      </c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9">
        <f t="shared" si="1"/>
        <v>0</v>
      </c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9">
        <f t="shared" si="1"/>
        <v>0</v>
      </c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9">
        <f t="shared" si="1"/>
        <v>0</v>
      </c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9">
        <f t="shared" si="1"/>
        <v>0</v>
      </c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9">
        <f t="shared" si="1"/>
        <v>0</v>
      </c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9">
        <f t="shared" si="1"/>
        <v>0</v>
      </c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9">
        <f t="shared" si="1"/>
        <v>0</v>
      </c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9">
        <f t="shared" si="1"/>
        <v>0</v>
      </c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9">
        <f t="shared" si="1"/>
        <v>0</v>
      </c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9">
        <f t="shared" si="1"/>
        <v>0</v>
      </c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9">
        <f t="shared" si="1"/>
        <v>0</v>
      </c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9">
        <f t="shared" si="1"/>
        <v>0</v>
      </c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9">
        <f t="shared" si="1"/>
        <v>0</v>
      </c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9">
        <f t="shared" si="1"/>
        <v>0</v>
      </c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9">
        <f t="shared" si="1"/>
        <v>0</v>
      </c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9">
        <f t="shared" si="1"/>
        <v>0</v>
      </c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9">
        <f t="shared" si="1"/>
        <v>0</v>
      </c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9">
        <f t="shared" si="1"/>
        <v>0</v>
      </c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9">
        <f t="shared" si="1"/>
        <v>0</v>
      </c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9">
        <f t="shared" si="1"/>
        <v>0</v>
      </c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9">
        <f t="shared" si="1"/>
        <v>0</v>
      </c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9">
        <f t="shared" si="1"/>
        <v>0</v>
      </c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9">
        <f t="shared" si="1"/>
        <v>0</v>
      </c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9">
        <f t="shared" si="1"/>
        <v>0</v>
      </c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9">
        <f t="shared" si="1"/>
        <v>0</v>
      </c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9">
        <f t="shared" si="1"/>
        <v>0</v>
      </c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9">
        <f t="shared" si="1"/>
        <v>0</v>
      </c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9">
        <f t="shared" si="1"/>
        <v>0</v>
      </c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9">
        <f t="shared" si="1"/>
        <v>0</v>
      </c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9">
        <f t="shared" si="1"/>
        <v>0</v>
      </c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9">
        <f t="shared" si="1"/>
        <v>0</v>
      </c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9">
        <f t="shared" si="1"/>
        <v>0</v>
      </c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9">
        <f t="shared" si="1"/>
        <v>0</v>
      </c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9">
        <f t="shared" si="1"/>
        <v>0</v>
      </c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9">
        <f t="shared" si="1"/>
        <v>0</v>
      </c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9">
        <f t="shared" si="1"/>
        <v>0</v>
      </c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9">
        <f t="shared" si="1"/>
        <v>0</v>
      </c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9">
        <f t="shared" si="1"/>
        <v>0</v>
      </c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9">
        <f t="shared" si="1"/>
        <v>0</v>
      </c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9">
        <f t="shared" si="1"/>
        <v>0</v>
      </c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9">
        <f t="shared" si="1"/>
        <v>0</v>
      </c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9">
        <f t="shared" si="1"/>
        <v>0</v>
      </c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9">
        <f t="shared" si="1"/>
        <v>0</v>
      </c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9">
        <f t="shared" si="1"/>
        <v>0</v>
      </c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9">
        <f t="shared" si="1"/>
        <v>0</v>
      </c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9">
        <f t="shared" si="1"/>
        <v>0</v>
      </c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9">
        <f t="shared" si="1"/>
        <v>0</v>
      </c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9">
        <f t="shared" si="1"/>
        <v>0</v>
      </c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9">
        <f t="shared" si="1"/>
        <v>0</v>
      </c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9">
        <f t="shared" si="1"/>
        <v>0</v>
      </c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9">
        <f t="shared" si="1"/>
        <v>0</v>
      </c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9">
        <f t="shared" si="1"/>
        <v>0</v>
      </c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9">
        <f t="shared" si="1"/>
        <v>0</v>
      </c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9">
        <f t="shared" si="1"/>
        <v>0</v>
      </c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9">
        <f t="shared" si="1"/>
        <v>0</v>
      </c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9">
        <f t="shared" si="1"/>
        <v>0</v>
      </c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9">
        <f t="shared" si="1"/>
        <v>0</v>
      </c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9">
        <f t="shared" si="1"/>
        <v>0</v>
      </c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9">
        <f t="shared" si="1"/>
        <v>0</v>
      </c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9">
        <f t="shared" si="1"/>
        <v>0</v>
      </c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9">
        <f t="shared" si="1"/>
        <v>0</v>
      </c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9">
        <f t="shared" si="1"/>
        <v>0</v>
      </c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9">
        <f t="shared" si="1"/>
        <v>0</v>
      </c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9">
        <f t="shared" si="1"/>
        <v>0</v>
      </c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9">
        <f t="shared" si="1"/>
        <v>0</v>
      </c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9">
        <f t="shared" si="1"/>
        <v>0</v>
      </c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9">
        <f t="shared" si="1"/>
        <v>0</v>
      </c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9">
        <f t="shared" si="1"/>
        <v>0</v>
      </c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9">
        <f t="shared" si="1"/>
        <v>0</v>
      </c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9">
        <f t="shared" si="1"/>
        <v>0</v>
      </c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9">
        <f t="shared" si="1"/>
        <v>0</v>
      </c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9">
        <f t="shared" si="1"/>
        <v>0</v>
      </c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9">
        <f t="shared" si="1"/>
        <v>0</v>
      </c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9">
        <f t="shared" si="1"/>
        <v>0</v>
      </c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9">
        <f t="shared" si="1"/>
        <v>0</v>
      </c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9">
        <f t="shared" si="1"/>
        <v>0</v>
      </c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9">
        <f t="shared" si="1"/>
        <v>0</v>
      </c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9">
        <f t="shared" si="1"/>
        <v>0</v>
      </c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9">
        <f t="shared" si="1"/>
        <v>0</v>
      </c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9">
        <f t="shared" si="1"/>
        <v>0</v>
      </c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9">
        <f t="shared" si="1"/>
        <v>0</v>
      </c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9">
        <f t="shared" si="1"/>
        <v>0</v>
      </c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9">
        <f t="shared" si="1"/>
        <v>0</v>
      </c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9">
        <f t="shared" si="1"/>
        <v>0</v>
      </c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9">
        <f t="shared" si="1"/>
        <v>0</v>
      </c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9">
        <f t="shared" si="1"/>
        <v>0</v>
      </c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9">
        <f t="shared" si="1"/>
        <v>0</v>
      </c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9">
        <f t="shared" si="1"/>
        <v>0</v>
      </c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9">
        <f t="shared" si="1"/>
        <v>0</v>
      </c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9">
        <f t="shared" si="1"/>
        <v>0</v>
      </c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9">
        <f t="shared" si="1"/>
        <v>0</v>
      </c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9">
        <f t="shared" si="1"/>
        <v>0</v>
      </c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9">
        <f t="shared" si="1"/>
        <v>0</v>
      </c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9">
        <f t="shared" si="1"/>
        <v>0</v>
      </c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9">
        <f t="shared" si="1"/>
        <v>0</v>
      </c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9">
        <f t="shared" si="1"/>
        <v>0</v>
      </c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9">
        <f t="shared" si="1"/>
        <v>0</v>
      </c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9">
        <f t="shared" si="1"/>
        <v>0</v>
      </c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9">
        <f t="shared" si="1"/>
        <v>0</v>
      </c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9">
        <f t="shared" si="1"/>
        <v>0</v>
      </c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9">
        <f t="shared" si="1"/>
        <v>0</v>
      </c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9">
        <f t="shared" si="1"/>
        <v>0</v>
      </c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9">
        <f t="shared" si="1"/>
        <v>0</v>
      </c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9">
        <f t="shared" si="1"/>
        <v>0</v>
      </c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9">
        <f t="shared" si="1"/>
        <v>0</v>
      </c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9">
        <f t="shared" si="1"/>
        <v>0</v>
      </c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9">
        <f t="shared" si="1"/>
        <v>0</v>
      </c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9">
        <f t="shared" si="1"/>
        <v>0</v>
      </c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9">
        <f t="shared" si="1"/>
        <v>0</v>
      </c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9">
        <f t="shared" si="1"/>
        <v>0</v>
      </c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9">
        <f t="shared" si="1"/>
        <v>0</v>
      </c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9">
        <f t="shared" si="1"/>
        <v>0</v>
      </c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9">
        <f t="shared" si="1"/>
        <v>0</v>
      </c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9">
        <f t="shared" si="1"/>
        <v>0</v>
      </c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9">
        <f t="shared" si="1"/>
        <v>0</v>
      </c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9">
        <f t="shared" si="1"/>
        <v>0</v>
      </c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9">
        <f t="shared" si="1"/>
        <v>0</v>
      </c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9">
        <f t="shared" si="1"/>
        <v>0</v>
      </c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9">
        <f t="shared" si="1"/>
        <v>0</v>
      </c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9">
        <f t="shared" si="1"/>
        <v>0</v>
      </c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9">
        <f t="shared" si="1"/>
        <v>0</v>
      </c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9">
        <f t="shared" si="1"/>
        <v>0</v>
      </c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9">
        <f t="shared" si="1"/>
        <v>0</v>
      </c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9">
        <f t="shared" si="1"/>
        <v>0</v>
      </c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9">
        <f t="shared" si="1"/>
        <v>0</v>
      </c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9">
        <f t="shared" si="1"/>
        <v>0</v>
      </c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9">
        <f t="shared" si="1"/>
        <v>0</v>
      </c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9">
        <f t="shared" si="1"/>
        <v>0</v>
      </c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9">
        <f t="shared" si="1"/>
        <v>0</v>
      </c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9">
        <f t="shared" si="1"/>
        <v>0</v>
      </c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9">
        <f t="shared" si="1"/>
        <v>0</v>
      </c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9">
        <f t="shared" si="1"/>
        <v>0</v>
      </c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9">
        <f t="shared" si="1"/>
        <v>0</v>
      </c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9">
        <f t="shared" si="1"/>
        <v>0</v>
      </c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9">
        <f t="shared" si="1"/>
        <v>0</v>
      </c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9">
        <f t="shared" si="1"/>
        <v>0</v>
      </c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9">
        <f t="shared" si="1"/>
        <v>0</v>
      </c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9">
        <f t="shared" si="1"/>
        <v>0</v>
      </c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9">
        <f t="shared" si="1"/>
        <v>0</v>
      </c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9">
        <f t="shared" si="1"/>
        <v>0</v>
      </c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9">
        <f t="shared" si="1"/>
        <v>0</v>
      </c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9">
        <f t="shared" si="1"/>
        <v>0</v>
      </c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9">
        <f t="shared" si="1"/>
        <v>0</v>
      </c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9">
        <f t="shared" si="1"/>
        <v>0</v>
      </c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9">
        <f t="shared" si="1"/>
        <v>0</v>
      </c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9">
        <f t="shared" si="1"/>
        <v>0</v>
      </c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9">
        <f t="shared" si="1"/>
        <v>0</v>
      </c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9">
        <f t="shared" si="1"/>
        <v>0</v>
      </c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9">
        <f t="shared" si="1"/>
        <v>0</v>
      </c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9">
        <f t="shared" si="1"/>
        <v>0</v>
      </c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9">
        <f t="shared" si="1"/>
        <v>0</v>
      </c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9">
        <f t="shared" si="1"/>
        <v>0</v>
      </c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9">
        <f t="shared" si="1"/>
        <v>0</v>
      </c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9">
        <f t="shared" si="1"/>
        <v>0</v>
      </c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9">
        <f t="shared" si="1"/>
        <v>0</v>
      </c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9">
        <f t="shared" si="1"/>
        <v>0</v>
      </c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9">
        <f t="shared" si="1"/>
        <v>0</v>
      </c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9">
        <f t="shared" si="1"/>
        <v>0</v>
      </c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9">
        <f t="shared" si="1"/>
        <v>0</v>
      </c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9">
        <f t="shared" si="1"/>
        <v>0</v>
      </c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9">
        <f t="shared" si="1"/>
        <v>0</v>
      </c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9">
        <f t="shared" si="1"/>
        <v>0</v>
      </c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9">
        <f t="shared" si="1"/>
        <v>0</v>
      </c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9">
        <f t="shared" si="1"/>
        <v>0</v>
      </c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9">
        <f t="shared" si="1"/>
        <v>0</v>
      </c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9">
        <f t="shared" si="1"/>
        <v>0</v>
      </c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9">
        <f t="shared" si="1"/>
        <v>0</v>
      </c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9">
        <f t="shared" si="1"/>
        <v>0</v>
      </c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9">
        <f t="shared" si="1"/>
        <v>0</v>
      </c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9">
        <f t="shared" si="1"/>
        <v>0</v>
      </c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9">
        <f t="shared" si="1"/>
        <v>0</v>
      </c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9">
        <f t="shared" si="1"/>
        <v>0</v>
      </c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9">
        <f t="shared" si="1"/>
        <v>0</v>
      </c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9">
        <f t="shared" si="1"/>
        <v>0</v>
      </c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9">
        <f t="shared" si="1"/>
        <v>0</v>
      </c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9">
        <f t="shared" si="1"/>
        <v>0</v>
      </c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9">
        <f t="shared" si="1"/>
        <v>0</v>
      </c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9">
        <f t="shared" si="1"/>
        <v>0</v>
      </c>
      <c r="W1000" s="1"/>
      <c r="X1000" s="1"/>
      <c r="Y1000" s="1"/>
      <c r="Z1000" s="1"/>
    </row>
  </sheetData>
  <dataValidations>
    <dataValidation type="list" allowBlank="1" showErrorMessage="1" sqref="B2:B1000">
      <formula1>'預算欄位參數表'!$B$2:$B$22</formula1>
    </dataValidation>
    <dataValidation type="list" allowBlank="1" showErrorMessage="1" sqref="D2:D1000">
      <formula1>'預算欄位參數表'!$E$2:E1000</formula1>
    </dataValidation>
    <dataValidation type="list" allowBlank="1" showErrorMessage="1" sqref="E2:E1000">
      <formula1>"NA"</formula1>
    </dataValidation>
    <dataValidation type="list" allowBlank="1" showErrorMessage="1" sqref="G2:G1000">
      <formula1>'預算欄位參數表'!$G$2:G1000</formula1>
    </dataValidation>
    <dataValidation type="list" allowBlank="1" showErrorMessage="1" sqref="C2:C1000">
      <formula1>'預算欄位參數表'!$C$2:C1000</formula1>
    </dataValidation>
    <dataValidation type="list" allowBlank="1" showErrorMessage="1" sqref="A2:A1000">
      <formula1>'預算欄位參數表'!$A$2:$A1000</formula1>
    </dataValidation>
    <dataValidation type="list" allowBlank="1" showErrorMessage="1" sqref="F2:F1000">
      <formula1>'預算欄位參數表'!$H$2:$H1000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4" width="14.63"/>
    <col customWidth="1" min="5" max="5" width="16.0"/>
    <col customWidth="1" min="6" max="6" width="14.0"/>
    <col customWidth="1" min="7" max="7" width="13.13"/>
    <col customWidth="1" min="8" max="8" width="26.88"/>
    <col customWidth="1" min="9" max="9" width="20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40</v>
      </c>
      <c r="I1" s="2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  <c r="AA1" s="1"/>
    </row>
    <row r="2">
      <c r="A2" s="4"/>
      <c r="B2" s="4"/>
      <c r="C2" s="4"/>
      <c r="D2" s="4"/>
      <c r="E2" s="2"/>
      <c r="F2" s="2"/>
      <c r="G2" s="4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1"/>
      <c r="X2" s="1"/>
      <c r="Y2" s="1"/>
      <c r="Z2" s="1"/>
      <c r="AA2" s="1"/>
    </row>
    <row r="3">
      <c r="A3" s="7" t="s">
        <v>10</v>
      </c>
      <c r="B3" s="7" t="s">
        <v>99</v>
      </c>
      <c r="C3" s="7" t="s">
        <v>99</v>
      </c>
      <c r="D3" s="7" t="s">
        <v>99</v>
      </c>
      <c r="E3" s="2"/>
      <c r="F3" s="7" t="s">
        <v>37</v>
      </c>
      <c r="G3" s="7" t="s">
        <v>16</v>
      </c>
      <c r="H3" s="1" t="s">
        <v>186</v>
      </c>
      <c r="I3" s="39">
        <v>1667.0</v>
      </c>
      <c r="J3" s="40">
        <f>$I$3*'｜工作區&gt;&gt;&gt;'!C36</f>
        <v>38341</v>
      </c>
      <c r="K3" s="40">
        <f>$I$3*'｜工作區&gt;&gt;&gt;'!D36</f>
        <v>38341</v>
      </c>
      <c r="L3" s="40">
        <f>$I$3*'｜工作區&gt;&gt;&gt;'!E36</f>
        <v>38341</v>
      </c>
      <c r="M3" s="40">
        <f>$I$3*'｜工作區&gt;&gt;&gt;'!F36</f>
        <v>40008</v>
      </c>
      <c r="N3" s="40">
        <f>$I$3*'｜工作區&gt;&gt;&gt;'!G36</f>
        <v>40008</v>
      </c>
      <c r="O3" s="40">
        <f>$I$3*'｜工作區&gt;&gt;&gt;'!H36</f>
        <v>41675</v>
      </c>
      <c r="P3" s="40">
        <f>$I$3*'｜工作區&gt;&gt;&gt;'!I36</f>
        <v>41675</v>
      </c>
      <c r="Q3" s="40">
        <f>$I$3*'｜工作區&gt;&gt;&gt;'!J36</f>
        <v>41675</v>
      </c>
      <c r="R3" s="40">
        <f>$I$3*'｜工作區&gt;&gt;&gt;'!K36</f>
        <v>41675</v>
      </c>
      <c r="S3" s="40">
        <f>$I$3*'｜工作區&gt;&gt;&gt;'!L36</f>
        <v>41675</v>
      </c>
      <c r="T3" s="40">
        <f>$I$3*'｜工作區&gt;&gt;&gt;'!M36</f>
        <v>41675</v>
      </c>
      <c r="U3" s="40">
        <f>$I$3*'｜工作區&gt;&gt;&gt;'!N36</f>
        <v>41675</v>
      </c>
      <c r="V3" s="9">
        <f t="shared" ref="V3:V38" si="1">SUM(B3:U3)</f>
        <v>488431</v>
      </c>
      <c r="W3" s="1"/>
      <c r="X3" s="1"/>
      <c r="Y3" s="1"/>
      <c r="Z3" s="1"/>
      <c r="AA3" s="1"/>
    </row>
    <row r="4">
      <c r="A4" s="7" t="s">
        <v>10</v>
      </c>
      <c r="B4" s="7" t="s">
        <v>99</v>
      </c>
      <c r="C4" s="7" t="s">
        <v>99</v>
      </c>
      <c r="D4" s="7" t="s">
        <v>99</v>
      </c>
      <c r="E4" s="2"/>
      <c r="F4" s="7" t="s">
        <v>37</v>
      </c>
      <c r="G4" s="7" t="s">
        <v>16</v>
      </c>
      <c r="H4" s="1" t="s">
        <v>187</v>
      </c>
      <c r="I4" s="39">
        <v>500.0</v>
      </c>
      <c r="J4" s="40">
        <f>$I$4*'｜工作區&gt;&gt;&gt;'!C2</f>
        <v>500</v>
      </c>
      <c r="K4" s="40">
        <f>$I$4*'｜工作區&gt;&gt;&gt;'!D2</f>
        <v>500</v>
      </c>
      <c r="L4" s="40">
        <f>$I$4*'｜工作區&gt;&gt;&gt;'!E2</f>
        <v>500</v>
      </c>
      <c r="M4" s="40">
        <f>$I$4*'｜工作區&gt;&gt;&gt;'!F2</f>
        <v>500</v>
      </c>
      <c r="N4" s="40">
        <f>$I$4*'｜工作區&gt;&gt;&gt;'!G2</f>
        <v>500</v>
      </c>
      <c r="O4" s="40">
        <f>$I$4*'｜工作區&gt;&gt;&gt;'!H2</f>
        <v>500</v>
      </c>
      <c r="P4" s="40">
        <f>$I$4*'｜工作區&gt;&gt;&gt;'!I2</f>
        <v>500</v>
      </c>
      <c r="Q4" s="40">
        <f>$I$4*'｜工作區&gt;&gt;&gt;'!J2</f>
        <v>500</v>
      </c>
      <c r="R4" s="40">
        <f>$I$4*'｜工作區&gt;&gt;&gt;'!K2</f>
        <v>500</v>
      </c>
      <c r="S4" s="40">
        <f>$I$4*'｜工作區&gt;&gt;&gt;'!L2</f>
        <v>500</v>
      </c>
      <c r="T4" s="40">
        <f>$I$4*'｜工作區&gt;&gt;&gt;'!M2</f>
        <v>500</v>
      </c>
      <c r="U4" s="40">
        <f>$I$4*'｜工作區&gt;&gt;&gt;'!N2</f>
        <v>500</v>
      </c>
      <c r="V4" s="9">
        <f t="shared" si="1"/>
        <v>6500</v>
      </c>
      <c r="W4" s="1"/>
      <c r="X4" s="1"/>
      <c r="Y4" s="1"/>
      <c r="Z4" s="1"/>
      <c r="AA4" s="1"/>
    </row>
    <row r="5">
      <c r="A5" s="7" t="s">
        <v>10</v>
      </c>
      <c r="B5" s="7" t="s">
        <v>99</v>
      </c>
      <c r="C5" s="7" t="s">
        <v>99</v>
      </c>
      <c r="D5" s="7" t="s">
        <v>99</v>
      </c>
      <c r="E5" s="2"/>
      <c r="F5" s="7" t="s">
        <v>37</v>
      </c>
      <c r="G5" s="7" t="s">
        <v>16</v>
      </c>
      <c r="H5" s="1" t="s">
        <v>188</v>
      </c>
      <c r="I5" s="39">
        <v>834.0</v>
      </c>
      <c r="J5" s="40">
        <f>$I$5*'｜工作區&gt;&gt;&gt;'!C34</f>
        <v>1668</v>
      </c>
      <c r="K5" s="40">
        <f>$I$5*'｜工作區&gt;&gt;&gt;'!D34</f>
        <v>1668</v>
      </c>
      <c r="L5" s="40">
        <f>$I$5*'｜工作區&gt;&gt;&gt;'!E34</f>
        <v>1668</v>
      </c>
      <c r="M5" s="40">
        <f>$I$5*'｜工作區&gt;&gt;&gt;'!F34</f>
        <v>1668</v>
      </c>
      <c r="N5" s="40">
        <f>$I$5*'｜工作區&gt;&gt;&gt;'!G34</f>
        <v>1668</v>
      </c>
      <c r="O5" s="40">
        <f>$I$5*'｜工作區&gt;&gt;&gt;'!H34</f>
        <v>1668</v>
      </c>
      <c r="P5" s="40">
        <f>$I$5*'｜工作區&gt;&gt;&gt;'!I34</f>
        <v>1668</v>
      </c>
      <c r="Q5" s="40">
        <f>$I$5*'｜工作區&gt;&gt;&gt;'!J34</f>
        <v>1668</v>
      </c>
      <c r="R5" s="40">
        <f>$I$5*'｜工作區&gt;&gt;&gt;'!K34</f>
        <v>1668</v>
      </c>
      <c r="S5" s="40">
        <f>$I$5*'｜工作區&gt;&gt;&gt;'!L34</f>
        <v>1668</v>
      </c>
      <c r="T5" s="40">
        <f>$I$5*'｜工作區&gt;&gt;&gt;'!M34</f>
        <v>1668</v>
      </c>
      <c r="U5" s="40">
        <f>$I$5*'｜工作區&gt;&gt;&gt;'!N34</f>
        <v>1668</v>
      </c>
      <c r="V5" s="9">
        <f t="shared" si="1"/>
        <v>20850</v>
      </c>
      <c r="W5" s="1"/>
      <c r="X5" s="1"/>
      <c r="Y5" s="1"/>
      <c r="Z5" s="1"/>
      <c r="AA5" s="1"/>
    </row>
    <row r="6">
      <c r="A6" s="7" t="s">
        <v>10</v>
      </c>
      <c r="B6" s="7" t="s">
        <v>99</v>
      </c>
      <c r="C6" s="7" t="s">
        <v>99</v>
      </c>
      <c r="D6" s="7" t="s">
        <v>99</v>
      </c>
      <c r="E6" s="2"/>
      <c r="F6" s="7" t="s">
        <v>37</v>
      </c>
      <c r="G6" s="7" t="s">
        <v>16</v>
      </c>
      <c r="H6" s="1" t="s">
        <v>189</v>
      </c>
      <c r="I6" s="39">
        <v>1167.0</v>
      </c>
      <c r="J6" s="40">
        <f>$I$6*'｜工作區&gt;&gt;&gt;'!C35</f>
        <v>2334</v>
      </c>
      <c r="K6" s="40">
        <f>$I$6*'｜工作區&gt;&gt;&gt;'!D35</f>
        <v>2334</v>
      </c>
      <c r="L6" s="40">
        <f>$I$6*'｜工作區&gt;&gt;&gt;'!E35</f>
        <v>2334</v>
      </c>
      <c r="M6" s="40">
        <f>$I$6*'｜工作區&gt;&gt;&gt;'!F35</f>
        <v>2334</v>
      </c>
      <c r="N6" s="40">
        <f>$I$6*'｜工作區&gt;&gt;&gt;'!G35</f>
        <v>2334</v>
      </c>
      <c r="O6" s="40">
        <f>$I$6*'｜工作區&gt;&gt;&gt;'!H35</f>
        <v>2334</v>
      </c>
      <c r="P6" s="40">
        <f>$I$6*'｜工作區&gt;&gt;&gt;'!I35</f>
        <v>2334</v>
      </c>
      <c r="Q6" s="40">
        <f>$I$6*'｜工作區&gt;&gt;&gt;'!J35</f>
        <v>2334</v>
      </c>
      <c r="R6" s="40">
        <f>$I$6*'｜工作區&gt;&gt;&gt;'!K35</f>
        <v>2334</v>
      </c>
      <c r="S6" s="40">
        <f>$I$6*'｜工作區&gt;&gt;&gt;'!L35</f>
        <v>2334</v>
      </c>
      <c r="T6" s="40">
        <f>$I$6*'｜工作區&gt;&gt;&gt;'!M35</f>
        <v>2334</v>
      </c>
      <c r="U6" s="40">
        <f>$I$6*'｜工作區&gt;&gt;&gt;'!N35</f>
        <v>2334</v>
      </c>
      <c r="V6" s="9">
        <f t="shared" si="1"/>
        <v>29175</v>
      </c>
      <c r="W6" s="1"/>
      <c r="X6" s="1"/>
      <c r="Y6" s="1"/>
      <c r="Z6" s="1"/>
      <c r="AA6" s="1"/>
    </row>
    <row r="7">
      <c r="A7" s="7" t="s">
        <v>10</v>
      </c>
      <c r="B7" s="7" t="s">
        <v>99</v>
      </c>
      <c r="C7" s="7" t="s">
        <v>99</v>
      </c>
      <c r="D7" s="7" t="s">
        <v>99</v>
      </c>
      <c r="E7" s="2"/>
      <c r="F7" s="7" t="s">
        <v>37</v>
      </c>
      <c r="G7" s="7" t="s">
        <v>42</v>
      </c>
      <c r="H7" s="41" t="s">
        <v>190</v>
      </c>
      <c r="I7" s="39">
        <v>334.0</v>
      </c>
      <c r="J7" s="40">
        <f>$I$7*sum('｜工作區&gt;&gt;&gt;'!C33:C36)</f>
        <v>9352</v>
      </c>
      <c r="K7" s="40">
        <f>$I$7*sum('｜工作區&gt;&gt;&gt;'!D33:D36)</f>
        <v>9352</v>
      </c>
      <c r="L7" s="40">
        <f>$I$7*sum('｜工作區&gt;&gt;&gt;'!E33:E36)</f>
        <v>9352</v>
      </c>
      <c r="M7" s="40">
        <f>$I$7*sum('｜工作區&gt;&gt;&gt;'!F33:F36)</f>
        <v>9686</v>
      </c>
      <c r="N7" s="40">
        <f>$I$7*sum('｜工作區&gt;&gt;&gt;'!G33:G36)</f>
        <v>9686</v>
      </c>
      <c r="O7" s="40">
        <f>$I$7*sum('｜工作區&gt;&gt;&gt;'!H33:H36)</f>
        <v>10020</v>
      </c>
      <c r="P7" s="40">
        <f>$I$7*sum('｜工作區&gt;&gt;&gt;'!I33:I36)</f>
        <v>10020</v>
      </c>
      <c r="Q7" s="40">
        <f>$I$7*sum('｜工作區&gt;&gt;&gt;'!J33:J36)</f>
        <v>10020</v>
      </c>
      <c r="R7" s="40">
        <f>$I$7*sum('｜工作區&gt;&gt;&gt;'!K33:K36)</f>
        <v>10020</v>
      </c>
      <c r="S7" s="40">
        <f>$I$7*sum('｜工作區&gt;&gt;&gt;'!L33:L36)</f>
        <v>10020</v>
      </c>
      <c r="T7" s="40">
        <f>$I$7*sum('｜工作區&gt;&gt;&gt;'!M33:M36)</f>
        <v>10020</v>
      </c>
      <c r="U7" s="40">
        <f>$I$7*sum('｜工作區&gt;&gt;&gt;'!N33:N36)</f>
        <v>10020</v>
      </c>
      <c r="V7" s="9">
        <f t="shared" si="1"/>
        <v>117902</v>
      </c>
      <c r="W7" s="1"/>
      <c r="X7" s="1"/>
      <c r="Y7" s="1"/>
      <c r="Z7" s="1"/>
      <c r="AA7" s="1"/>
    </row>
    <row r="8">
      <c r="A8" s="7" t="s">
        <v>10</v>
      </c>
      <c r="B8" s="7" t="s">
        <v>99</v>
      </c>
      <c r="C8" s="7" t="s">
        <v>99</v>
      </c>
      <c r="D8" s="7" t="s">
        <v>99</v>
      </c>
      <c r="E8" s="2"/>
      <c r="F8" s="7" t="s">
        <v>37</v>
      </c>
      <c r="G8" s="7" t="s">
        <v>42</v>
      </c>
      <c r="H8" s="1" t="s">
        <v>191</v>
      </c>
      <c r="I8" s="39">
        <v>250.0</v>
      </c>
      <c r="J8" s="40">
        <f>$I$8*sum('｜工作區&gt;&gt;&gt;'!C33:C36)</f>
        <v>7000</v>
      </c>
      <c r="K8" s="40">
        <f>$I$8*sum('｜工作區&gt;&gt;&gt;'!D33:D36)</f>
        <v>7000</v>
      </c>
      <c r="L8" s="40">
        <f>$I$8*sum('｜工作區&gt;&gt;&gt;'!E33:E36)</f>
        <v>7000</v>
      </c>
      <c r="M8" s="40">
        <f>$I$8*sum('｜工作區&gt;&gt;&gt;'!F33:F36)</f>
        <v>7250</v>
      </c>
      <c r="N8" s="40">
        <f>$I$8*sum('｜工作區&gt;&gt;&gt;'!G33:G36)</f>
        <v>7250</v>
      </c>
      <c r="O8" s="40">
        <f>$I$8*sum('｜工作區&gt;&gt;&gt;'!H33:H36)</f>
        <v>7500</v>
      </c>
      <c r="P8" s="40">
        <f>$I$8*sum('｜工作區&gt;&gt;&gt;'!I33:I36)</f>
        <v>7500</v>
      </c>
      <c r="Q8" s="40">
        <f>$I$8*sum('｜工作區&gt;&gt;&gt;'!J33:J36)</f>
        <v>7500</v>
      </c>
      <c r="R8" s="40">
        <f>$I$8*sum('｜工作區&gt;&gt;&gt;'!K33:K36)</f>
        <v>7500</v>
      </c>
      <c r="S8" s="40">
        <f>$I$8*sum('｜工作區&gt;&gt;&gt;'!L33:L36)</f>
        <v>7500</v>
      </c>
      <c r="T8" s="40">
        <f>$I$8*sum('｜工作區&gt;&gt;&gt;'!M33:M36)</f>
        <v>7500</v>
      </c>
      <c r="U8" s="40">
        <f>$I$8*sum('｜工作區&gt;&gt;&gt;'!N33:N36)</f>
        <v>7500</v>
      </c>
      <c r="V8" s="9">
        <f t="shared" si="1"/>
        <v>88250</v>
      </c>
      <c r="W8" s="1"/>
      <c r="X8" s="1"/>
      <c r="Y8" s="1"/>
      <c r="Z8" s="1"/>
      <c r="AA8" s="1"/>
    </row>
    <row r="9">
      <c r="A9" s="7" t="s">
        <v>10</v>
      </c>
      <c r="B9" s="7" t="s">
        <v>99</v>
      </c>
      <c r="C9" s="7" t="s">
        <v>99</v>
      </c>
      <c r="D9" s="7" t="s">
        <v>99</v>
      </c>
      <c r="E9" s="2"/>
      <c r="F9" s="7" t="s">
        <v>37</v>
      </c>
      <c r="G9" s="7" t="s">
        <v>42</v>
      </c>
      <c r="H9" s="1" t="s">
        <v>192</v>
      </c>
      <c r="I9" s="39">
        <v>135.0</v>
      </c>
      <c r="J9" s="40">
        <f>$I$9*sum('｜工作區&gt;&gt;&gt;'!C33:C36)</f>
        <v>3780</v>
      </c>
      <c r="K9" s="40">
        <f>$I$9*sum('｜工作區&gt;&gt;&gt;'!D33:D36)</f>
        <v>3780</v>
      </c>
      <c r="L9" s="40">
        <f>$I$9*sum('｜工作區&gt;&gt;&gt;'!E33:E36)</f>
        <v>3780</v>
      </c>
      <c r="M9" s="40">
        <f>$I$9*sum('｜工作區&gt;&gt;&gt;'!F33:F36)</f>
        <v>3915</v>
      </c>
      <c r="N9" s="40">
        <f>$I$9*sum('｜工作區&gt;&gt;&gt;'!G33:G36)</f>
        <v>3915</v>
      </c>
      <c r="O9" s="40">
        <f>$I$9*sum('｜工作區&gt;&gt;&gt;'!H33:H36)</f>
        <v>4050</v>
      </c>
      <c r="P9" s="40">
        <f>$I$9*sum('｜工作區&gt;&gt;&gt;'!I33:I36)</f>
        <v>4050</v>
      </c>
      <c r="Q9" s="40">
        <f>$I$9*sum('｜工作區&gt;&gt;&gt;'!J33:J36)</f>
        <v>4050</v>
      </c>
      <c r="R9" s="40">
        <f>$I$9*sum('｜工作區&gt;&gt;&gt;'!K33:K36)</f>
        <v>4050</v>
      </c>
      <c r="S9" s="40">
        <f>$I$9*sum('｜工作區&gt;&gt;&gt;'!L33:L36)</f>
        <v>4050</v>
      </c>
      <c r="T9" s="40">
        <f>$I$9*sum('｜工作區&gt;&gt;&gt;'!M33:M36)</f>
        <v>4050</v>
      </c>
      <c r="U9" s="40">
        <f>$I$9*sum('｜工作區&gt;&gt;&gt;'!N33:N36)</f>
        <v>4050</v>
      </c>
      <c r="V9" s="9">
        <f t="shared" si="1"/>
        <v>47655</v>
      </c>
      <c r="W9" s="1"/>
      <c r="X9" s="1"/>
      <c r="Y9" s="1"/>
      <c r="Z9" s="1"/>
      <c r="AA9" s="1"/>
    </row>
    <row r="10">
      <c r="A10" s="7" t="s">
        <v>10</v>
      </c>
      <c r="B10" s="7" t="s">
        <v>99</v>
      </c>
      <c r="C10" s="7" t="s">
        <v>99</v>
      </c>
      <c r="D10" s="7" t="s">
        <v>99</v>
      </c>
      <c r="E10" s="2"/>
      <c r="F10" s="7" t="s">
        <v>37</v>
      </c>
      <c r="G10" s="7" t="s">
        <v>42</v>
      </c>
      <c r="H10" s="1" t="s">
        <v>193</v>
      </c>
      <c r="I10" s="39">
        <v>8000.0</v>
      </c>
      <c r="J10" s="40">
        <f>$I$10*'｜工作區&gt;&gt;&gt;'!C33</f>
        <v>8000</v>
      </c>
      <c r="K10" s="40">
        <f>$I$10*'｜工作區&gt;&gt;&gt;'!D33</f>
        <v>8000</v>
      </c>
      <c r="L10" s="40">
        <f>$I$10*'｜工作區&gt;&gt;&gt;'!E33</f>
        <v>8000</v>
      </c>
      <c r="M10" s="40">
        <f>$I$10*'｜工作區&gt;&gt;&gt;'!F33</f>
        <v>8000</v>
      </c>
      <c r="N10" s="40">
        <f>$I$10*'｜工作區&gt;&gt;&gt;'!G33</f>
        <v>8000</v>
      </c>
      <c r="O10" s="40">
        <f>$I$10*'｜工作區&gt;&gt;&gt;'!H33</f>
        <v>8000</v>
      </c>
      <c r="P10" s="40">
        <f>$I$10*'｜工作區&gt;&gt;&gt;'!I33</f>
        <v>8000</v>
      </c>
      <c r="Q10" s="40">
        <f>$I$10*'｜工作區&gt;&gt;&gt;'!J33</f>
        <v>8000</v>
      </c>
      <c r="R10" s="40">
        <f>$I$10*'｜工作區&gt;&gt;&gt;'!K33</f>
        <v>8000</v>
      </c>
      <c r="S10" s="40">
        <f>$I$10*'｜工作區&gt;&gt;&gt;'!L33</f>
        <v>8000</v>
      </c>
      <c r="T10" s="40">
        <f>$I$10*'｜工作區&gt;&gt;&gt;'!M33</f>
        <v>8000</v>
      </c>
      <c r="U10" s="40">
        <f>$I$10*'｜工作區&gt;&gt;&gt;'!N33</f>
        <v>8000</v>
      </c>
      <c r="V10" s="9">
        <f t="shared" si="1"/>
        <v>104000</v>
      </c>
      <c r="W10" s="1"/>
      <c r="X10" s="1"/>
      <c r="Y10" s="1"/>
      <c r="Z10" s="1"/>
      <c r="AA10" s="1"/>
    </row>
    <row r="11">
      <c r="A11" s="7" t="s">
        <v>10</v>
      </c>
      <c r="B11" s="7" t="s">
        <v>99</v>
      </c>
      <c r="C11" s="7" t="s">
        <v>99</v>
      </c>
      <c r="D11" s="7" t="s">
        <v>99</v>
      </c>
      <c r="E11" s="2"/>
      <c r="F11" s="7" t="s">
        <v>37</v>
      </c>
      <c r="G11" s="7" t="s">
        <v>42</v>
      </c>
      <c r="H11" s="1" t="s">
        <v>194</v>
      </c>
      <c r="I11" s="39">
        <v>3000.0</v>
      </c>
      <c r="J11" s="40">
        <f>$I$11*'｜工作區&gt;&gt;&gt;'!C34</f>
        <v>6000</v>
      </c>
      <c r="K11" s="40">
        <f>$I$11*'｜工作區&gt;&gt;&gt;'!D34</f>
        <v>6000</v>
      </c>
      <c r="L11" s="40">
        <f>$I$11*'｜工作區&gt;&gt;&gt;'!E34</f>
        <v>6000</v>
      </c>
      <c r="M11" s="40">
        <f>$I$11*'｜工作區&gt;&gt;&gt;'!F34</f>
        <v>6000</v>
      </c>
      <c r="N11" s="40">
        <f>$I$11*'｜工作區&gt;&gt;&gt;'!G34</f>
        <v>6000</v>
      </c>
      <c r="O11" s="40">
        <f>$I$11*'｜工作區&gt;&gt;&gt;'!H34</f>
        <v>6000</v>
      </c>
      <c r="P11" s="40">
        <f>$I$11*'｜工作區&gt;&gt;&gt;'!I34</f>
        <v>6000</v>
      </c>
      <c r="Q11" s="40">
        <f>$I$11*'｜工作區&gt;&gt;&gt;'!J34</f>
        <v>6000</v>
      </c>
      <c r="R11" s="40">
        <f>$I$11*'｜工作區&gt;&gt;&gt;'!K34</f>
        <v>6000</v>
      </c>
      <c r="S11" s="40">
        <f>$I$11*'｜工作區&gt;&gt;&gt;'!L34</f>
        <v>6000</v>
      </c>
      <c r="T11" s="40">
        <f>$I$11*'｜工作區&gt;&gt;&gt;'!M34</f>
        <v>6000</v>
      </c>
      <c r="U11" s="40">
        <f>$I$11*'｜工作區&gt;&gt;&gt;'!N34</f>
        <v>6000</v>
      </c>
      <c r="V11" s="9">
        <f t="shared" si="1"/>
        <v>75000</v>
      </c>
      <c r="W11" s="1"/>
      <c r="X11" s="1"/>
      <c r="Y11" s="1"/>
      <c r="Z11" s="1"/>
      <c r="AA11" s="1"/>
    </row>
    <row r="12">
      <c r="A12" s="7" t="s">
        <v>10</v>
      </c>
      <c r="B12" s="7" t="s">
        <v>99</v>
      </c>
      <c r="C12" s="7" t="s">
        <v>99</v>
      </c>
      <c r="D12" s="7" t="s">
        <v>99</v>
      </c>
      <c r="E12" s="2"/>
      <c r="F12" s="7" t="s">
        <v>37</v>
      </c>
      <c r="G12" s="7" t="s">
        <v>42</v>
      </c>
      <c r="H12" s="1" t="s">
        <v>195</v>
      </c>
      <c r="I12" s="39">
        <v>4000.0</v>
      </c>
      <c r="J12" s="40">
        <f>$I$12*'｜工作區&gt;&gt;&gt;'!C35</f>
        <v>8000</v>
      </c>
      <c r="K12" s="40">
        <f>$I$12*'｜工作區&gt;&gt;&gt;'!D35</f>
        <v>8000</v>
      </c>
      <c r="L12" s="40">
        <f>$I$12*'｜工作區&gt;&gt;&gt;'!E35</f>
        <v>8000</v>
      </c>
      <c r="M12" s="40">
        <f>$I$12*'｜工作區&gt;&gt;&gt;'!F35</f>
        <v>8000</v>
      </c>
      <c r="N12" s="40">
        <f>$I$12*'｜工作區&gt;&gt;&gt;'!G35</f>
        <v>8000</v>
      </c>
      <c r="O12" s="40">
        <f>$I$12*'｜工作區&gt;&gt;&gt;'!H35</f>
        <v>8000</v>
      </c>
      <c r="P12" s="40">
        <f>$I$12*'｜工作區&gt;&gt;&gt;'!I35</f>
        <v>8000</v>
      </c>
      <c r="Q12" s="40">
        <f>$I$12*'｜工作區&gt;&gt;&gt;'!J35</f>
        <v>8000</v>
      </c>
      <c r="R12" s="40">
        <f>$I$12*'｜工作區&gt;&gt;&gt;'!K35</f>
        <v>8000</v>
      </c>
      <c r="S12" s="40">
        <f>$I$12*'｜工作區&gt;&gt;&gt;'!L35</f>
        <v>8000</v>
      </c>
      <c r="T12" s="40">
        <f>$I$12*'｜工作區&gt;&gt;&gt;'!M35</f>
        <v>8000</v>
      </c>
      <c r="U12" s="40">
        <f>$I$12*'｜工作區&gt;&gt;&gt;'!N35</f>
        <v>8000</v>
      </c>
      <c r="V12" s="9">
        <f t="shared" si="1"/>
        <v>100000</v>
      </c>
      <c r="W12" s="1"/>
      <c r="X12" s="1"/>
      <c r="Y12" s="1"/>
      <c r="Z12" s="1"/>
      <c r="AA12" s="1"/>
    </row>
    <row r="13">
      <c r="A13" s="7" t="s">
        <v>10</v>
      </c>
      <c r="B13" s="7" t="s">
        <v>99</v>
      </c>
      <c r="C13" s="7" t="s">
        <v>99</v>
      </c>
      <c r="D13" s="7" t="s">
        <v>99</v>
      </c>
      <c r="E13" s="2"/>
      <c r="F13" s="7" t="s">
        <v>37</v>
      </c>
      <c r="G13" s="7" t="s">
        <v>42</v>
      </c>
      <c r="H13" s="1" t="s">
        <v>196</v>
      </c>
      <c r="I13" s="42">
        <v>12000.0</v>
      </c>
      <c r="J13" s="40">
        <f>$I$13*'｜工作區&gt;&gt;&gt;'!C33</f>
        <v>12000</v>
      </c>
      <c r="K13" s="40">
        <f>$I$13*'｜工作區&gt;&gt;&gt;'!D33</f>
        <v>12000</v>
      </c>
      <c r="L13" s="40">
        <f>$I$13*'｜工作區&gt;&gt;&gt;'!E33</f>
        <v>12000</v>
      </c>
      <c r="M13" s="40">
        <f>$I$13*'｜工作區&gt;&gt;&gt;'!F33</f>
        <v>12000</v>
      </c>
      <c r="N13" s="40">
        <f>$I$13*'｜工作區&gt;&gt;&gt;'!G33</f>
        <v>12000</v>
      </c>
      <c r="O13" s="40">
        <f>$I$13*'｜工作區&gt;&gt;&gt;'!H33</f>
        <v>12000</v>
      </c>
      <c r="P13" s="40">
        <f>$I$13*'｜工作區&gt;&gt;&gt;'!I33</f>
        <v>12000</v>
      </c>
      <c r="Q13" s="40">
        <f>$I$13*'｜工作區&gt;&gt;&gt;'!J33</f>
        <v>12000</v>
      </c>
      <c r="R13" s="40">
        <f>$I$13*'｜工作區&gt;&gt;&gt;'!K33</f>
        <v>12000</v>
      </c>
      <c r="S13" s="40">
        <f>$I$13*'｜工作區&gt;&gt;&gt;'!L33</f>
        <v>12000</v>
      </c>
      <c r="T13" s="40">
        <f>$I$13*'｜工作區&gt;&gt;&gt;'!M33</f>
        <v>12000</v>
      </c>
      <c r="U13" s="40">
        <f>$I$13*'｜工作區&gt;&gt;&gt;'!N33</f>
        <v>12000</v>
      </c>
      <c r="V13" s="9">
        <f t="shared" si="1"/>
        <v>156000</v>
      </c>
      <c r="W13" s="1"/>
      <c r="X13" s="1"/>
      <c r="Y13" s="1"/>
      <c r="Z13" s="1"/>
      <c r="AA13" s="1"/>
    </row>
    <row r="14">
      <c r="A14" s="7" t="s">
        <v>10</v>
      </c>
      <c r="B14" s="7" t="s">
        <v>99</v>
      </c>
      <c r="C14" s="7" t="s">
        <v>99</v>
      </c>
      <c r="D14" s="7" t="s">
        <v>99</v>
      </c>
      <c r="E14" s="2"/>
      <c r="F14" s="7" t="s">
        <v>37</v>
      </c>
      <c r="G14" s="7" t="s">
        <v>42</v>
      </c>
      <c r="H14" s="1" t="s">
        <v>197</v>
      </c>
      <c r="I14" s="42">
        <v>10000.0</v>
      </c>
      <c r="J14" s="43">
        <f>$I$14*'｜工作區&gt;&gt;&gt;'!C34</f>
        <v>20000</v>
      </c>
      <c r="K14" s="43">
        <f>$I$14*'｜工作區&gt;&gt;&gt;'!D34</f>
        <v>20000</v>
      </c>
      <c r="L14" s="43">
        <f>$I$14*'｜工作區&gt;&gt;&gt;'!E34</f>
        <v>20000</v>
      </c>
      <c r="M14" s="43">
        <f>$I$14*'｜工作區&gt;&gt;&gt;'!F34</f>
        <v>20000</v>
      </c>
      <c r="N14" s="43">
        <f>$I$14*'｜工作區&gt;&gt;&gt;'!G34</f>
        <v>20000</v>
      </c>
      <c r="O14" s="43">
        <f>$I$14*'｜工作區&gt;&gt;&gt;'!H34</f>
        <v>20000</v>
      </c>
      <c r="P14" s="43">
        <f>$I$14*'｜工作區&gt;&gt;&gt;'!I34</f>
        <v>20000</v>
      </c>
      <c r="Q14" s="43">
        <f>$I$14*'｜工作區&gt;&gt;&gt;'!J34</f>
        <v>20000</v>
      </c>
      <c r="R14" s="43">
        <f>$I$14*'｜工作區&gt;&gt;&gt;'!K34</f>
        <v>20000</v>
      </c>
      <c r="S14" s="43">
        <f>$I$14*'｜工作區&gt;&gt;&gt;'!L34</f>
        <v>20000</v>
      </c>
      <c r="T14" s="43">
        <f>$I$14*'｜工作區&gt;&gt;&gt;'!M34</f>
        <v>20000</v>
      </c>
      <c r="U14" s="43">
        <f>$I$14*'｜工作區&gt;&gt;&gt;'!N34</f>
        <v>20000</v>
      </c>
      <c r="V14" s="9">
        <f t="shared" si="1"/>
        <v>250000</v>
      </c>
      <c r="W14" s="1"/>
      <c r="X14" s="1"/>
      <c r="Y14" s="1"/>
      <c r="Z14" s="1"/>
      <c r="AA14" s="1"/>
    </row>
    <row r="15">
      <c r="A15" s="7" t="s">
        <v>10</v>
      </c>
      <c r="B15" s="7" t="s">
        <v>99</v>
      </c>
      <c r="C15" s="7" t="s">
        <v>99</v>
      </c>
      <c r="D15" s="7" t="s">
        <v>99</v>
      </c>
      <c r="E15" s="2"/>
      <c r="F15" s="7" t="s">
        <v>37</v>
      </c>
      <c r="G15" s="7" t="s">
        <v>42</v>
      </c>
      <c r="H15" s="1" t="s">
        <v>198</v>
      </c>
      <c r="I15" s="42">
        <v>3250.0</v>
      </c>
      <c r="J15" s="43">
        <v>3250.0</v>
      </c>
      <c r="K15" s="43">
        <v>3250.0</v>
      </c>
      <c r="L15" s="43">
        <v>3250.0</v>
      </c>
      <c r="M15" s="43">
        <v>3250.0</v>
      </c>
      <c r="N15" s="43">
        <v>3250.0</v>
      </c>
      <c r="O15" s="43">
        <v>3250.0</v>
      </c>
      <c r="P15" s="43">
        <v>3250.0</v>
      </c>
      <c r="Q15" s="43">
        <v>3250.0</v>
      </c>
      <c r="R15" s="43">
        <v>3250.0</v>
      </c>
      <c r="S15" s="43">
        <v>3250.0</v>
      </c>
      <c r="T15" s="43">
        <v>3250.0</v>
      </c>
      <c r="U15" s="43">
        <v>3250.0</v>
      </c>
      <c r="V15" s="9">
        <f t="shared" si="1"/>
        <v>42250</v>
      </c>
      <c r="W15" s="1"/>
      <c r="X15" s="1"/>
      <c r="Y15" s="1"/>
      <c r="Z15" s="1"/>
      <c r="AA15" s="1"/>
    </row>
    <row r="16">
      <c r="A16" s="7" t="s">
        <v>10</v>
      </c>
      <c r="B16" s="7" t="s">
        <v>99</v>
      </c>
      <c r="C16" s="7" t="s">
        <v>99</v>
      </c>
      <c r="D16" s="7" t="s">
        <v>99</v>
      </c>
      <c r="E16" s="2"/>
      <c r="F16" s="7" t="s">
        <v>37</v>
      </c>
      <c r="G16" s="7" t="s">
        <v>42</v>
      </c>
      <c r="H16" s="44" t="s">
        <v>199</v>
      </c>
      <c r="I16" s="42">
        <v>9800.0</v>
      </c>
      <c r="J16" s="7">
        <v>0.0</v>
      </c>
      <c r="K16" s="43">
        <f>I16*2</f>
        <v>19600</v>
      </c>
      <c r="L16" s="7">
        <v>0.0</v>
      </c>
      <c r="M16" s="43">
        <f>I16*2</f>
        <v>19600</v>
      </c>
      <c r="N16" s="7">
        <v>0.0</v>
      </c>
      <c r="O16" s="43">
        <f>I16*2</f>
        <v>19600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9">
        <f t="shared" si="1"/>
        <v>68600</v>
      </c>
      <c r="W16" s="1"/>
      <c r="X16" s="1"/>
      <c r="Y16" s="1"/>
      <c r="Z16" s="1"/>
      <c r="AA16" s="1"/>
    </row>
    <row r="17">
      <c r="A17" s="7" t="s">
        <v>10</v>
      </c>
      <c r="B17" s="7" t="s">
        <v>99</v>
      </c>
      <c r="C17" s="7" t="s">
        <v>99</v>
      </c>
      <c r="D17" s="7" t="s">
        <v>99</v>
      </c>
      <c r="E17" s="2"/>
      <c r="F17" s="7" t="s">
        <v>37</v>
      </c>
      <c r="G17" s="7" t="s">
        <v>42</v>
      </c>
      <c r="H17" s="44" t="s">
        <v>200</v>
      </c>
      <c r="I17" s="42">
        <v>6000.0</v>
      </c>
      <c r="J17" s="45">
        <f>I17*2</f>
        <v>12000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9">
        <f t="shared" si="1"/>
        <v>18000</v>
      </c>
      <c r="W17" s="1"/>
      <c r="X17" s="1"/>
      <c r="Y17" s="1"/>
      <c r="Z17" s="1"/>
      <c r="AA17" s="1"/>
    </row>
    <row r="18">
      <c r="A18" s="7" t="s">
        <v>10</v>
      </c>
      <c r="B18" s="7" t="s">
        <v>99</v>
      </c>
      <c r="C18" s="7" t="s">
        <v>99</v>
      </c>
      <c r="D18" s="7" t="s">
        <v>99</v>
      </c>
      <c r="E18" s="2"/>
      <c r="F18" s="7" t="s">
        <v>37</v>
      </c>
      <c r="G18" s="7" t="s">
        <v>42</v>
      </c>
      <c r="H18" s="44" t="s">
        <v>201</v>
      </c>
      <c r="I18" s="42">
        <v>36000.0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45">
        <f>I18</f>
        <v>36000</v>
      </c>
      <c r="Q18" s="45">
        <f>I18</f>
        <v>36000</v>
      </c>
      <c r="R18" s="7">
        <v>0.0</v>
      </c>
      <c r="S18" s="7">
        <v>0.0</v>
      </c>
      <c r="T18" s="7">
        <v>0.0</v>
      </c>
      <c r="U18" s="7">
        <v>0.0</v>
      </c>
      <c r="V18" s="9">
        <f t="shared" si="1"/>
        <v>108000</v>
      </c>
      <c r="W18" s="1"/>
      <c r="X18" s="1"/>
      <c r="Y18" s="1"/>
      <c r="Z18" s="1"/>
      <c r="AA18" s="1"/>
    </row>
    <row r="19">
      <c r="A19" s="7" t="s">
        <v>10</v>
      </c>
      <c r="B19" s="7" t="s">
        <v>99</v>
      </c>
      <c r="C19" s="7" t="s">
        <v>99</v>
      </c>
      <c r="D19" s="7" t="s">
        <v>99</v>
      </c>
      <c r="E19" s="2"/>
      <c r="F19" s="7" t="s">
        <v>37</v>
      </c>
      <c r="G19" s="7" t="s">
        <v>42</v>
      </c>
      <c r="H19" s="46" t="s">
        <v>202</v>
      </c>
      <c r="I19" s="47">
        <f>sum(I16:I18)</f>
        <v>51800</v>
      </c>
      <c r="J19" s="7">
        <v>0.0</v>
      </c>
      <c r="K19" s="7">
        <v>0.0</v>
      </c>
      <c r="L19" s="7">
        <v>0.0</v>
      </c>
      <c r="M19" s="48">
        <f>I19</f>
        <v>51800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9">
        <f t="shared" si="1"/>
        <v>103600</v>
      </c>
      <c r="W19" s="1"/>
      <c r="X19" s="1"/>
      <c r="Y19" s="1"/>
      <c r="Z19" s="1"/>
      <c r="AA19" s="1"/>
    </row>
    <row r="20">
      <c r="A20" s="7" t="s">
        <v>10</v>
      </c>
      <c r="B20" s="7" t="s">
        <v>99</v>
      </c>
      <c r="C20" s="7" t="s">
        <v>99</v>
      </c>
      <c r="D20" s="7" t="s">
        <v>99</v>
      </c>
      <c r="E20" s="2"/>
      <c r="F20" s="7" t="s">
        <v>37</v>
      </c>
      <c r="G20" s="7" t="s">
        <v>42</v>
      </c>
      <c r="H20" s="49" t="s">
        <v>203</v>
      </c>
      <c r="J20" s="50">
        <v>17577.0</v>
      </c>
      <c r="K20" s="50">
        <v>17577.0</v>
      </c>
      <c r="L20" s="50">
        <v>17577.0</v>
      </c>
      <c r="M20" s="50">
        <v>17577.0</v>
      </c>
      <c r="N20" s="50">
        <v>17577.0</v>
      </c>
      <c r="O20" s="50">
        <v>17577.0</v>
      </c>
      <c r="P20" s="50">
        <v>17577.0</v>
      </c>
      <c r="Q20" s="50">
        <v>17577.0</v>
      </c>
      <c r="R20" s="50">
        <v>17577.0</v>
      </c>
      <c r="S20" s="50">
        <v>17577.0</v>
      </c>
      <c r="T20" s="50">
        <v>17577.0</v>
      </c>
      <c r="U20" s="50">
        <v>16419.0</v>
      </c>
      <c r="V20" s="9">
        <f t="shared" si="1"/>
        <v>209766</v>
      </c>
      <c r="W20" s="1"/>
      <c r="X20" s="1"/>
      <c r="Y20" s="1"/>
      <c r="Z20" s="1"/>
      <c r="AA20" s="1"/>
    </row>
    <row r="21">
      <c r="A21" s="7" t="s">
        <v>10</v>
      </c>
      <c r="B21" s="7" t="s">
        <v>99</v>
      </c>
      <c r="C21" s="7" t="s">
        <v>99</v>
      </c>
      <c r="D21" s="7" t="s">
        <v>99</v>
      </c>
      <c r="E21" s="2"/>
      <c r="F21" s="7" t="s">
        <v>37</v>
      </c>
      <c r="G21" s="7" t="s">
        <v>42</v>
      </c>
      <c r="H21" s="34" t="s">
        <v>204</v>
      </c>
      <c r="I21" s="51">
        <v>5201.0</v>
      </c>
      <c r="J21" s="50">
        <v>5201.0</v>
      </c>
      <c r="K21" s="50">
        <v>5201.0</v>
      </c>
      <c r="L21" s="50">
        <v>5201.0</v>
      </c>
      <c r="M21" s="50">
        <v>5201.0</v>
      </c>
      <c r="N21" s="50">
        <v>5201.0</v>
      </c>
      <c r="O21" s="50">
        <v>5201.0</v>
      </c>
      <c r="P21" s="50">
        <v>5201.0</v>
      </c>
      <c r="Q21" s="50">
        <v>5201.0</v>
      </c>
      <c r="R21" s="50">
        <v>5201.0</v>
      </c>
      <c r="S21" s="50">
        <v>5201.0</v>
      </c>
      <c r="T21" s="50">
        <v>5201.0</v>
      </c>
      <c r="U21" s="50">
        <v>5201.0</v>
      </c>
      <c r="V21" s="9">
        <f t="shared" si="1"/>
        <v>67613</v>
      </c>
      <c r="W21" s="1"/>
      <c r="X21" s="1"/>
      <c r="Y21" s="1"/>
      <c r="Z21" s="1"/>
      <c r="AA21" s="1"/>
    </row>
    <row r="22">
      <c r="A22" s="7" t="s">
        <v>10</v>
      </c>
      <c r="B22" s="7" t="s">
        <v>99</v>
      </c>
      <c r="C22" s="7" t="s">
        <v>99</v>
      </c>
      <c r="D22" s="7" t="s">
        <v>99</v>
      </c>
      <c r="E22" s="2"/>
      <c r="F22" s="7" t="s">
        <v>37</v>
      </c>
      <c r="G22" s="7" t="s">
        <v>42</v>
      </c>
      <c r="H22" s="1" t="s">
        <v>205</v>
      </c>
      <c r="I22" s="39">
        <v>412.0</v>
      </c>
      <c r="J22" s="50">
        <f t="shared" ref="J22:U22" si="2">$I22*36</f>
        <v>14832</v>
      </c>
      <c r="K22" s="50">
        <f t="shared" si="2"/>
        <v>14832</v>
      </c>
      <c r="L22" s="50">
        <f t="shared" si="2"/>
        <v>14832</v>
      </c>
      <c r="M22" s="50">
        <f t="shared" si="2"/>
        <v>14832</v>
      </c>
      <c r="N22" s="50">
        <f t="shared" si="2"/>
        <v>14832</v>
      </c>
      <c r="O22" s="50">
        <f t="shared" si="2"/>
        <v>14832</v>
      </c>
      <c r="P22" s="50">
        <f t="shared" si="2"/>
        <v>14832</v>
      </c>
      <c r="Q22" s="50">
        <f t="shared" si="2"/>
        <v>14832</v>
      </c>
      <c r="R22" s="50">
        <f t="shared" si="2"/>
        <v>14832</v>
      </c>
      <c r="S22" s="50">
        <f t="shared" si="2"/>
        <v>14832</v>
      </c>
      <c r="T22" s="50">
        <f t="shared" si="2"/>
        <v>14832</v>
      </c>
      <c r="U22" s="50">
        <f t="shared" si="2"/>
        <v>14832</v>
      </c>
      <c r="V22" s="9">
        <f t="shared" si="1"/>
        <v>178396</v>
      </c>
      <c r="W22" s="1"/>
      <c r="X22" s="1"/>
      <c r="Y22" s="1"/>
      <c r="Z22" s="1"/>
      <c r="AA22" s="1"/>
    </row>
    <row r="23">
      <c r="A23" s="7" t="s">
        <v>10</v>
      </c>
      <c r="B23" s="7" t="s">
        <v>99</v>
      </c>
      <c r="C23" s="7" t="s">
        <v>99</v>
      </c>
      <c r="D23" s="7" t="s">
        <v>99</v>
      </c>
      <c r="E23" s="2"/>
      <c r="F23" s="7" t="s">
        <v>37</v>
      </c>
      <c r="G23" s="7" t="s">
        <v>42</v>
      </c>
      <c r="H23" s="1" t="s">
        <v>206</v>
      </c>
      <c r="I23" s="39">
        <v>300.0</v>
      </c>
      <c r="J23" s="50">
        <f>$I$23*sum('｜工作區&gt;&gt;&gt;'!C33:C36)</f>
        <v>8400</v>
      </c>
      <c r="K23" s="50">
        <f>$I$23*sum('｜工作區&gt;&gt;&gt;'!D33:D36)</f>
        <v>8400</v>
      </c>
      <c r="L23" s="50">
        <f>$I$23*sum('｜工作區&gt;&gt;&gt;'!E33:E36)</f>
        <v>8400</v>
      </c>
      <c r="M23" s="50">
        <f>$I$23*sum('｜工作區&gt;&gt;&gt;'!F33:F36)</f>
        <v>8700</v>
      </c>
      <c r="N23" s="50">
        <f>$I$23*sum('｜工作區&gt;&gt;&gt;'!G33:G36)</f>
        <v>8700</v>
      </c>
      <c r="O23" s="50">
        <f>$I$23*sum('｜工作區&gt;&gt;&gt;'!H33:H36)</f>
        <v>9000</v>
      </c>
      <c r="P23" s="50">
        <f>$I$23*sum('｜工作區&gt;&gt;&gt;'!I33:I36)</f>
        <v>9000</v>
      </c>
      <c r="Q23" s="50">
        <f>$I$23*sum('｜工作區&gt;&gt;&gt;'!J33:J36)</f>
        <v>9000</v>
      </c>
      <c r="R23" s="50">
        <f>$I$23*sum('｜工作區&gt;&gt;&gt;'!K33:K36)</f>
        <v>9000</v>
      </c>
      <c r="S23" s="50">
        <f>$I$23*sum('｜工作區&gt;&gt;&gt;'!L33:L36)</f>
        <v>9000</v>
      </c>
      <c r="T23" s="50">
        <f>$I$23*sum('｜工作區&gt;&gt;&gt;'!M33:M36)</f>
        <v>9000</v>
      </c>
      <c r="U23" s="50">
        <f>$I$23*sum('｜工作區&gt;&gt;&gt;'!N33:N36)</f>
        <v>9000</v>
      </c>
      <c r="V23" s="9">
        <f t="shared" si="1"/>
        <v>105900</v>
      </c>
      <c r="W23" s="1"/>
      <c r="X23" s="1"/>
      <c r="Y23" s="1"/>
      <c r="Z23" s="1"/>
      <c r="AA23" s="1"/>
    </row>
    <row r="24">
      <c r="A24" s="7" t="s">
        <v>10</v>
      </c>
      <c r="B24" s="7" t="s">
        <v>99</v>
      </c>
      <c r="C24" s="7" t="s">
        <v>99</v>
      </c>
      <c r="D24" s="7" t="s">
        <v>99</v>
      </c>
      <c r="E24" s="2"/>
      <c r="F24" s="7" t="s">
        <v>37</v>
      </c>
      <c r="G24" s="7" t="s">
        <v>42</v>
      </c>
      <c r="H24" s="1" t="s">
        <v>207</v>
      </c>
      <c r="I24" s="39">
        <v>124.0</v>
      </c>
      <c r="J24" s="50">
        <f>$I$24*sum('｜工作區&gt;&gt;&gt;'!C33:C36)</f>
        <v>3472</v>
      </c>
      <c r="K24" s="50">
        <f>$I$24*sum('｜工作區&gt;&gt;&gt;'!D33:D36)</f>
        <v>3472</v>
      </c>
      <c r="L24" s="50">
        <f>$I$24*sum('｜工作區&gt;&gt;&gt;'!E33:E36)</f>
        <v>3472</v>
      </c>
      <c r="M24" s="50">
        <f>$I$24*sum('｜工作區&gt;&gt;&gt;'!F33:F36)</f>
        <v>3596</v>
      </c>
      <c r="N24" s="50">
        <f>$I$24*sum('｜工作區&gt;&gt;&gt;'!G33:G36)</f>
        <v>3596</v>
      </c>
      <c r="O24" s="50">
        <f>$I$24*sum('｜工作區&gt;&gt;&gt;'!H33:H36)</f>
        <v>3720</v>
      </c>
      <c r="P24" s="50">
        <f>$I$24*sum('｜工作區&gt;&gt;&gt;'!I33:I36)</f>
        <v>3720</v>
      </c>
      <c r="Q24" s="50">
        <f>$I$24*sum('｜工作區&gt;&gt;&gt;'!J33:J36)</f>
        <v>3720</v>
      </c>
      <c r="R24" s="50">
        <f>$I$24*sum('｜工作區&gt;&gt;&gt;'!K33:K36)</f>
        <v>3720</v>
      </c>
      <c r="S24" s="50">
        <f>$I$24*sum('｜工作區&gt;&gt;&gt;'!L33:L36)</f>
        <v>3720</v>
      </c>
      <c r="T24" s="50">
        <f>$I$24*sum('｜工作區&gt;&gt;&gt;'!M33:M36)</f>
        <v>3720</v>
      </c>
      <c r="U24" s="50">
        <f>$I$24*sum('｜工作區&gt;&gt;&gt;'!N33:N36)</f>
        <v>3720</v>
      </c>
      <c r="V24" s="9">
        <f t="shared" si="1"/>
        <v>43772</v>
      </c>
      <c r="W24" s="1"/>
      <c r="X24" s="1"/>
      <c r="Y24" s="1"/>
      <c r="Z24" s="1"/>
      <c r="AA24" s="1"/>
    </row>
    <row r="25">
      <c r="A25" s="7" t="s">
        <v>10</v>
      </c>
      <c r="B25" s="7" t="s">
        <v>99</v>
      </c>
      <c r="C25" s="7" t="s">
        <v>99</v>
      </c>
      <c r="D25" s="7" t="s">
        <v>99</v>
      </c>
      <c r="E25" s="2"/>
      <c r="F25" s="7" t="s">
        <v>37</v>
      </c>
      <c r="G25" s="7" t="s">
        <v>42</v>
      </c>
      <c r="H25" s="1" t="s">
        <v>208</v>
      </c>
      <c r="I25" s="39">
        <v>282.0</v>
      </c>
      <c r="J25" s="40">
        <f t="shared" ref="J25:U25" si="3">$I$25*18</f>
        <v>5076</v>
      </c>
      <c r="K25" s="40">
        <f t="shared" si="3"/>
        <v>5076</v>
      </c>
      <c r="L25" s="40">
        <f t="shared" si="3"/>
        <v>5076</v>
      </c>
      <c r="M25" s="40">
        <f t="shared" si="3"/>
        <v>5076</v>
      </c>
      <c r="N25" s="40">
        <f t="shared" si="3"/>
        <v>5076</v>
      </c>
      <c r="O25" s="40">
        <f t="shared" si="3"/>
        <v>5076</v>
      </c>
      <c r="P25" s="40">
        <f t="shared" si="3"/>
        <v>5076</v>
      </c>
      <c r="Q25" s="40">
        <f t="shared" si="3"/>
        <v>5076</v>
      </c>
      <c r="R25" s="40">
        <f t="shared" si="3"/>
        <v>5076</v>
      </c>
      <c r="S25" s="40">
        <f t="shared" si="3"/>
        <v>5076</v>
      </c>
      <c r="T25" s="40">
        <f t="shared" si="3"/>
        <v>5076</v>
      </c>
      <c r="U25" s="40">
        <f t="shared" si="3"/>
        <v>5076</v>
      </c>
      <c r="V25" s="9">
        <f t="shared" si="1"/>
        <v>61194</v>
      </c>
      <c r="W25" s="1"/>
      <c r="X25" s="1"/>
      <c r="Y25" s="1"/>
      <c r="Z25" s="1"/>
      <c r="AA25" s="1"/>
    </row>
    <row r="26">
      <c r="A26" s="7" t="s">
        <v>10</v>
      </c>
      <c r="B26" s="7" t="s">
        <v>99</v>
      </c>
      <c r="C26" s="7" t="s">
        <v>99</v>
      </c>
      <c r="D26" s="7" t="s">
        <v>99</v>
      </c>
      <c r="E26" s="2"/>
      <c r="F26" s="7" t="s">
        <v>37</v>
      </c>
      <c r="G26" s="7" t="s">
        <v>42</v>
      </c>
      <c r="H26" s="1" t="s">
        <v>209</v>
      </c>
      <c r="I26" s="39">
        <v>830.0</v>
      </c>
      <c r="J26" s="52">
        <f>$I$26*sum('｜工作區&gt;&gt;&gt;'!C33:C36)</f>
        <v>23240</v>
      </c>
      <c r="K26" s="52">
        <f>$I$26*sum('｜工作區&gt;&gt;&gt;'!D33:D36)</f>
        <v>23240</v>
      </c>
      <c r="L26" s="52">
        <f>$I$26*sum('｜工作區&gt;&gt;&gt;'!E33:E36)</f>
        <v>23240</v>
      </c>
      <c r="M26" s="52">
        <f>$I$26*sum('｜工作區&gt;&gt;&gt;'!F33:F36)</f>
        <v>24070</v>
      </c>
      <c r="N26" s="52">
        <f>$I$26*sum('｜工作區&gt;&gt;&gt;'!G33:G36)</f>
        <v>24070</v>
      </c>
      <c r="O26" s="52">
        <f>$I$26*sum('｜工作區&gt;&gt;&gt;'!H33:H36)</f>
        <v>24900</v>
      </c>
      <c r="P26" s="52">
        <f>$I$26*sum('｜工作區&gt;&gt;&gt;'!I33:I36)</f>
        <v>24900</v>
      </c>
      <c r="Q26" s="52">
        <f>$I$26*sum('｜工作區&gt;&gt;&gt;'!J33:J36)</f>
        <v>24900</v>
      </c>
      <c r="R26" s="52">
        <f>$I$26*sum('｜工作區&gt;&gt;&gt;'!K33:K36)</f>
        <v>24900</v>
      </c>
      <c r="S26" s="52">
        <f>$I$26*sum('｜工作區&gt;&gt;&gt;'!L33:L36)</f>
        <v>24900</v>
      </c>
      <c r="T26" s="52">
        <f>$I$26*sum('｜工作區&gt;&gt;&gt;'!M33:M36)</f>
        <v>24900</v>
      </c>
      <c r="U26" s="52">
        <f>$I$26*sum('｜工作區&gt;&gt;&gt;'!N33:N36)</f>
        <v>24900</v>
      </c>
      <c r="V26" s="9">
        <f t="shared" si="1"/>
        <v>292990</v>
      </c>
      <c r="W26" s="1"/>
      <c r="X26" s="1"/>
      <c r="Y26" s="1"/>
      <c r="Z26" s="1"/>
      <c r="AA26" s="1"/>
    </row>
    <row r="27">
      <c r="A27" s="7" t="s">
        <v>10</v>
      </c>
      <c r="B27" s="7" t="s">
        <v>99</v>
      </c>
      <c r="C27" s="7" t="s">
        <v>99</v>
      </c>
      <c r="D27" s="7" t="s">
        <v>99</v>
      </c>
      <c r="E27" s="2"/>
      <c r="F27" s="7" t="s">
        <v>37</v>
      </c>
      <c r="G27" s="7" t="s">
        <v>42</v>
      </c>
      <c r="H27" s="1" t="s">
        <v>210</v>
      </c>
      <c r="I27" s="39">
        <v>300.0</v>
      </c>
      <c r="J27" s="52">
        <f>$I$26*(sum('｜工作區&gt;&gt;&gt;'!C33:C36)+4)</f>
        <v>26560</v>
      </c>
      <c r="K27" s="52">
        <f>$I$26*(sum('｜工作區&gt;&gt;&gt;'!D33:D36)+4)</f>
        <v>26560</v>
      </c>
      <c r="L27" s="52">
        <f>$I$26*(sum('｜工作區&gt;&gt;&gt;'!E33:E36)+4)</f>
        <v>26560</v>
      </c>
      <c r="M27" s="52">
        <f>$I$26*(sum('｜工作區&gt;&gt;&gt;'!F33:F36)+4)</f>
        <v>27390</v>
      </c>
      <c r="N27" s="52">
        <f>$I$26*(sum('｜工作區&gt;&gt;&gt;'!G33:G36)+4)</f>
        <v>27390</v>
      </c>
      <c r="O27" s="52">
        <f>$I$26*(sum('｜工作區&gt;&gt;&gt;'!H33:H36)+4)</f>
        <v>28220</v>
      </c>
      <c r="P27" s="52">
        <f>$I$26*(sum('｜工作區&gt;&gt;&gt;'!I33:I36)+4)</f>
        <v>28220</v>
      </c>
      <c r="Q27" s="52">
        <f>$I$26*(sum('｜工作區&gt;&gt;&gt;'!J33:J36)+4)</f>
        <v>28220</v>
      </c>
      <c r="R27" s="52">
        <f>$I$26*(sum('｜工作區&gt;&gt;&gt;'!K33:K36)+4)</f>
        <v>28220</v>
      </c>
      <c r="S27" s="52">
        <f>$I$26*(sum('｜工作區&gt;&gt;&gt;'!L33:L36)+4)</f>
        <v>28220</v>
      </c>
      <c r="T27" s="52">
        <f>$I$26*(sum('｜工作區&gt;&gt;&gt;'!M33:M36)+4)</f>
        <v>28220</v>
      </c>
      <c r="U27" s="52">
        <f>$I$26*(sum('｜工作區&gt;&gt;&gt;'!N33:N36)+4)</f>
        <v>28220</v>
      </c>
      <c r="V27" s="9">
        <f t="shared" si="1"/>
        <v>332300</v>
      </c>
      <c r="W27" s="1"/>
      <c r="X27" s="1"/>
      <c r="Y27" s="1"/>
      <c r="Z27" s="1"/>
      <c r="AA27" s="1"/>
    </row>
    <row r="28">
      <c r="A28" s="7" t="s">
        <v>10</v>
      </c>
      <c r="B28" s="7" t="s">
        <v>99</v>
      </c>
      <c r="C28" s="7" t="s">
        <v>99</v>
      </c>
      <c r="D28" s="7" t="s">
        <v>99</v>
      </c>
      <c r="E28" s="2"/>
      <c r="F28" s="7" t="s">
        <v>37</v>
      </c>
      <c r="G28" s="7" t="s">
        <v>42</v>
      </c>
      <c r="H28" s="1" t="s">
        <v>211</v>
      </c>
      <c r="I28" s="39">
        <v>218.0</v>
      </c>
      <c r="J28" s="40">
        <f>$I$28*sum('｜工作區&gt;&gt;&gt;'!C33:C37)</f>
        <v>7848</v>
      </c>
      <c r="K28" s="40">
        <f>$I$28*sum('｜工作區&gt;&gt;&gt;'!D33:D37)</f>
        <v>7848</v>
      </c>
      <c r="L28" s="40">
        <f>$I$28*sum('｜工作區&gt;&gt;&gt;'!E33:E37)</f>
        <v>7848</v>
      </c>
      <c r="M28" s="40">
        <f>$I$28*sum('｜工作區&gt;&gt;&gt;'!F33:F37)</f>
        <v>8066</v>
      </c>
      <c r="N28" s="40">
        <f>$I$28*sum('｜工作區&gt;&gt;&gt;'!G33:G37)</f>
        <v>8066</v>
      </c>
      <c r="O28" s="40">
        <f>$I$28*sum('｜工作區&gt;&gt;&gt;'!H33:H37)</f>
        <v>8284</v>
      </c>
      <c r="P28" s="40">
        <f>$I$28*sum('｜工作區&gt;&gt;&gt;'!I33:I37)</f>
        <v>8284</v>
      </c>
      <c r="Q28" s="40">
        <f>$I$28*sum('｜工作區&gt;&gt;&gt;'!J33:J37)</f>
        <v>8284</v>
      </c>
      <c r="R28" s="40">
        <f>$I$28*sum('｜工作區&gt;&gt;&gt;'!K33:K37)</f>
        <v>8284</v>
      </c>
      <c r="S28" s="40">
        <f>$I$28*sum('｜工作區&gt;&gt;&gt;'!L33:L37)</f>
        <v>8284</v>
      </c>
      <c r="T28" s="40">
        <f>$I$28*sum('｜工作區&gt;&gt;&gt;'!M33:M37)</f>
        <v>8284</v>
      </c>
      <c r="U28" s="40">
        <f>$I$28*sum('｜工作區&gt;&gt;&gt;'!N33:N37)</f>
        <v>8284</v>
      </c>
      <c r="V28" s="9">
        <f t="shared" si="1"/>
        <v>97882</v>
      </c>
      <c r="W28" s="1"/>
      <c r="X28" s="1"/>
      <c r="Y28" s="1"/>
      <c r="Z28" s="1"/>
      <c r="AA28" s="1"/>
    </row>
    <row r="29">
      <c r="A29" s="7" t="s">
        <v>10</v>
      </c>
      <c r="B29" s="7" t="s">
        <v>99</v>
      </c>
      <c r="C29" s="7" t="s">
        <v>99</v>
      </c>
      <c r="D29" s="7" t="s">
        <v>99</v>
      </c>
      <c r="E29" s="2"/>
      <c r="F29" s="7" t="s">
        <v>37</v>
      </c>
      <c r="G29" s="7" t="s">
        <v>42</v>
      </c>
      <c r="H29" s="1" t="s">
        <v>212</v>
      </c>
      <c r="I29" s="39">
        <v>800.0</v>
      </c>
      <c r="J29" s="52">
        <f t="shared" ref="J29:U29" si="4">$I$29*12</f>
        <v>9600</v>
      </c>
      <c r="K29" s="52">
        <f t="shared" si="4"/>
        <v>9600</v>
      </c>
      <c r="L29" s="52">
        <f t="shared" si="4"/>
        <v>9600</v>
      </c>
      <c r="M29" s="52">
        <f t="shared" si="4"/>
        <v>9600</v>
      </c>
      <c r="N29" s="52">
        <f t="shared" si="4"/>
        <v>9600</v>
      </c>
      <c r="O29" s="52">
        <f t="shared" si="4"/>
        <v>9600</v>
      </c>
      <c r="P29" s="52">
        <f t="shared" si="4"/>
        <v>9600</v>
      </c>
      <c r="Q29" s="52">
        <f t="shared" si="4"/>
        <v>9600</v>
      </c>
      <c r="R29" s="52">
        <f t="shared" si="4"/>
        <v>9600</v>
      </c>
      <c r="S29" s="52">
        <f t="shared" si="4"/>
        <v>9600</v>
      </c>
      <c r="T29" s="52">
        <f t="shared" si="4"/>
        <v>9600</v>
      </c>
      <c r="U29" s="52">
        <f t="shared" si="4"/>
        <v>9600</v>
      </c>
      <c r="V29" s="9">
        <f t="shared" si="1"/>
        <v>116000</v>
      </c>
      <c r="W29" s="1"/>
      <c r="X29" s="1"/>
      <c r="Y29" s="1"/>
      <c r="Z29" s="1"/>
      <c r="AA29" s="1"/>
    </row>
    <row r="30">
      <c r="A30" s="7" t="s">
        <v>10</v>
      </c>
      <c r="B30" s="7" t="s">
        <v>99</v>
      </c>
      <c r="C30" s="7" t="s">
        <v>99</v>
      </c>
      <c r="D30" s="7" t="s">
        <v>99</v>
      </c>
      <c r="E30" s="2"/>
      <c r="F30" s="7" t="s">
        <v>37</v>
      </c>
      <c r="G30" s="7" t="s">
        <v>42</v>
      </c>
      <c r="H30" s="1" t="s">
        <v>213</v>
      </c>
      <c r="I30" s="39">
        <v>100.0</v>
      </c>
      <c r="J30" s="52">
        <f>$I$30*sum('｜工作區&gt;&gt;&gt;'!C33:C36)</f>
        <v>2800</v>
      </c>
      <c r="K30" s="52">
        <f>$I$30*sum('｜工作區&gt;&gt;&gt;'!D33:D36)</f>
        <v>2800</v>
      </c>
      <c r="L30" s="52">
        <f>$I$30*sum('｜工作區&gt;&gt;&gt;'!E33:E36)</f>
        <v>2800</v>
      </c>
      <c r="M30" s="52">
        <f>$I$30*sum('｜工作區&gt;&gt;&gt;'!F33:F36)</f>
        <v>2900</v>
      </c>
      <c r="N30" s="52">
        <f>$I$30*sum('｜工作區&gt;&gt;&gt;'!G33:G36)</f>
        <v>2900</v>
      </c>
      <c r="O30" s="52">
        <f>$I$30*sum('｜工作區&gt;&gt;&gt;'!H33:H36)</f>
        <v>3000</v>
      </c>
      <c r="P30" s="52">
        <f>$I$30*sum('｜工作區&gt;&gt;&gt;'!I33:I36)</f>
        <v>3000</v>
      </c>
      <c r="Q30" s="52">
        <f>$I$30*sum('｜工作區&gt;&gt;&gt;'!J33:J36)</f>
        <v>3000</v>
      </c>
      <c r="R30" s="52">
        <f>$I$30*sum('｜工作區&gt;&gt;&gt;'!K33:K36)</f>
        <v>3000</v>
      </c>
      <c r="S30" s="52">
        <f>$I$30*sum('｜工作區&gt;&gt;&gt;'!L33:L36)</f>
        <v>3000</v>
      </c>
      <c r="T30" s="52">
        <f>$I$30*sum('｜工作區&gt;&gt;&gt;'!M33:M36)</f>
        <v>3000</v>
      </c>
      <c r="U30" s="52">
        <f>$I$30*sum('｜工作區&gt;&gt;&gt;'!N33:N36)</f>
        <v>3000</v>
      </c>
      <c r="V30" s="9">
        <f t="shared" si="1"/>
        <v>35300</v>
      </c>
      <c r="W30" s="1"/>
      <c r="X30" s="1"/>
      <c r="Y30" s="1"/>
      <c r="Z30" s="1"/>
      <c r="AA30" s="1"/>
    </row>
    <row r="31">
      <c r="A31" s="7" t="s">
        <v>10</v>
      </c>
      <c r="B31" s="7" t="s">
        <v>99</v>
      </c>
      <c r="C31" s="7" t="s">
        <v>99</v>
      </c>
      <c r="D31" s="7" t="s">
        <v>99</v>
      </c>
      <c r="E31" s="2"/>
      <c r="F31" s="7" t="s">
        <v>37</v>
      </c>
      <c r="G31" s="7" t="s">
        <v>42</v>
      </c>
      <c r="H31" s="1" t="s">
        <v>214</v>
      </c>
      <c r="I31" s="47">
        <v>1384.0</v>
      </c>
      <c r="J31" s="40">
        <f>$I$31*sum('｜工作區&gt;&gt;&gt;'!C33:C35)</f>
        <v>6920</v>
      </c>
      <c r="K31" s="40">
        <f>$I$31*sum('｜工作區&gt;&gt;&gt;'!D33:D35)</f>
        <v>6920</v>
      </c>
      <c r="L31" s="40">
        <f>$I$31*sum('｜工作區&gt;&gt;&gt;'!E33:E35)</f>
        <v>6920</v>
      </c>
      <c r="M31" s="40">
        <f>$I$31*sum('｜工作區&gt;&gt;&gt;'!F33:F35)</f>
        <v>6920</v>
      </c>
      <c r="N31" s="40">
        <f>$I$31*sum('｜工作區&gt;&gt;&gt;'!G33:G35)</f>
        <v>6920</v>
      </c>
      <c r="O31" s="40">
        <f>$I$31*sum('｜工作區&gt;&gt;&gt;'!H33:H35)</f>
        <v>6920</v>
      </c>
      <c r="P31" s="40">
        <f>$I$31*sum('｜工作區&gt;&gt;&gt;'!I33:I35)</f>
        <v>6920</v>
      </c>
      <c r="Q31" s="40">
        <f>$I$31*sum('｜工作區&gt;&gt;&gt;'!J33:J35)</f>
        <v>6920</v>
      </c>
      <c r="R31" s="40">
        <f>$I$31*sum('｜工作區&gt;&gt;&gt;'!K33:K35)</f>
        <v>6920</v>
      </c>
      <c r="S31" s="40">
        <f>$I$31*sum('｜工作區&gt;&gt;&gt;'!L33:L35)</f>
        <v>6920</v>
      </c>
      <c r="T31" s="40">
        <f>$I$31*sum('｜工作區&gt;&gt;&gt;'!M33:M35)</f>
        <v>6920</v>
      </c>
      <c r="U31" s="40">
        <f>$I$31*sum('｜工作區&gt;&gt;&gt;'!N33:N35)</f>
        <v>6920</v>
      </c>
      <c r="V31" s="9">
        <f t="shared" si="1"/>
        <v>84424</v>
      </c>
      <c r="W31" s="1"/>
      <c r="X31" s="1"/>
      <c r="Y31" s="1"/>
      <c r="Z31" s="1"/>
      <c r="AA31" s="1"/>
    </row>
    <row r="32">
      <c r="A32" s="7" t="s">
        <v>10</v>
      </c>
      <c r="B32" s="7" t="s">
        <v>99</v>
      </c>
      <c r="C32" s="7" t="s">
        <v>99</v>
      </c>
      <c r="D32" s="7" t="s">
        <v>99</v>
      </c>
      <c r="E32" s="2"/>
      <c r="F32" s="7" t="s">
        <v>37</v>
      </c>
      <c r="G32" s="7" t="s">
        <v>42</v>
      </c>
      <c r="H32" s="1" t="s">
        <v>215</v>
      </c>
      <c r="I32" s="47">
        <v>229.0</v>
      </c>
      <c r="J32" s="40">
        <f>$I$32*'｜工作區&gt;&gt;&gt;'!C36</f>
        <v>5267</v>
      </c>
      <c r="K32" s="40">
        <f>$I$32*'｜工作區&gt;&gt;&gt;'!D36</f>
        <v>5267</v>
      </c>
      <c r="L32" s="40">
        <f>$I$32*'｜工作區&gt;&gt;&gt;'!E36</f>
        <v>5267</v>
      </c>
      <c r="M32" s="40">
        <f>$I$32*'｜工作區&gt;&gt;&gt;'!F36</f>
        <v>5496</v>
      </c>
      <c r="N32" s="40">
        <f>$I$32*'｜工作區&gt;&gt;&gt;'!G36</f>
        <v>5496</v>
      </c>
      <c r="O32" s="40">
        <f>$I$32*'｜工作區&gt;&gt;&gt;'!H36</f>
        <v>5725</v>
      </c>
      <c r="P32" s="40">
        <f>$I$32*'｜工作區&gt;&gt;&gt;'!I36</f>
        <v>5725</v>
      </c>
      <c r="Q32" s="40">
        <f>$I$32*'｜工作區&gt;&gt;&gt;'!J36</f>
        <v>5725</v>
      </c>
      <c r="R32" s="40">
        <f>$I$32*'｜工作區&gt;&gt;&gt;'!K36</f>
        <v>5725</v>
      </c>
      <c r="S32" s="40">
        <f>$I$32*'｜工作區&gt;&gt;&gt;'!L36</f>
        <v>5725</v>
      </c>
      <c r="T32" s="40">
        <f>$I$32*'｜工作區&gt;&gt;&gt;'!M36</f>
        <v>5725</v>
      </c>
      <c r="U32" s="40">
        <f>$I$32*'｜工作區&gt;&gt;&gt;'!N36</f>
        <v>5725</v>
      </c>
      <c r="V32" s="9">
        <f t="shared" si="1"/>
        <v>67097</v>
      </c>
      <c r="W32" s="1"/>
      <c r="X32" s="1"/>
      <c r="Y32" s="1"/>
      <c r="Z32" s="1"/>
      <c r="AA32" s="1"/>
    </row>
    <row r="33">
      <c r="A33" s="7" t="s">
        <v>10</v>
      </c>
      <c r="B33" s="7" t="s">
        <v>99</v>
      </c>
      <c r="C33" s="7" t="s">
        <v>99</v>
      </c>
      <c r="D33" s="7" t="s">
        <v>99</v>
      </c>
      <c r="E33" s="7" t="s">
        <v>14</v>
      </c>
      <c r="F33" s="7" t="s">
        <v>37</v>
      </c>
      <c r="G33" s="7" t="s">
        <v>42</v>
      </c>
      <c r="H33" s="1" t="s">
        <v>216</v>
      </c>
      <c r="I33" s="47">
        <v>352.0</v>
      </c>
      <c r="J33" s="53">
        <f>$I$33*'｜工作區&gt;&gt;&gt;'!C34</f>
        <v>704</v>
      </c>
      <c r="K33" s="53">
        <f>$I$33*'｜工作區&gt;&gt;&gt;'!D34</f>
        <v>704</v>
      </c>
      <c r="L33" s="53">
        <f>$I$33*'｜工作區&gt;&gt;&gt;'!E34</f>
        <v>704</v>
      </c>
      <c r="M33" s="53">
        <f>$I$33*'｜工作區&gt;&gt;&gt;'!F34</f>
        <v>704</v>
      </c>
      <c r="N33" s="53">
        <f>$I$33*'｜工作區&gt;&gt;&gt;'!G34</f>
        <v>704</v>
      </c>
      <c r="O33" s="53">
        <f>$I$33*'｜工作區&gt;&gt;&gt;'!H34</f>
        <v>704</v>
      </c>
      <c r="P33" s="53">
        <f>$I$33*'｜工作區&gt;&gt;&gt;'!I34</f>
        <v>704</v>
      </c>
      <c r="Q33" s="53">
        <f>$I$33*'｜工作區&gt;&gt;&gt;'!J34</f>
        <v>704</v>
      </c>
      <c r="R33" s="53">
        <f>$I$33*'｜工作區&gt;&gt;&gt;'!K34</f>
        <v>704</v>
      </c>
      <c r="S33" s="53">
        <f>$I$33*'｜工作區&gt;&gt;&gt;'!L34</f>
        <v>704</v>
      </c>
      <c r="T33" s="53">
        <f>$I$33*'｜工作區&gt;&gt;&gt;'!M34</f>
        <v>704</v>
      </c>
      <c r="U33" s="53">
        <f>$I$33*'｜工作區&gt;&gt;&gt;'!N34</f>
        <v>704</v>
      </c>
      <c r="V33" s="9">
        <f t="shared" si="1"/>
        <v>8800</v>
      </c>
      <c r="W33" s="1"/>
      <c r="X33" s="1"/>
      <c r="Y33" s="1"/>
      <c r="Z33" s="1"/>
      <c r="AA33" s="1"/>
    </row>
    <row r="34">
      <c r="A34" s="7" t="s">
        <v>10</v>
      </c>
      <c r="B34" s="7" t="s">
        <v>99</v>
      </c>
      <c r="C34" s="7" t="s">
        <v>99</v>
      </c>
      <c r="D34" s="7" t="s">
        <v>99</v>
      </c>
      <c r="E34" s="2"/>
      <c r="F34" s="7" t="s">
        <v>37</v>
      </c>
      <c r="G34" s="7" t="s">
        <v>42</v>
      </c>
      <c r="H34" s="1" t="s">
        <v>217</v>
      </c>
      <c r="I34" s="47">
        <v>2354.0</v>
      </c>
      <c r="J34" s="40">
        <f>$I$34*'｜工作區&gt;&gt;&gt;'!C34</f>
        <v>4708</v>
      </c>
      <c r="K34" s="40">
        <f>$I$34*'｜工作區&gt;&gt;&gt;'!D34</f>
        <v>4708</v>
      </c>
      <c r="L34" s="40">
        <f>$I$34*'｜工作區&gt;&gt;&gt;'!E34</f>
        <v>4708</v>
      </c>
      <c r="M34" s="40">
        <f>$I$34*'｜工作區&gt;&gt;&gt;'!F34</f>
        <v>4708</v>
      </c>
      <c r="N34" s="40">
        <f>$I$34*'｜工作區&gt;&gt;&gt;'!G34</f>
        <v>4708</v>
      </c>
      <c r="O34" s="40">
        <f>$I$34*'｜工作區&gt;&gt;&gt;'!H34</f>
        <v>4708</v>
      </c>
      <c r="P34" s="40">
        <f>$I$34*'｜工作區&gt;&gt;&gt;'!I34</f>
        <v>4708</v>
      </c>
      <c r="Q34" s="40">
        <f>$I$34*'｜工作區&gt;&gt;&gt;'!J34</f>
        <v>4708</v>
      </c>
      <c r="R34" s="40">
        <f>$I$34*'｜工作區&gt;&gt;&gt;'!K34</f>
        <v>4708</v>
      </c>
      <c r="S34" s="40">
        <f>$I$34*'｜工作區&gt;&gt;&gt;'!L34</f>
        <v>4708</v>
      </c>
      <c r="T34" s="40">
        <f>$I$34*'｜工作區&gt;&gt;&gt;'!M34</f>
        <v>4708</v>
      </c>
      <c r="U34" s="40">
        <f>$I$34*'｜工作區&gt;&gt;&gt;'!N34</f>
        <v>4708</v>
      </c>
      <c r="V34" s="9">
        <f t="shared" si="1"/>
        <v>58850</v>
      </c>
      <c r="W34" s="1"/>
      <c r="X34" s="1"/>
      <c r="Y34" s="1"/>
      <c r="Z34" s="1"/>
      <c r="AA34" s="1"/>
    </row>
    <row r="35">
      <c r="A35" s="7" t="s">
        <v>10</v>
      </c>
      <c r="B35" s="7" t="s">
        <v>99</v>
      </c>
      <c r="C35" s="7" t="s">
        <v>99</v>
      </c>
      <c r="D35" s="7" t="s">
        <v>99</v>
      </c>
      <c r="E35" s="2"/>
      <c r="F35" s="7" t="s">
        <v>37</v>
      </c>
      <c r="G35" s="7" t="s">
        <v>42</v>
      </c>
      <c r="H35" s="1" t="s">
        <v>218</v>
      </c>
      <c r="I35" s="39">
        <v>3728.0</v>
      </c>
      <c r="J35" s="40">
        <f>$I$35*sum('｜工作區&gt;&gt;&gt;'!C33:C36)</f>
        <v>104384</v>
      </c>
      <c r="K35" s="40">
        <f>$I$35*sum('｜工作區&gt;&gt;&gt;'!D33:D36)</f>
        <v>104384</v>
      </c>
      <c r="L35" s="40">
        <f>$I$35*sum('｜工作區&gt;&gt;&gt;'!E33:E36)</f>
        <v>104384</v>
      </c>
      <c r="M35" s="40">
        <f>$I$35*sum('｜工作區&gt;&gt;&gt;'!F33:F36)</f>
        <v>108112</v>
      </c>
      <c r="N35" s="40">
        <f>$I$35*sum('｜工作區&gt;&gt;&gt;'!G33:G36)</f>
        <v>108112</v>
      </c>
      <c r="O35" s="40">
        <f>$I$35*sum('｜工作區&gt;&gt;&gt;'!H33:H36)</f>
        <v>111840</v>
      </c>
      <c r="P35" s="40">
        <f>$I$35*sum('｜工作區&gt;&gt;&gt;'!I33:I36)</f>
        <v>111840</v>
      </c>
      <c r="Q35" s="40">
        <f>$I$35*sum('｜工作區&gt;&gt;&gt;'!J33:J36)</f>
        <v>111840</v>
      </c>
      <c r="R35" s="40">
        <f>$I$35*sum('｜工作區&gt;&gt;&gt;'!K33:K36)</f>
        <v>111840</v>
      </c>
      <c r="S35" s="40">
        <f>$I$35*sum('｜工作區&gt;&gt;&gt;'!L33:L36)</f>
        <v>111840</v>
      </c>
      <c r="T35" s="40">
        <f>$I$35*sum('｜工作區&gt;&gt;&gt;'!M33:M36)</f>
        <v>111840</v>
      </c>
      <c r="U35" s="40">
        <f>$I$35*sum('｜工作區&gt;&gt;&gt;'!N33:N36)</f>
        <v>111840</v>
      </c>
      <c r="V35" s="9">
        <f t="shared" si="1"/>
        <v>1315984</v>
      </c>
      <c r="W35" s="1"/>
      <c r="X35" s="1"/>
      <c r="Y35" s="1"/>
      <c r="Z35" s="1"/>
      <c r="AA35" s="1"/>
    </row>
    <row r="36">
      <c r="A36" s="7" t="s">
        <v>10</v>
      </c>
      <c r="B36" s="7" t="s">
        <v>99</v>
      </c>
      <c r="C36" s="7" t="s">
        <v>99</v>
      </c>
      <c r="D36" s="7" t="s">
        <v>99</v>
      </c>
      <c r="E36" s="2"/>
      <c r="F36" s="7" t="s">
        <v>37</v>
      </c>
      <c r="G36" s="7" t="s">
        <v>42</v>
      </c>
      <c r="H36" s="1" t="s">
        <v>219</v>
      </c>
      <c r="I36" s="39">
        <v>4680.0</v>
      </c>
      <c r="J36" s="40">
        <v>4680.0</v>
      </c>
      <c r="K36" s="40">
        <v>4680.0</v>
      </c>
      <c r="L36" s="40">
        <v>4680.0</v>
      </c>
      <c r="M36" s="40">
        <v>4680.0</v>
      </c>
      <c r="N36" s="40">
        <v>4680.0</v>
      </c>
      <c r="O36" s="40">
        <v>4680.0</v>
      </c>
      <c r="P36" s="40">
        <v>4680.0</v>
      </c>
      <c r="Q36" s="40">
        <v>4680.0</v>
      </c>
      <c r="R36" s="40">
        <v>4680.0</v>
      </c>
      <c r="S36" s="40">
        <v>4680.0</v>
      </c>
      <c r="T36" s="40">
        <v>4680.0</v>
      </c>
      <c r="U36" s="40">
        <v>4680.0</v>
      </c>
      <c r="V36" s="9">
        <f t="shared" si="1"/>
        <v>60840</v>
      </c>
      <c r="W36" s="1"/>
      <c r="X36" s="1"/>
      <c r="Y36" s="1"/>
      <c r="Z36" s="1"/>
      <c r="AA36" s="1"/>
    </row>
    <row r="37">
      <c r="A37" s="7" t="s">
        <v>10</v>
      </c>
      <c r="B37" s="7" t="s">
        <v>99</v>
      </c>
      <c r="C37" s="7" t="s">
        <v>99</v>
      </c>
      <c r="D37" s="7" t="s">
        <v>99</v>
      </c>
      <c r="E37" s="2"/>
      <c r="F37" s="7" t="s">
        <v>37</v>
      </c>
      <c r="G37" s="7" t="s">
        <v>42</v>
      </c>
      <c r="H37" s="12" t="s">
        <v>220</v>
      </c>
      <c r="I37" s="39">
        <v>250.0</v>
      </c>
      <c r="J37" s="40">
        <f t="shared" ref="J37:U37" si="5">$I$37*5</f>
        <v>1250</v>
      </c>
      <c r="K37" s="40">
        <f t="shared" si="5"/>
        <v>1250</v>
      </c>
      <c r="L37" s="40">
        <f t="shared" si="5"/>
        <v>1250</v>
      </c>
      <c r="M37" s="40">
        <f t="shared" si="5"/>
        <v>1250</v>
      </c>
      <c r="N37" s="40">
        <f t="shared" si="5"/>
        <v>1250</v>
      </c>
      <c r="O37" s="40">
        <f t="shared" si="5"/>
        <v>1250</v>
      </c>
      <c r="P37" s="40">
        <f t="shared" si="5"/>
        <v>1250</v>
      </c>
      <c r="Q37" s="40">
        <f t="shared" si="5"/>
        <v>1250</v>
      </c>
      <c r="R37" s="40">
        <f t="shared" si="5"/>
        <v>1250</v>
      </c>
      <c r="S37" s="40">
        <f t="shared" si="5"/>
        <v>1250</v>
      </c>
      <c r="T37" s="40">
        <f t="shared" si="5"/>
        <v>1250</v>
      </c>
      <c r="U37" s="40">
        <f t="shared" si="5"/>
        <v>1250</v>
      </c>
      <c r="V37" s="9">
        <f t="shared" si="1"/>
        <v>15250</v>
      </c>
      <c r="W37" s="1"/>
      <c r="X37" s="1"/>
      <c r="Y37" s="1"/>
      <c r="Z37" s="1"/>
      <c r="AA37" s="1"/>
    </row>
    <row r="38">
      <c r="A38" s="7" t="s">
        <v>10</v>
      </c>
      <c r="B38" s="7" t="s">
        <v>99</v>
      </c>
      <c r="C38" s="7" t="s">
        <v>99</v>
      </c>
      <c r="D38" s="7" t="s">
        <v>99</v>
      </c>
      <c r="E38" s="2"/>
      <c r="F38" s="7" t="s">
        <v>37</v>
      </c>
      <c r="G38" s="7" t="s">
        <v>42</v>
      </c>
      <c r="H38" s="12" t="s">
        <v>221</v>
      </c>
      <c r="I38" s="39">
        <v>250.0</v>
      </c>
      <c r="J38" s="40">
        <f t="shared" ref="J38:U38" si="6">$I$38*5</f>
        <v>1250</v>
      </c>
      <c r="K38" s="40">
        <f t="shared" si="6"/>
        <v>1250</v>
      </c>
      <c r="L38" s="40">
        <f t="shared" si="6"/>
        <v>1250</v>
      </c>
      <c r="M38" s="40">
        <f t="shared" si="6"/>
        <v>1250</v>
      </c>
      <c r="N38" s="40">
        <f t="shared" si="6"/>
        <v>1250</v>
      </c>
      <c r="O38" s="40">
        <f t="shared" si="6"/>
        <v>1250</v>
      </c>
      <c r="P38" s="40">
        <f t="shared" si="6"/>
        <v>1250</v>
      </c>
      <c r="Q38" s="40">
        <f t="shared" si="6"/>
        <v>1250</v>
      </c>
      <c r="R38" s="40">
        <f t="shared" si="6"/>
        <v>1250</v>
      </c>
      <c r="S38" s="40">
        <f t="shared" si="6"/>
        <v>1250</v>
      </c>
      <c r="T38" s="40">
        <f t="shared" si="6"/>
        <v>1250</v>
      </c>
      <c r="U38" s="40">
        <f t="shared" si="6"/>
        <v>1250</v>
      </c>
      <c r="V38" s="9">
        <f t="shared" si="1"/>
        <v>15250</v>
      </c>
      <c r="W38" s="1"/>
      <c r="X38" s="1"/>
      <c r="Y38" s="1"/>
      <c r="Z38" s="1"/>
      <c r="AA38" s="1"/>
    </row>
    <row r="39">
      <c r="A39" s="7" t="s">
        <v>10</v>
      </c>
      <c r="B39" s="7" t="s">
        <v>99</v>
      </c>
      <c r="C39" s="7" t="s">
        <v>99</v>
      </c>
      <c r="D39" s="7" t="s">
        <v>99</v>
      </c>
      <c r="E39" s="2"/>
      <c r="F39" s="7" t="s">
        <v>37</v>
      </c>
      <c r="G39" s="7" t="s">
        <v>16</v>
      </c>
      <c r="H39" s="12" t="s">
        <v>65</v>
      </c>
      <c r="J39" s="54">
        <v>288000.0</v>
      </c>
      <c r="K39" s="15">
        <v>288000.0</v>
      </c>
      <c r="L39" s="15">
        <v>288000.0</v>
      </c>
      <c r="M39" s="15">
        <v>288000.0</v>
      </c>
      <c r="N39" s="15">
        <v>288000.0</v>
      </c>
      <c r="O39" s="15">
        <v>288000.0</v>
      </c>
      <c r="P39" s="15">
        <v>288000.0</v>
      </c>
      <c r="Q39" s="15">
        <v>288000.0</v>
      </c>
      <c r="R39" s="15">
        <v>288000.0</v>
      </c>
      <c r="S39" s="15">
        <v>288000.0</v>
      </c>
      <c r="T39" s="15">
        <v>288000.0</v>
      </c>
      <c r="U39" s="15">
        <v>288000.0</v>
      </c>
      <c r="V39" s="14">
        <v>3456000.0</v>
      </c>
      <c r="W39" s="1"/>
      <c r="X39" s="1"/>
      <c r="Y39" s="1"/>
      <c r="Z39" s="1"/>
      <c r="AA39" s="1"/>
    </row>
    <row r="40">
      <c r="A40" s="7" t="s">
        <v>10</v>
      </c>
      <c r="B40" s="7" t="s">
        <v>11</v>
      </c>
      <c r="C40" s="7" t="s">
        <v>99</v>
      </c>
      <c r="D40" s="7" t="s">
        <v>99</v>
      </c>
      <c r="E40" s="2"/>
      <c r="F40" s="7" t="s">
        <v>37</v>
      </c>
      <c r="G40" s="7" t="s">
        <v>16</v>
      </c>
      <c r="H40" s="12" t="s">
        <v>65</v>
      </c>
      <c r="J40" s="13">
        <v>305824.0</v>
      </c>
      <c r="K40" s="15">
        <v>305824.0</v>
      </c>
      <c r="L40" s="15">
        <v>305824.0</v>
      </c>
      <c r="M40" s="15">
        <v>305824.0</v>
      </c>
      <c r="N40" s="15">
        <v>305824.0</v>
      </c>
      <c r="O40" s="15">
        <v>305824.0</v>
      </c>
      <c r="P40" s="15">
        <v>305824.0</v>
      </c>
      <c r="Q40" s="15">
        <v>305824.0</v>
      </c>
      <c r="R40" s="15">
        <v>305824.0</v>
      </c>
      <c r="S40" s="15">
        <v>305824.0</v>
      </c>
      <c r="T40" s="15">
        <v>305824.0</v>
      </c>
      <c r="U40" s="15">
        <v>305824.0</v>
      </c>
      <c r="V40" s="14">
        <v>3669888.0</v>
      </c>
      <c r="W40" s="1"/>
      <c r="X40" s="1"/>
      <c r="Y40" s="1"/>
      <c r="Z40" s="1"/>
      <c r="AA40" s="1"/>
    </row>
    <row r="41">
      <c r="A41" s="7" t="s">
        <v>10</v>
      </c>
      <c r="B41" s="7" t="s">
        <v>18</v>
      </c>
      <c r="C41" s="7" t="s">
        <v>99</v>
      </c>
      <c r="D41" s="7" t="s">
        <v>99</v>
      </c>
      <c r="E41" s="2"/>
      <c r="F41" s="7" t="s">
        <v>37</v>
      </c>
      <c r="G41" s="7" t="s">
        <v>16</v>
      </c>
      <c r="H41" s="12" t="s">
        <v>65</v>
      </c>
      <c r="J41" s="13">
        <v>415954.0</v>
      </c>
      <c r="K41" s="15">
        <v>415954.0</v>
      </c>
      <c r="L41" s="15">
        <v>415954.0</v>
      </c>
      <c r="M41" s="15">
        <v>415954.0</v>
      </c>
      <c r="N41" s="15">
        <v>386577.0</v>
      </c>
      <c r="O41" s="15">
        <v>386577.0</v>
      </c>
      <c r="P41" s="15">
        <v>386577.0</v>
      </c>
      <c r="Q41" s="15">
        <v>386577.0</v>
      </c>
      <c r="R41" s="15">
        <v>386577.0</v>
      </c>
      <c r="S41" s="15">
        <v>386577.0</v>
      </c>
      <c r="T41" s="15">
        <v>386577.0</v>
      </c>
      <c r="U41" s="15">
        <v>386577.0</v>
      </c>
      <c r="V41" s="14">
        <v>4756432.0</v>
      </c>
      <c r="W41" s="1"/>
      <c r="X41" s="1"/>
      <c r="Y41" s="1"/>
      <c r="Z41" s="1"/>
      <c r="AA41" s="1"/>
    </row>
    <row r="42">
      <c r="A42" s="2"/>
      <c r="B42" s="2"/>
      <c r="C42" s="2"/>
      <c r="D42" s="2"/>
      <c r="E42" s="2"/>
      <c r="F42" s="2"/>
      <c r="G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9">
        <f t="shared" ref="V42:V1000" si="7">SUM(B42:U42)</f>
        <v>0</v>
      </c>
      <c r="W42" s="1"/>
      <c r="X42" s="1"/>
      <c r="Y42" s="1"/>
      <c r="Z42" s="1"/>
      <c r="AA42" s="1"/>
    </row>
    <row r="43">
      <c r="A43" s="2"/>
      <c r="B43" s="2"/>
      <c r="C43" s="2"/>
      <c r="D43" s="2"/>
      <c r="E43" s="2"/>
      <c r="F43" s="2"/>
      <c r="G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9">
        <f t="shared" si="7"/>
        <v>0</v>
      </c>
      <c r="W43" s="1"/>
      <c r="X43" s="1"/>
      <c r="Y43" s="1"/>
      <c r="Z43" s="1"/>
      <c r="AA43" s="1"/>
    </row>
    <row r="44">
      <c r="A44" s="2"/>
      <c r="B44" s="2"/>
      <c r="C44" s="2"/>
      <c r="D44" s="2"/>
      <c r="E44" s="2"/>
      <c r="F44" s="2"/>
      <c r="G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9">
        <f t="shared" si="7"/>
        <v>0</v>
      </c>
      <c r="W44" s="1"/>
      <c r="X44" s="1"/>
      <c r="Y44" s="1"/>
      <c r="Z44" s="1"/>
      <c r="AA44" s="1"/>
    </row>
    <row r="45">
      <c r="A45" s="2"/>
      <c r="B45" s="2"/>
      <c r="C45" s="2"/>
      <c r="D45" s="2"/>
      <c r="E45" s="2"/>
      <c r="F45" s="7"/>
      <c r="G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9">
        <f t="shared" si="7"/>
        <v>0</v>
      </c>
      <c r="W45" s="1"/>
      <c r="X45" s="1"/>
      <c r="Y45" s="1"/>
      <c r="Z45" s="1"/>
      <c r="AA45" s="1"/>
    </row>
    <row r="46">
      <c r="A46" s="2"/>
      <c r="B46" s="2"/>
      <c r="C46" s="2"/>
      <c r="D46" s="2"/>
      <c r="E46" s="2"/>
      <c r="F46" s="2"/>
      <c r="G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9">
        <f t="shared" si="7"/>
        <v>0</v>
      </c>
      <c r="W46" s="1"/>
      <c r="X46" s="1"/>
      <c r="Y46" s="1"/>
      <c r="Z46" s="1"/>
      <c r="AA46" s="1"/>
    </row>
    <row r="47">
      <c r="A47" s="2"/>
      <c r="B47" s="2"/>
      <c r="C47" s="2"/>
      <c r="D47" s="2"/>
      <c r="E47" s="2"/>
      <c r="F47" s="2"/>
      <c r="G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>
        <f t="shared" si="7"/>
        <v>0</v>
      </c>
      <c r="W47" s="1"/>
      <c r="X47" s="1"/>
      <c r="Y47" s="1"/>
      <c r="Z47" s="1"/>
      <c r="AA47" s="1"/>
    </row>
    <row r="48">
      <c r="A48" s="2"/>
      <c r="B48" s="2"/>
      <c r="C48" s="2"/>
      <c r="D48" s="2"/>
      <c r="E48" s="2"/>
      <c r="F48" s="2"/>
      <c r="G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9">
        <f t="shared" si="7"/>
        <v>0</v>
      </c>
      <c r="W48" s="1"/>
      <c r="X48" s="1"/>
      <c r="Y48" s="1"/>
      <c r="Z48" s="1"/>
      <c r="AA48" s="1"/>
    </row>
    <row r="49">
      <c r="A49" s="2"/>
      <c r="B49" s="2"/>
      <c r="C49" s="2"/>
      <c r="D49" s="2"/>
      <c r="E49" s="2"/>
      <c r="F49" s="2"/>
      <c r="G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9">
        <f t="shared" si="7"/>
        <v>0</v>
      </c>
      <c r="W49" s="1"/>
      <c r="X49" s="1"/>
      <c r="Y49" s="1"/>
      <c r="Z49" s="1"/>
      <c r="AA49" s="1"/>
    </row>
    <row r="50">
      <c r="A50" s="2"/>
      <c r="B50" s="2"/>
      <c r="C50" s="2"/>
      <c r="D50" s="2"/>
      <c r="E50" s="2"/>
      <c r="F50" s="2"/>
      <c r="G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9">
        <f t="shared" si="7"/>
        <v>0</v>
      </c>
      <c r="W50" s="1"/>
      <c r="X50" s="1"/>
      <c r="Y50" s="1"/>
      <c r="Z50" s="1"/>
      <c r="AA50" s="1"/>
    </row>
    <row r="51">
      <c r="A51" s="2"/>
      <c r="B51" s="2"/>
      <c r="C51" s="2"/>
      <c r="D51" s="2"/>
      <c r="E51" s="2"/>
      <c r="F51" s="2"/>
      <c r="G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>
        <f t="shared" si="7"/>
        <v>0</v>
      </c>
      <c r="W51" s="1"/>
      <c r="X51" s="1"/>
      <c r="Y51" s="1"/>
      <c r="Z51" s="1"/>
      <c r="AA51" s="1"/>
    </row>
    <row r="52">
      <c r="A52" s="2"/>
      <c r="B52" s="2"/>
      <c r="C52" s="2"/>
      <c r="D52" s="2"/>
      <c r="E52" s="2"/>
      <c r="F52" s="2"/>
      <c r="G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>
        <f t="shared" si="7"/>
        <v>0</v>
      </c>
      <c r="W52" s="1"/>
      <c r="X52" s="1"/>
      <c r="Y52" s="1"/>
      <c r="Z52" s="1"/>
      <c r="AA52" s="1"/>
    </row>
    <row r="53">
      <c r="A53" s="2"/>
      <c r="B53" s="2"/>
      <c r="C53" s="2"/>
      <c r="D53" s="2"/>
      <c r="E53" s="2"/>
      <c r="F53" s="2"/>
      <c r="G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>
        <f t="shared" si="7"/>
        <v>0</v>
      </c>
      <c r="W53" s="1"/>
      <c r="X53" s="1"/>
      <c r="Y53" s="1"/>
      <c r="Z53" s="1"/>
      <c r="AA53" s="1"/>
    </row>
    <row r="54">
      <c r="A54" s="2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9">
        <f t="shared" si="7"/>
        <v>0</v>
      </c>
      <c r="W54" s="1"/>
      <c r="X54" s="1"/>
      <c r="Y54" s="1"/>
      <c r="Z54" s="1"/>
      <c r="AA54" s="1"/>
    </row>
    <row r="55">
      <c r="A55" s="2"/>
      <c r="B55" s="2"/>
      <c r="C55" s="2"/>
      <c r="D55" s="2"/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>
        <f t="shared" si="7"/>
        <v>0</v>
      </c>
      <c r="W55" s="1"/>
      <c r="X55" s="1"/>
      <c r="Y55" s="1"/>
      <c r="Z55" s="1"/>
      <c r="AA55" s="1"/>
    </row>
    <row r="56">
      <c r="A56" s="2"/>
      <c r="B56" s="2"/>
      <c r="C56" s="2"/>
      <c r="D56" s="2"/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">
        <f t="shared" si="7"/>
        <v>0</v>
      </c>
      <c r="W56" s="1"/>
      <c r="X56" s="1"/>
      <c r="Y56" s="1"/>
      <c r="Z56" s="1"/>
      <c r="AA56" s="1"/>
    </row>
    <row r="57">
      <c r="A57" s="2"/>
      <c r="B57" s="2"/>
      <c r="C57" s="2"/>
      <c r="D57" s="2"/>
      <c r="E57" s="2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9">
        <f t="shared" si="7"/>
        <v>0</v>
      </c>
      <c r="W57" s="1"/>
      <c r="X57" s="1"/>
      <c r="Y57" s="1"/>
      <c r="Z57" s="1"/>
      <c r="AA57" s="1"/>
    </row>
    <row r="58">
      <c r="A58" s="2"/>
      <c r="B58" s="2"/>
      <c r="C58" s="2"/>
      <c r="D58" s="2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9">
        <f t="shared" si="7"/>
        <v>0</v>
      </c>
      <c r="W58" s="1"/>
      <c r="X58" s="1"/>
      <c r="Y58" s="1"/>
      <c r="Z58" s="1"/>
      <c r="AA58" s="1"/>
    </row>
    <row r="59">
      <c r="A59" s="2"/>
      <c r="B59" s="2"/>
      <c r="C59" s="2"/>
      <c r="D59" s="2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>
        <f t="shared" si="7"/>
        <v>0</v>
      </c>
      <c r="W59" s="1"/>
      <c r="X59" s="1"/>
      <c r="Y59" s="1"/>
      <c r="Z59" s="1"/>
      <c r="AA59" s="1"/>
    </row>
    <row r="60">
      <c r="A60" s="2"/>
      <c r="B60" s="2"/>
      <c r="C60" s="2"/>
      <c r="D60" s="2"/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9">
        <f t="shared" si="7"/>
        <v>0</v>
      </c>
      <c r="W60" s="1"/>
      <c r="X60" s="1"/>
      <c r="Y60" s="1"/>
      <c r="Z60" s="1"/>
      <c r="AA60" s="1"/>
    </row>
    <row r="61">
      <c r="A61" s="2"/>
      <c r="B61" s="2"/>
      <c r="C61" s="2"/>
      <c r="D61" s="2"/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9">
        <f t="shared" si="7"/>
        <v>0</v>
      </c>
      <c r="W61" s="1"/>
      <c r="X61" s="1"/>
      <c r="Y61" s="1"/>
      <c r="Z61" s="1"/>
      <c r="AA61" s="1"/>
    </row>
    <row r="62">
      <c r="A62" s="2"/>
      <c r="B62" s="2"/>
      <c r="C62" s="2"/>
      <c r="D62" s="2"/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>
        <f t="shared" si="7"/>
        <v>0</v>
      </c>
      <c r="W62" s="1"/>
      <c r="X62" s="1"/>
      <c r="Y62" s="1"/>
      <c r="Z62" s="1"/>
      <c r="AA62" s="1"/>
    </row>
    <row r="63">
      <c r="A63" s="2"/>
      <c r="B63" s="2"/>
      <c r="C63" s="2"/>
      <c r="D63" s="2"/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>
        <f t="shared" si="7"/>
        <v>0</v>
      </c>
      <c r="W63" s="1"/>
      <c r="X63" s="1"/>
      <c r="Y63" s="1"/>
      <c r="Z63" s="1"/>
      <c r="AA63" s="1"/>
    </row>
    <row r="64">
      <c r="A64" s="2"/>
      <c r="B64" s="2"/>
      <c r="C64" s="2"/>
      <c r="D64" s="2"/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">
        <f t="shared" si="7"/>
        <v>0</v>
      </c>
      <c r="W64" s="1"/>
      <c r="X64" s="1"/>
      <c r="Y64" s="1"/>
      <c r="Z64" s="1"/>
      <c r="AA64" s="1"/>
    </row>
    <row r="65">
      <c r="A65" s="2"/>
      <c r="B65" s="2"/>
      <c r="C65" s="2"/>
      <c r="D65" s="2"/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9">
        <f t="shared" si="7"/>
        <v>0</v>
      </c>
      <c r="W65" s="1"/>
      <c r="X65" s="1"/>
      <c r="Y65" s="1"/>
      <c r="Z65" s="1"/>
      <c r="AA65" s="1"/>
    </row>
    <row r="66">
      <c r="A66" s="2"/>
      <c r="B66" s="2"/>
      <c r="C66" s="2"/>
      <c r="D66" s="2"/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9">
        <f t="shared" si="7"/>
        <v>0</v>
      </c>
      <c r="W66" s="1"/>
      <c r="X66" s="1"/>
      <c r="Y66" s="1"/>
      <c r="Z66" s="1"/>
      <c r="AA66" s="1"/>
    </row>
    <row r="67">
      <c r="A67" s="2"/>
      <c r="B67" s="2"/>
      <c r="C67" s="2"/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9">
        <f t="shared" si="7"/>
        <v>0</v>
      </c>
      <c r="W67" s="1"/>
      <c r="X67" s="1"/>
      <c r="Y67" s="1"/>
      <c r="Z67" s="1"/>
      <c r="AA67" s="1"/>
    </row>
    <row r="68">
      <c r="A68" s="2"/>
      <c r="B68" s="2"/>
      <c r="C68" s="2"/>
      <c r="D68" s="2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9">
        <f t="shared" si="7"/>
        <v>0</v>
      </c>
      <c r="W68" s="1"/>
      <c r="X68" s="1"/>
      <c r="Y68" s="1"/>
      <c r="Z68" s="1"/>
      <c r="AA68" s="1"/>
    </row>
    <row r="69">
      <c r="A69" s="2"/>
      <c r="B69" s="2"/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9">
        <f t="shared" si="7"/>
        <v>0</v>
      </c>
      <c r="W69" s="1"/>
      <c r="X69" s="1"/>
      <c r="Y69" s="1"/>
      <c r="Z69" s="1"/>
      <c r="AA69" s="1"/>
    </row>
    <row r="70">
      <c r="A70" s="2"/>
      <c r="B70" s="2"/>
      <c r="C70" s="2"/>
      <c r="D70" s="2"/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9">
        <f t="shared" si="7"/>
        <v>0</v>
      </c>
      <c r="W70" s="1"/>
      <c r="X70" s="1"/>
      <c r="Y70" s="1"/>
      <c r="Z70" s="1"/>
      <c r="AA70" s="1"/>
    </row>
    <row r="71">
      <c r="A71" s="2"/>
      <c r="B71" s="2"/>
      <c r="C71" s="2"/>
      <c r="D71" s="2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>
        <f t="shared" si="7"/>
        <v>0</v>
      </c>
      <c r="W71" s="1"/>
      <c r="X71" s="1"/>
      <c r="Y71" s="1"/>
      <c r="Z71" s="1"/>
      <c r="AA71" s="1"/>
    </row>
    <row r="72">
      <c r="A72" s="2"/>
      <c r="B72" s="2"/>
      <c r="C72" s="2"/>
      <c r="D72" s="2"/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>
        <f t="shared" si="7"/>
        <v>0</v>
      </c>
      <c r="W72" s="1"/>
      <c r="X72" s="1"/>
      <c r="Y72" s="1"/>
      <c r="Z72" s="1"/>
      <c r="AA72" s="1"/>
    </row>
    <row r="73">
      <c r="A73" s="2"/>
      <c r="B73" s="2"/>
      <c r="C73" s="2"/>
      <c r="D73" s="2"/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9">
        <f t="shared" si="7"/>
        <v>0</v>
      </c>
      <c r="W73" s="1"/>
      <c r="X73" s="1"/>
      <c r="Y73" s="1"/>
      <c r="Z73" s="1"/>
      <c r="AA73" s="1"/>
    </row>
    <row r="74">
      <c r="A74" s="2"/>
      <c r="B74" s="2"/>
      <c r="C74" s="2"/>
      <c r="D74" s="2"/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9">
        <f t="shared" si="7"/>
        <v>0</v>
      </c>
      <c r="W74" s="1"/>
      <c r="X74" s="1"/>
      <c r="Y74" s="1"/>
      <c r="Z74" s="1"/>
      <c r="AA74" s="1"/>
    </row>
    <row r="75">
      <c r="A75" s="2"/>
      <c r="B75" s="2"/>
      <c r="C75" s="2"/>
      <c r="D75" s="2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9">
        <f t="shared" si="7"/>
        <v>0</v>
      </c>
      <c r="W75" s="1"/>
      <c r="X75" s="1"/>
      <c r="Y75" s="1"/>
      <c r="Z75" s="1"/>
      <c r="AA75" s="1"/>
    </row>
    <row r="76">
      <c r="A76" s="2"/>
      <c r="B76" s="2"/>
      <c r="C76" s="2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9">
        <f t="shared" si="7"/>
        <v>0</v>
      </c>
      <c r="W76" s="1"/>
      <c r="X76" s="1"/>
      <c r="Y76" s="1"/>
      <c r="Z76" s="1"/>
      <c r="AA76" s="1"/>
    </row>
    <row r="77">
      <c r="A77" s="2"/>
      <c r="B77" s="2"/>
      <c r="C77" s="2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9">
        <f t="shared" si="7"/>
        <v>0</v>
      </c>
      <c r="W77" s="1"/>
      <c r="X77" s="1"/>
      <c r="Y77" s="1"/>
      <c r="Z77" s="1"/>
      <c r="AA77" s="1"/>
    </row>
    <row r="78">
      <c r="A78" s="2"/>
      <c r="B78" s="2"/>
      <c r="C78" s="2"/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9">
        <f t="shared" si="7"/>
        <v>0</v>
      </c>
      <c r="W78" s="1"/>
      <c r="X78" s="1"/>
      <c r="Y78" s="1"/>
      <c r="Z78" s="1"/>
      <c r="AA78" s="1"/>
    </row>
    <row r="79">
      <c r="A79" s="2"/>
      <c r="B79" s="2"/>
      <c r="C79" s="2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9">
        <f t="shared" si="7"/>
        <v>0</v>
      </c>
      <c r="W79" s="1"/>
      <c r="X79" s="1"/>
      <c r="Y79" s="1"/>
      <c r="Z79" s="1"/>
      <c r="AA79" s="1"/>
    </row>
    <row r="80">
      <c r="A80" s="2"/>
      <c r="B80" s="2"/>
      <c r="C80" s="2"/>
      <c r="D80" s="2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9">
        <f t="shared" si="7"/>
        <v>0</v>
      </c>
      <c r="W80" s="1"/>
      <c r="X80" s="1"/>
      <c r="Y80" s="1"/>
      <c r="Z80" s="1"/>
      <c r="AA80" s="1"/>
    </row>
    <row r="81">
      <c r="A81" s="2"/>
      <c r="B81" s="2"/>
      <c r="C81" s="2"/>
      <c r="D81" s="2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9">
        <f t="shared" si="7"/>
        <v>0</v>
      </c>
      <c r="W81" s="1"/>
      <c r="X81" s="1"/>
      <c r="Y81" s="1"/>
      <c r="Z81" s="1"/>
      <c r="AA81" s="1"/>
    </row>
    <row r="82">
      <c r="A82" s="2"/>
      <c r="B82" s="2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9">
        <f t="shared" si="7"/>
        <v>0</v>
      </c>
      <c r="W82" s="1"/>
      <c r="X82" s="1"/>
      <c r="Y82" s="1"/>
      <c r="Z82" s="1"/>
      <c r="AA82" s="1"/>
    </row>
    <row r="83">
      <c r="A83" s="2"/>
      <c r="B83" s="2"/>
      <c r="C83" s="2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9">
        <f t="shared" si="7"/>
        <v>0</v>
      </c>
      <c r="W83" s="1"/>
      <c r="X83" s="1"/>
      <c r="Y83" s="1"/>
      <c r="Z83" s="1"/>
      <c r="AA83" s="1"/>
    </row>
    <row r="84">
      <c r="A84" s="2"/>
      <c r="B84" s="2"/>
      <c r="C84" s="2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9">
        <f t="shared" si="7"/>
        <v>0</v>
      </c>
      <c r="W84" s="1"/>
      <c r="X84" s="1"/>
      <c r="Y84" s="1"/>
      <c r="Z84" s="1"/>
      <c r="AA84" s="1"/>
    </row>
    <row r="85">
      <c r="A85" s="2"/>
      <c r="B85" s="2"/>
      <c r="C85" s="2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9">
        <f t="shared" si="7"/>
        <v>0</v>
      </c>
      <c r="W85" s="1"/>
      <c r="X85" s="1"/>
      <c r="Y85" s="1"/>
      <c r="Z85" s="1"/>
      <c r="AA85" s="1"/>
    </row>
    <row r="86">
      <c r="A86" s="2"/>
      <c r="B86" s="2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9">
        <f t="shared" si="7"/>
        <v>0</v>
      </c>
      <c r="W86" s="1"/>
      <c r="X86" s="1"/>
      <c r="Y86" s="1"/>
      <c r="Z86" s="1"/>
      <c r="AA86" s="1"/>
    </row>
    <row r="87">
      <c r="A87" s="2"/>
      <c r="B87" s="2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9">
        <f t="shared" si="7"/>
        <v>0</v>
      </c>
      <c r="W87" s="1"/>
      <c r="X87" s="1"/>
      <c r="Y87" s="1"/>
      <c r="Z87" s="1"/>
      <c r="AA87" s="1"/>
    </row>
    <row r="88">
      <c r="A88" s="2"/>
      <c r="B88" s="2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9">
        <f t="shared" si="7"/>
        <v>0</v>
      </c>
      <c r="W88" s="1"/>
      <c r="X88" s="1"/>
      <c r="Y88" s="1"/>
      <c r="Z88" s="1"/>
      <c r="AA88" s="1"/>
    </row>
    <row r="89">
      <c r="A89" s="2"/>
      <c r="B89" s="2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9">
        <f t="shared" si="7"/>
        <v>0</v>
      </c>
      <c r="W89" s="1"/>
      <c r="X89" s="1"/>
      <c r="Y89" s="1"/>
      <c r="Z89" s="1"/>
      <c r="AA89" s="1"/>
    </row>
    <row r="90">
      <c r="A90" s="2"/>
      <c r="B90" s="2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9">
        <f t="shared" si="7"/>
        <v>0</v>
      </c>
      <c r="W90" s="1"/>
      <c r="X90" s="1"/>
      <c r="Y90" s="1"/>
      <c r="Z90" s="1"/>
      <c r="AA90" s="1"/>
    </row>
    <row r="91">
      <c r="A91" s="2"/>
      <c r="B91" s="2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9">
        <f t="shared" si="7"/>
        <v>0</v>
      </c>
      <c r="W91" s="1"/>
      <c r="X91" s="1"/>
      <c r="Y91" s="1"/>
      <c r="Z91" s="1"/>
      <c r="AA91" s="1"/>
    </row>
    <row r="92">
      <c r="A92" s="2"/>
      <c r="B92" s="2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9">
        <f t="shared" si="7"/>
        <v>0</v>
      </c>
      <c r="W92" s="1"/>
      <c r="X92" s="1"/>
      <c r="Y92" s="1"/>
      <c r="Z92" s="1"/>
      <c r="AA92" s="1"/>
    </row>
    <row r="93">
      <c r="A93" s="2"/>
      <c r="B93" s="2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9">
        <f t="shared" si="7"/>
        <v>0</v>
      </c>
      <c r="W93" s="1"/>
      <c r="X93" s="1"/>
      <c r="Y93" s="1"/>
      <c r="Z93" s="1"/>
      <c r="AA93" s="1"/>
    </row>
    <row r="94">
      <c r="A94" s="2"/>
      <c r="B94" s="2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9">
        <f t="shared" si="7"/>
        <v>0</v>
      </c>
      <c r="W94" s="1"/>
      <c r="X94" s="1"/>
      <c r="Y94" s="1"/>
      <c r="Z94" s="1"/>
      <c r="AA94" s="1"/>
    </row>
    <row r="95">
      <c r="A95" s="2"/>
      <c r="B95" s="2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9">
        <f t="shared" si="7"/>
        <v>0</v>
      </c>
      <c r="W95" s="1"/>
      <c r="X95" s="1"/>
      <c r="Y95" s="1"/>
      <c r="Z95" s="1"/>
      <c r="AA95" s="1"/>
    </row>
    <row r="96">
      <c r="A96" s="2"/>
      <c r="B96" s="2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9">
        <f t="shared" si="7"/>
        <v>0</v>
      </c>
      <c r="W96" s="1"/>
      <c r="X96" s="1"/>
      <c r="Y96" s="1"/>
      <c r="Z96" s="1"/>
      <c r="AA96" s="1"/>
    </row>
    <row r="97">
      <c r="A97" s="2"/>
      <c r="B97" s="2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9">
        <f t="shared" si="7"/>
        <v>0</v>
      </c>
      <c r="W97" s="1"/>
      <c r="X97" s="1"/>
      <c r="Y97" s="1"/>
      <c r="Z97" s="1"/>
      <c r="AA97" s="1"/>
    </row>
    <row r="98">
      <c r="A98" s="2"/>
      <c r="B98" s="2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9">
        <f t="shared" si="7"/>
        <v>0</v>
      </c>
      <c r="W98" s="1"/>
      <c r="X98" s="1"/>
      <c r="Y98" s="1"/>
      <c r="Z98" s="1"/>
      <c r="AA98" s="1"/>
    </row>
    <row r="99">
      <c r="A99" s="2"/>
      <c r="B99" s="2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9">
        <f t="shared" si="7"/>
        <v>0</v>
      </c>
      <c r="W99" s="1"/>
      <c r="X99" s="1"/>
      <c r="Y99" s="1"/>
      <c r="Z99" s="1"/>
      <c r="AA99" s="1"/>
    </row>
    <row r="100">
      <c r="A100" s="2"/>
      <c r="B100" s="2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9">
        <f t="shared" si="7"/>
        <v>0</v>
      </c>
      <c r="W100" s="1"/>
      <c r="X100" s="1"/>
      <c r="Y100" s="1"/>
      <c r="Z100" s="1"/>
      <c r="AA100" s="1"/>
    </row>
    <row r="101">
      <c r="A101" s="2"/>
      <c r="B101" s="2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9">
        <f t="shared" si="7"/>
        <v>0</v>
      </c>
      <c r="W101" s="1"/>
      <c r="X101" s="1"/>
      <c r="Y101" s="1"/>
      <c r="Z101" s="1"/>
      <c r="AA101" s="1"/>
    </row>
    <row r="102">
      <c r="A102" s="2"/>
      <c r="B102" s="2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9">
        <f t="shared" si="7"/>
        <v>0</v>
      </c>
      <c r="W102" s="1"/>
      <c r="X102" s="1"/>
      <c r="Y102" s="1"/>
      <c r="Z102" s="1"/>
      <c r="AA102" s="1"/>
    </row>
    <row r="103">
      <c r="A103" s="2"/>
      <c r="B103" s="2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9">
        <f t="shared" si="7"/>
        <v>0</v>
      </c>
      <c r="W103" s="1"/>
      <c r="X103" s="1"/>
      <c r="Y103" s="1"/>
      <c r="Z103" s="1"/>
      <c r="AA103" s="1"/>
    </row>
    <row r="104">
      <c r="A104" s="2"/>
      <c r="B104" s="2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9">
        <f t="shared" si="7"/>
        <v>0</v>
      </c>
      <c r="W104" s="1"/>
      <c r="X104" s="1"/>
      <c r="Y104" s="1"/>
      <c r="Z104" s="1"/>
      <c r="AA104" s="1"/>
    </row>
    <row r="105">
      <c r="A105" s="2"/>
      <c r="B105" s="2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9">
        <f t="shared" si="7"/>
        <v>0</v>
      </c>
      <c r="W105" s="1"/>
      <c r="X105" s="1"/>
      <c r="Y105" s="1"/>
      <c r="Z105" s="1"/>
      <c r="AA105" s="1"/>
    </row>
    <row r="106">
      <c r="A106" s="2"/>
      <c r="B106" s="2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9">
        <f t="shared" si="7"/>
        <v>0</v>
      </c>
      <c r="W106" s="1"/>
      <c r="X106" s="1"/>
      <c r="Y106" s="1"/>
      <c r="Z106" s="1"/>
      <c r="AA106" s="1"/>
    </row>
    <row r="107">
      <c r="A107" s="2"/>
      <c r="B107" s="2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9">
        <f t="shared" si="7"/>
        <v>0</v>
      </c>
      <c r="W107" s="1"/>
      <c r="X107" s="1"/>
      <c r="Y107" s="1"/>
      <c r="Z107" s="1"/>
      <c r="AA107" s="1"/>
    </row>
    <row r="108">
      <c r="A108" s="2"/>
      <c r="B108" s="2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9">
        <f t="shared" si="7"/>
        <v>0</v>
      </c>
      <c r="W108" s="1"/>
      <c r="X108" s="1"/>
      <c r="Y108" s="1"/>
      <c r="Z108" s="1"/>
      <c r="AA108" s="1"/>
    </row>
    <row r="109">
      <c r="A109" s="2"/>
      <c r="B109" s="2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9">
        <f t="shared" si="7"/>
        <v>0</v>
      </c>
      <c r="W109" s="1"/>
      <c r="X109" s="1"/>
      <c r="Y109" s="1"/>
      <c r="Z109" s="1"/>
      <c r="AA109" s="1"/>
    </row>
    <row r="110">
      <c r="A110" s="2"/>
      <c r="B110" s="2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9">
        <f t="shared" si="7"/>
        <v>0</v>
      </c>
      <c r="W110" s="1"/>
      <c r="X110" s="1"/>
      <c r="Y110" s="1"/>
      <c r="Z110" s="1"/>
      <c r="AA110" s="1"/>
    </row>
    <row r="111">
      <c r="A111" s="2"/>
      <c r="B111" s="2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9">
        <f t="shared" si="7"/>
        <v>0</v>
      </c>
      <c r="W111" s="1"/>
      <c r="X111" s="1"/>
      <c r="Y111" s="1"/>
      <c r="Z111" s="1"/>
      <c r="AA111" s="1"/>
    </row>
    <row r="112">
      <c r="A112" s="2"/>
      <c r="B112" s="2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9">
        <f t="shared" si="7"/>
        <v>0</v>
      </c>
      <c r="W112" s="1"/>
      <c r="X112" s="1"/>
      <c r="Y112" s="1"/>
      <c r="Z112" s="1"/>
      <c r="AA112" s="1"/>
    </row>
    <row r="113">
      <c r="A113" s="2"/>
      <c r="B113" s="2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9">
        <f t="shared" si="7"/>
        <v>0</v>
      </c>
      <c r="W113" s="1"/>
      <c r="X113" s="1"/>
      <c r="Y113" s="1"/>
      <c r="Z113" s="1"/>
      <c r="AA113" s="1"/>
    </row>
    <row r="114">
      <c r="A114" s="2"/>
      <c r="B114" s="2"/>
      <c r="C114" s="2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9">
        <f t="shared" si="7"/>
        <v>0</v>
      </c>
      <c r="W114" s="1"/>
      <c r="X114" s="1"/>
      <c r="Y114" s="1"/>
      <c r="Z114" s="1"/>
      <c r="AA114" s="1"/>
    </row>
    <row r="115">
      <c r="A115" s="2"/>
      <c r="B115" s="2"/>
      <c r="C115" s="2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9">
        <f t="shared" si="7"/>
        <v>0</v>
      </c>
      <c r="W115" s="1"/>
      <c r="X115" s="1"/>
      <c r="Y115" s="1"/>
      <c r="Z115" s="1"/>
      <c r="AA115" s="1"/>
    </row>
    <row r="116">
      <c r="A116" s="2"/>
      <c r="B116" s="2"/>
      <c r="C116" s="2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9">
        <f t="shared" si="7"/>
        <v>0</v>
      </c>
      <c r="W116" s="1"/>
      <c r="X116" s="1"/>
      <c r="Y116" s="1"/>
      <c r="Z116" s="1"/>
      <c r="AA116" s="1"/>
    </row>
    <row r="117">
      <c r="A117" s="2"/>
      <c r="B117" s="2"/>
      <c r="C117" s="2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9">
        <f t="shared" si="7"/>
        <v>0</v>
      </c>
      <c r="W117" s="1"/>
      <c r="X117" s="1"/>
      <c r="Y117" s="1"/>
      <c r="Z117" s="1"/>
      <c r="AA117" s="1"/>
    </row>
    <row r="118">
      <c r="A118" s="2"/>
      <c r="B118" s="2"/>
      <c r="C118" s="2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9">
        <f t="shared" si="7"/>
        <v>0</v>
      </c>
      <c r="W118" s="1"/>
      <c r="X118" s="1"/>
      <c r="Y118" s="1"/>
      <c r="Z118" s="1"/>
      <c r="AA118" s="1"/>
    </row>
    <row r="119">
      <c r="A119" s="2"/>
      <c r="B119" s="2"/>
      <c r="C119" s="2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9">
        <f t="shared" si="7"/>
        <v>0</v>
      </c>
      <c r="W119" s="1"/>
      <c r="X119" s="1"/>
      <c r="Y119" s="1"/>
      <c r="Z119" s="1"/>
      <c r="AA119" s="1"/>
    </row>
    <row r="120">
      <c r="A120" s="2"/>
      <c r="B120" s="2"/>
      <c r="C120" s="2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9">
        <f t="shared" si="7"/>
        <v>0</v>
      </c>
      <c r="W120" s="1"/>
      <c r="X120" s="1"/>
      <c r="Y120" s="1"/>
      <c r="Z120" s="1"/>
      <c r="AA120" s="1"/>
    </row>
    <row r="121">
      <c r="A121" s="2"/>
      <c r="B121" s="2"/>
      <c r="C121" s="2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9">
        <f t="shared" si="7"/>
        <v>0</v>
      </c>
      <c r="W121" s="1"/>
      <c r="X121" s="1"/>
      <c r="Y121" s="1"/>
      <c r="Z121" s="1"/>
      <c r="AA121" s="1"/>
    </row>
    <row r="122">
      <c r="A122" s="2"/>
      <c r="B122" s="2"/>
      <c r="C122" s="2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9">
        <f t="shared" si="7"/>
        <v>0</v>
      </c>
      <c r="W122" s="1"/>
      <c r="X122" s="1"/>
      <c r="Y122" s="1"/>
      <c r="Z122" s="1"/>
      <c r="AA122" s="1"/>
    </row>
    <row r="123">
      <c r="A123" s="2"/>
      <c r="B123" s="2"/>
      <c r="C123" s="2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9">
        <f t="shared" si="7"/>
        <v>0</v>
      </c>
      <c r="W123" s="1"/>
      <c r="X123" s="1"/>
      <c r="Y123" s="1"/>
      <c r="Z123" s="1"/>
      <c r="AA123" s="1"/>
    </row>
    <row r="124">
      <c r="A124" s="2"/>
      <c r="B124" s="2"/>
      <c r="C124" s="2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9">
        <f t="shared" si="7"/>
        <v>0</v>
      </c>
      <c r="W124" s="1"/>
      <c r="X124" s="1"/>
      <c r="Y124" s="1"/>
      <c r="Z124" s="1"/>
      <c r="AA124" s="1"/>
    </row>
    <row r="125">
      <c r="A125" s="2"/>
      <c r="B125" s="2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9">
        <f t="shared" si="7"/>
        <v>0</v>
      </c>
      <c r="W125" s="1"/>
      <c r="X125" s="1"/>
      <c r="Y125" s="1"/>
      <c r="Z125" s="1"/>
      <c r="AA125" s="1"/>
    </row>
    <row r="126">
      <c r="A126" s="2"/>
      <c r="B126" s="2"/>
      <c r="C126" s="2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9">
        <f t="shared" si="7"/>
        <v>0</v>
      </c>
      <c r="W126" s="1"/>
      <c r="X126" s="1"/>
      <c r="Y126" s="1"/>
      <c r="Z126" s="1"/>
      <c r="AA126" s="1"/>
    </row>
    <row r="127">
      <c r="A127" s="2"/>
      <c r="B127" s="2"/>
      <c r="C127" s="2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9">
        <f t="shared" si="7"/>
        <v>0</v>
      </c>
      <c r="W127" s="1"/>
      <c r="X127" s="1"/>
      <c r="Y127" s="1"/>
      <c r="Z127" s="1"/>
      <c r="AA127" s="1"/>
    </row>
    <row r="128">
      <c r="A128" s="2"/>
      <c r="B128" s="2"/>
      <c r="C128" s="2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9">
        <f t="shared" si="7"/>
        <v>0</v>
      </c>
      <c r="W128" s="1"/>
      <c r="X128" s="1"/>
      <c r="Y128" s="1"/>
      <c r="Z128" s="1"/>
      <c r="AA128" s="1"/>
    </row>
    <row r="129">
      <c r="A129" s="2"/>
      <c r="B129" s="2"/>
      <c r="C129" s="2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9">
        <f t="shared" si="7"/>
        <v>0</v>
      </c>
      <c r="W129" s="1"/>
      <c r="X129" s="1"/>
      <c r="Y129" s="1"/>
      <c r="Z129" s="1"/>
      <c r="AA129" s="1"/>
    </row>
    <row r="130">
      <c r="A130" s="2"/>
      <c r="B130" s="2"/>
      <c r="C130" s="2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9">
        <f t="shared" si="7"/>
        <v>0</v>
      </c>
      <c r="W130" s="1"/>
      <c r="X130" s="1"/>
      <c r="Y130" s="1"/>
      <c r="Z130" s="1"/>
      <c r="AA130" s="1"/>
    </row>
    <row r="131">
      <c r="A131" s="2"/>
      <c r="B131" s="2"/>
      <c r="C131" s="2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9">
        <f t="shared" si="7"/>
        <v>0</v>
      </c>
      <c r="W131" s="1"/>
      <c r="X131" s="1"/>
      <c r="Y131" s="1"/>
      <c r="Z131" s="1"/>
      <c r="AA131" s="1"/>
    </row>
    <row r="132">
      <c r="A132" s="2"/>
      <c r="B132" s="2"/>
      <c r="C132" s="2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9">
        <f t="shared" si="7"/>
        <v>0</v>
      </c>
      <c r="W132" s="1"/>
      <c r="X132" s="1"/>
      <c r="Y132" s="1"/>
      <c r="Z132" s="1"/>
      <c r="AA132" s="1"/>
    </row>
    <row r="133">
      <c r="A133" s="2"/>
      <c r="B133" s="2"/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9">
        <f t="shared" si="7"/>
        <v>0</v>
      </c>
      <c r="W133" s="1"/>
      <c r="X133" s="1"/>
      <c r="Y133" s="1"/>
      <c r="Z133" s="1"/>
      <c r="AA133" s="1"/>
    </row>
    <row r="134">
      <c r="A134" s="2"/>
      <c r="B134" s="2"/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9">
        <f t="shared" si="7"/>
        <v>0</v>
      </c>
      <c r="W134" s="1"/>
      <c r="X134" s="1"/>
      <c r="Y134" s="1"/>
      <c r="Z134" s="1"/>
      <c r="AA134" s="1"/>
    </row>
    <row r="135">
      <c r="A135" s="2"/>
      <c r="B135" s="2"/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9">
        <f t="shared" si="7"/>
        <v>0</v>
      </c>
      <c r="W135" s="1"/>
      <c r="X135" s="1"/>
      <c r="Y135" s="1"/>
      <c r="Z135" s="1"/>
      <c r="AA135" s="1"/>
    </row>
    <row r="136">
      <c r="A136" s="2"/>
      <c r="B136" s="2"/>
      <c r="C136" s="2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9">
        <f t="shared" si="7"/>
        <v>0</v>
      </c>
      <c r="W136" s="1"/>
      <c r="X136" s="1"/>
      <c r="Y136" s="1"/>
      <c r="Z136" s="1"/>
      <c r="AA136" s="1"/>
    </row>
    <row r="137">
      <c r="A137" s="2"/>
      <c r="B137" s="2"/>
      <c r="C137" s="2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9">
        <f t="shared" si="7"/>
        <v>0</v>
      </c>
      <c r="W137" s="1"/>
      <c r="X137" s="1"/>
      <c r="Y137" s="1"/>
      <c r="Z137" s="1"/>
      <c r="AA137" s="1"/>
    </row>
    <row r="138">
      <c r="A138" s="2"/>
      <c r="B138" s="2"/>
      <c r="C138" s="2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9">
        <f t="shared" si="7"/>
        <v>0</v>
      </c>
      <c r="W138" s="1"/>
      <c r="X138" s="1"/>
      <c r="Y138" s="1"/>
      <c r="Z138" s="1"/>
      <c r="AA138" s="1"/>
    </row>
    <row r="139">
      <c r="A139" s="2"/>
      <c r="B139" s="2"/>
      <c r="C139" s="2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9">
        <f t="shared" si="7"/>
        <v>0</v>
      </c>
      <c r="W139" s="1"/>
      <c r="X139" s="1"/>
      <c r="Y139" s="1"/>
      <c r="Z139" s="1"/>
      <c r="AA139" s="1"/>
    </row>
    <row r="140">
      <c r="A140" s="2"/>
      <c r="B140" s="2"/>
      <c r="C140" s="2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9">
        <f t="shared" si="7"/>
        <v>0</v>
      </c>
      <c r="W140" s="1"/>
      <c r="X140" s="1"/>
      <c r="Y140" s="1"/>
      <c r="Z140" s="1"/>
      <c r="AA140" s="1"/>
    </row>
    <row r="141">
      <c r="A141" s="2"/>
      <c r="B141" s="2"/>
      <c r="C141" s="2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9">
        <f t="shared" si="7"/>
        <v>0</v>
      </c>
      <c r="W141" s="1"/>
      <c r="X141" s="1"/>
      <c r="Y141" s="1"/>
      <c r="Z141" s="1"/>
      <c r="AA141" s="1"/>
    </row>
    <row r="142">
      <c r="A142" s="2"/>
      <c r="B142" s="2"/>
      <c r="C142" s="2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9">
        <f t="shared" si="7"/>
        <v>0</v>
      </c>
      <c r="W142" s="1"/>
      <c r="X142" s="1"/>
      <c r="Y142" s="1"/>
      <c r="Z142" s="1"/>
      <c r="AA142" s="1"/>
    </row>
    <row r="143">
      <c r="A143" s="2"/>
      <c r="B143" s="2"/>
      <c r="C143" s="2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9">
        <f t="shared" si="7"/>
        <v>0</v>
      </c>
      <c r="W143" s="1"/>
      <c r="X143" s="1"/>
      <c r="Y143" s="1"/>
      <c r="Z143" s="1"/>
      <c r="AA143" s="1"/>
    </row>
    <row r="144">
      <c r="A144" s="2"/>
      <c r="B144" s="2"/>
      <c r="C144" s="2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9">
        <f t="shared" si="7"/>
        <v>0</v>
      </c>
      <c r="W144" s="1"/>
      <c r="X144" s="1"/>
      <c r="Y144" s="1"/>
      <c r="Z144" s="1"/>
      <c r="AA144" s="1"/>
    </row>
    <row r="145">
      <c r="A145" s="2"/>
      <c r="B145" s="2"/>
      <c r="C145" s="2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9">
        <f t="shared" si="7"/>
        <v>0</v>
      </c>
      <c r="W145" s="1"/>
      <c r="X145" s="1"/>
      <c r="Y145" s="1"/>
      <c r="Z145" s="1"/>
      <c r="AA145" s="1"/>
    </row>
    <row r="146">
      <c r="A146" s="2"/>
      <c r="B146" s="2"/>
      <c r="C146" s="2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9">
        <f t="shared" si="7"/>
        <v>0</v>
      </c>
      <c r="W146" s="1"/>
      <c r="X146" s="1"/>
      <c r="Y146" s="1"/>
      <c r="Z146" s="1"/>
      <c r="AA146" s="1"/>
    </row>
    <row r="147">
      <c r="A147" s="2"/>
      <c r="B147" s="2"/>
      <c r="C147" s="2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9">
        <f t="shared" si="7"/>
        <v>0</v>
      </c>
      <c r="W147" s="1"/>
      <c r="X147" s="1"/>
      <c r="Y147" s="1"/>
      <c r="Z147" s="1"/>
      <c r="AA147" s="1"/>
    </row>
    <row r="148">
      <c r="A148" s="2"/>
      <c r="B148" s="2"/>
      <c r="C148" s="2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9">
        <f t="shared" si="7"/>
        <v>0</v>
      </c>
      <c r="W148" s="1"/>
      <c r="X148" s="1"/>
      <c r="Y148" s="1"/>
      <c r="Z148" s="1"/>
      <c r="AA148" s="1"/>
    </row>
    <row r="149">
      <c r="A149" s="2"/>
      <c r="B149" s="2"/>
      <c r="C149" s="2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9">
        <f t="shared" si="7"/>
        <v>0</v>
      </c>
      <c r="W149" s="1"/>
      <c r="X149" s="1"/>
      <c r="Y149" s="1"/>
      <c r="Z149" s="1"/>
      <c r="AA149" s="1"/>
    </row>
    <row r="150">
      <c r="A150" s="2"/>
      <c r="B150" s="2"/>
      <c r="C150" s="2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9">
        <f t="shared" si="7"/>
        <v>0</v>
      </c>
      <c r="W150" s="1"/>
      <c r="X150" s="1"/>
      <c r="Y150" s="1"/>
      <c r="Z150" s="1"/>
      <c r="AA150" s="1"/>
    </row>
    <row r="151">
      <c r="A151" s="2"/>
      <c r="B151" s="2"/>
      <c r="C151" s="2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9">
        <f t="shared" si="7"/>
        <v>0</v>
      </c>
      <c r="W151" s="1"/>
      <c r="X151" s="1"/>
      <c r="Y151" s="1"/>
      <c r="Z151" s="1"/>
      <c r="AA151" s="1"/>
    </row>
    <row r="152">
      <c r="A152" s="2"/>
      <c r="B152" s="2"/>
      <c r="C152" s="2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9">
        <f t="shared" si="7"/>
        <v>0</v>
      </c>
      <c r="W152" s="1"/>
      <c r="X152" s="1"/>
      <c r="Y152" s="1"/>
      <c r="Z152" s="1"/>
      <c r="AA152" s="1"/>
    </row>
    <row r="153">
      <c r="A153" s="2"/>
      <c r="B153" s="2"/>
      <c r="C153" s="2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9">
        <f t="shared" si="7"/>
        <v>0</v>
      </c>
      <c r="W153" s="1"/>
      <c r="X153" s="1"/>
      <c r="Y153" s="1"/>
      <c r="Z153" s="1"/>
      <c r="AA153" s="1"/>
    </row>
    <row r="154">
      <c r="A154" s="2"/>
      <c r="B154" s="2"/>
      <c r="C154" s="2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9">
        <f t="shared" si="7"/>
        <v>0</v>
      </c>
      <c r="W154" s="1"/>
      <c r="X154" s="1"/>
      <c r="Y154" s="1"/>
      <c r="Z154" s="1"/>
      <c r="AA154" s="1"/>
    </row>
    <row r="155">
      <c r="A155" s="2"/>
      <c r="B155" s="2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9">
        <f t="shared" si="7"/>
        <v>0</v>
      </c>
      <c r="W155" s="1"/>
      <c r="X155" s="1"/>
      <c r="Y155" s="1"/>
      <c r="Z155" s="1"/>
      <c r="AA155" s="1"/>
    </row>
    <row r="156">
      <c r="A156" s="2"/>
      <c r="B156" s="2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9">
        <f t="shared" si="7"/>
        <v>0</v>
      </c>
      <c r="W156" s="1"/>
      <c r="X156" s="1"/>
      <c r="Y156" s="1"/>
      <c r="Z156" s="1"/>
      <c r="AA156" s="1"/>
    </row>
    <row r="157">
      <c r="A157" s="2"/>
      <c r="B157" s="2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9">
        <f t="shared" si="7"/>
        <v>0</v>
      </c>
      <c r="W157" s="1"/>
      <c r="X157" s="1"/>
      <c r="Y157" s="1"/>
      <c r="Z157" s="1"/>
      <c r="AA157" s="1"/>
    </row>
    <row r="158">
      <c r="A158" s="2"/>
      <c r="B158" s="2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9">
        <f t="shared" si="7"/>
        <v>0</v>
      </c>
      <c r="W158" s="1"/>
      <c r="X158" s="1"/>
      <c r="Y158" s="1"/>
      <c r="Z158" s="1"/>
      <c r="AA158" s="1"/>
    </row>
    <row r="159">
      <c r="A159" s="2"/>
      <c r="B159" s="2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9">
        <f t="shared" si="7"/>
        <v>0</v>
      </c>
      <c r="W159" s="1"/>
      <c r="X159" s="1"/>
      <c r="Y159" s="1"/>
      <c r="Z159" s="1"/>
      <c r="AA159" s="1"/>
    </row>
    <row r="160">
      <c r="A160" s="2"/>
      <c r="B160" s="2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9">
        <f t="shared" si="7"/>
        <v>0</v>
      </c>
      <c r="W160" s="1"/>
      <c r="X160" s="1"/>
      <c r="Y160" s="1"/>
      <c r="Z160" s="1"/>
      <c r="AA160" s="1"/>
    </row>
    <row r="161">
      <c r="A161" s="2"/>
      <c r="B161" s="2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9">
        <f t="shared" si="7"/>
        <v>0</v>
      </c>
      <c r="W161" s="1"/>
      <c r="X161" s="1"/>
      <c r="Y161" s="1"/>
      <c r="Z161" s="1"/>
      <c r="AA161" s="1"/>
    </row>
    <row r="162">
      <c r="A162" s="2"/>
      <c r="B162" s="2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9">
        <f t="shared" si="7"/>
        <v>0</v>
      </c>
      <c r="W162" s="1"/>
      <c r="X162" s="1"/>
      <c r="Y162" s="1"/>
      <c r="Z162" s="1"/>
      <c r="AA162" s="1"/>
    </row>
    <row r="163">
      <c r="A163" s="2"/>
      <c r="B163" s="2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9">
        <f t="shared" si="7"/>
        <v>0</v>
      </c>
      <c r="W163" s="1"/>
      <c r="X163" s="1"/>
      <c r="Y163" s="1"/>
      <c r="Z163" s="1"/>
      <c r="AA163" s="1"/>
    </row>
    <row r="164">
      <c r="A164" s="2"/>
      <c r="B164" s="2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9">
        <f t="shared" si="7"/>
        <v>0</v>
      </c>
      <c r="W164" s="1"/>
      <c r="X164" s="1"/>
      <c r="Y164" s="1"/>
      <c r="Z164" s="1"/>
      <c r="AA164" s="1"/>
    </row>
    <row r="165">
      <c r="A165" s="2"/>
      <c r="B165" s="2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9">
        <f t="shared" si="7"/>
        <v>0</v>
      </c>
      <c r="W165" s="1"/>
      <c r="X165" s="1"/>
      <c r="Y165" s="1"/>
      <c r="Z165" s="1"/>
      <c r="AA165" s="1"/>
    </row>
    <row r="166">
      <c r="A166" s="2"/>
      <c r="B166" s="2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9">
        <f t="shared" si="7"/>
        <v>0</v>
      </c>
      <c r="W166" s="1"/>
      <c r="X166" s="1"/>
      <c r="Y166" s="1"/>
      <c r="Z166" s="1"/>
      <c r="AA166" s="1"/>
    </row>
    <row r="167">
      <c r="A167" s="2"/>
      <c r="B167" s="2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9">
        <f t="shared" si="7"/>
        <v>0</v>
      </c>
      <c r="W167" s="1"/>
      <c r="X167" s="1"/>
      <c r="Y167" s="1"/>
      <c r="Z167" s="1"/>
      <c r="AA167" s="1"/>
    </row>
    <row r="168">
      <c r="A168" s="2"/>
      <c r="B168" s="2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9">
        <f t="shared" si="7"/>
        <v>0</v>
      </c>
      <c r="W168" s="1"/>
      <c r="X168" s="1"/>
      <c r="Y168" s="1"/>
      <c r="Z168" s="1"/>
      <c r="AA168" s="1"/>
    </row>
    <row r="169">
      <c r="A169" s="2"/>
      <c r="B169" s="2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9">
        <f t="shared" si="7"/>
        <v>0</v>
      </c>
      <c r="W169" s="1"/>
      <c r="X169" s="1"/>
      <c r="Y169" s="1"/>
      <c r="Z169" s="1"/>
      <c r="AA169" s="1"/>
    </row>
    <row r="170">
      <c r="A170" s="2"/>
      <c r="B170" s="2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9">
        <f t="shared" si="7"/>
        <v>0</v>
      </c>
      <c r="W170" s="1"/>
      <c r="X170" s="1"/>
      <c r="Y170" s="1"/>
      <c r="Z170" s="1"/>
      <c r="AA170" s="1"/>
    </row>
    <row r="171">
      <c r="A171" s="2"/>
      <c r="B171" s="2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9">
        <f t="shared" si="7"/>
        <v>0</v>
      </c>
      <c r="W171" s="1"/>
      <c r="X171" s="1"/>
      <c r="Y171" s="1"/>
      <c r="Z171" s="1"/>
      <c r="AA171" s="1"/>
    </row>
    <row r="172">
      <c r="A172" s="2"/>
      <c r="B172" s="2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9">
        <f t="shared" si="7"/>
        <v>0</v>
      </c>
      <c r="W172" s="1"/>
      <c r="X172" s="1"/>
      <c r="Y172" s="1"/>
      <c r="Z172" s="1"/>
      <c r="AA172" s="1"/>
    </row>
    <row r="173">
      <c r="A173" s="2"/>
      <c r="B173" s="2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9">
        <f t="shared" si="7"/>
        <v>0</v>
      </c>
      <c r="W173" s="1"/>
      <c r="X173" s="1"/>
      <c r="Y173" s="1"/>
      <c r="Z173" s="1"/>
      <c r="AA173" s="1"/>
    </row>
    <row r="174">
      <c r="A174" s="2"/>
      <c r="B174" s="2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9">
        <f t="shared" si="7"/>
        <v>0</v>
      </c>
      <c r="W174" s="1"/>
      <c r="X174" s="1"/>
      <c r="Y174" s="1"/>
      <c r="Z174" s="1"/>
      <c r="AA174" s="1"/>
    </row>
    <row r="175">
      <c r="A175" s="2"/>
      <c r="B175" s="2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9">
        <f t="shared" si="7"/>
        <v>0</v>
      </c>
      <c r="W175" s="1"/>
      <c r="X175" s="1"/>
      <c r="Y175" s="1"/>
      <c r="Z175" s="1"/>
      <c r="AA175" s="1"/>
    </row>
    <row r="176">
      <c r="A176" s="2"/>
      <c r="B176" s="2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9">
        <f t="shared" si="7"/>
        <v>0</v>
      </c>
      <c r="W176" s="1"/>
      <c r="X176" s="1"/>
      <c r="Y176" s="1"/>
      <c r="Z176" s="1"/>
      <c r="AA176" s="1"/>
    </row>
    <row r="177">
      <c r="A177" s="2"/>
      <c r="B177" s="2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9">
        <f t="shared" si="7"/>
        <v>0</v>
      </c>
      <c r="W177" s="1"/>
      <c r="X177" s="1"/>
      <c r="Y177" s="1"/>
      <c r="Z177" s="1"/>
      <c r="AA177" s="1"/>
    </row>
    <row r="178">
      <c r="A178" s="2"/>
      <c r="B178" s="2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9">
        <f t="shared" si="7"/>
        <v>0</v>
      </c>
      <c r="W178" s="1"/>
      <c r="X178" s="1"/>
      <c r="Y178" s="1"/>
      <c r="Z178" s="1"/>
      <c r="AA178" s="1"/>
    </row>
    <row r="179">
      <c r="A179" s="2"/>
      <c r="B179" s="2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9">
        <f t="shared" si="7"/>
        <v>0</v>
      </c>
      <c r="W179" s="1"/>
      <c r="X179" s="1"/>
      <c r="Y179" s="1"/>
      <c r="Z179" s="1"/>
      <c r="AA179" s="1"/>
    </row>
    <row r="180">
      <c r="A180" s="2"/>
      <c r="B180" s="2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9">
        <f t="shared" si="7"/>
        <v>0</v>
      </c>
      <c r="W180" s="1"/>
      <c r="X180" s="1"/>
      <c r="Y180" s="1"/>
      <c r="Z180" s="1"/>
      <c r="AA180" s="1"/>
    </row>
    <row r="181">
      <c r="A181" s="2"/>
      <c r="B181" s="2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9">
        <f t="shared" si="7"/>
        <v>0</v>
      </c>
      <c r="W181" s="1"/>
      <c r="X181" s="1"/>
      <c r="Y181" s="1"/>
      <c r="Z181" s="1"/>
      <c r="AA181" s="1"/>
    </row>
    <row r="182">
      <c r="A182" s="2"/>
      <c r="B182" s="2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9">
        <f t="shared" si="7"/>
        <v>0</v>
      </c>
      <c r="W182" s="1"/>
      <c r="X182" s="1"/>
      <c r="Y182" s="1"/>
      <c r="Z182" s="1"/>
      <c r="AA182" s="1"/>
    </row>
    <row r="183">
      <c r="A183" s="2"/>
      <c r="B183" s="2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9">
        <f t="shared" si="7"/>
        <v>0</v>
      </c>
      <c r="W183" s="1"/>
      <c r="X183" s="1"/>
      <c r="Y183" s="1"/>
      <c r="Z183" s="1"/>
      <c r="AA183" s="1"/>
    </row>
    <row r="184">
      <c r="A184" s="2"/>
      <c r="B184" s="2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9">
        <f t="shared" si="7"/>
        <v>0</v>
      </c>
      <c r="W184" s="1"/>
      <c r="X184" s="1"/>
      <c r="Y184" s="1"/>
      <c r="Z184" s="1"/>
      <c r="AA184" s="1"/>
    </row>
    <row r="185">
      <c r="A185" s="2"/>
      <c r="B185" s="2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9">
        <f t="shared" si="7"/>
        <v>0</v>
      </c>
      <c r="W185" s="1"/>
      <c r="X185" s="1"/>
      <c r="Y185" s="1"/>
      <c r="Z185" s="1"/>
      <c r="AA185" s="1"/>
    </row>
    <row r="186">
      <c r="A186" s="2"/>
      <c r="B186" s="2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9">
        <f t="shared" si="7"/>
        <v>0</v>
      </c>
      <c r="W186" s="1"/>
      <c r="X186" s="1"/>
      <c r="Y186" s="1"/>
      <c r="Z186" s="1"/>
      <c r="AA186" s="1"/>
    </row>
    <row r="187">
      <c r="A187" s="2"/>
      <c r="B187" s="2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9">
        <f t="shared" si="7"/>
        <v>0</v>
      </c>
      <c r="W187" s="1"/>
      <c r="X187" s="1"/>
      <c r="Y187" s="1"/>
      <c r="Z187" s="1"/>
      <c r="AA187" s="1"/>
    </row>
    <row r="188">
      <c r="A188" s="2"/>
      <c r="B188" s="2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9">
        <f t="shared" si="7"/>
        <v>0</v>
      </c>
      <c r="W188" s="1"/>
      <c r="X188" s="1"/>
      <c r="Y188" s="1"/>
      <c r="Z188" s="1"/>
      <c r="AA188" s="1"/>
    </row>
    <row r="189">
      <c r="A189" s="2"/>
      <c r="B189" s="2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9">
        <f t="shared" si="7"/>
        <v>0</v>
      </c>
      <c r="W189" s="1"/>
      <c r="X189" s="1"/>
      <c r="Y189" s="1"/>
      <c r="Z189" s="1"/>
      <c r="AA189" s="1"/>
    </row>
    <row r="190">
      <c r="A190" s="2"/>
      <c r="B190" s="2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9">
        <f t="shared" si="7"/>
        <v>0</v>
      </c>
      <c r="W190" s="1"/>
      <c r="X190" s="1"/>
      <c r="Y190" s="1"/>
      <c r="Z190" s="1"/>
      <c r="AA190" s="1"/>
    </row>
    <row r="191">
      <c r="A191" s="2"/>
      <c r="B191" s="2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9">
        <f t="shared" si="7"/>
        <v>0</v>
      </c>
      <c r="W191" s="1"/>
      <c r="X191" s="1"/>
      <c r="Y191" s="1"/>
      <c r="Z191" s="1"/>
      <c r="AA191" s="1"/>
    </row>
    <row r="192">
      <c r="A192" s="2"/>
      <c r="B192" s="2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9">
        <f t="shared" si="7"/>
        <v>0</v>
      </c>
      <c r="W192" s="1"/>
      <c r="X192" s="1"/>
      <c r="Y192" s="1"/>
      <c r="Z192" s="1"/>
      <c r="AA192" s="1"/>
    </row>
    <row r="193">
      <c r="A193" s="2"/>
      <c r="B193" s="2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9">
        <f t="shared" si="7"/>
        <v>0</v>
      </c>
      <c r="W193" s="1"/>
      <c r="X193" s="1"/>
      <c r="Y193" s="1"/>
      <c r="Z193" s="1"/>
      <c r="AA193" s="1"/>
    </row>
    <row r="194">
      <c r="A194" s="2"/>
      <c r="B194" s="2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9">
        <f t="shared" si="7"/>
        <v>0</v>
      </c>
      <c r="W194" s="1"/>
      <c r="X194" s="1"/>
      <c r="Y194" s="1"/>
      <c r="Z194" s="1"/>
      <c r="AA194" s="1"/>
    </row>
    <row r="195">
      <c r="A195" s="2"/>
      <c r="B195" s="2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9">
        <f t="shared" si="7"/>
        <v>0</v>
      </c>
      <c r="W195" s="1"/>
      <c r="X195" s="1"/>
      <c r="Y195" s="1"/>
      <c r="Z195" s="1"/>
      <c r="AA195" s="1"/>
    </row>
    <row r="196">
      <c r="A196" s="2"/>
      <c r="B196" s="2"/>
      <c r="C196" s="2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9">
        <f t="shared" si="7"/>
        <v>0</v>
      </c>
      <c r="W196" s="1"/>
      <c r="X196" s="1"/>
      <c r="Y196" s="1"/>
      <c r="Z196" s="1"/>
      <c r="AA196" s="1"/>
    </row>
    <row r="197">
      <c r="A197" s="2"/>
      <c r="B197" s="2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9">
        <f t="shared" si="7"/>
        <v>0</v>
      </c>
      <c r="W197" s="1"/>
      <c r="X197" s="1"/>
      <c r="Y197" s="1"/>
      <c r="Z197" s="1"/>
      <c r="AA197" s="1"/>
    </row>
    <row r="198">
      <c r="A198" s="2"/>
      <c r="B198" s="2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9">
        <f t="shared" si="7"/>
        <v>0</v>
      </c>
      <c r="W198" s="1"/>
      <c r="X198" s="1"/>
      <c r="Y198" s="1"/>
      <c r="Z198" s="1"/>
      <c r="AA198" s="1"/>
    </row>
    <row r="199">
      <c r="A199" s="2"/>
      <c r="B199" s="2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9">
        <f t="shared" si="7"/>
        <v>0</v>
      </c>
      <c r="W199" s="1"/>
      <c r="X199" s="1"/>
      <c r="Y199" s="1"/>
      <c r="Z199" s="1"/>
      <c r="AA199" s="1"/>
    </row>
    <row r="200">
      <c r="A200" s="2"/>
      <c r="B200" s="2"/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9">
        <f t="shared" si="7"/>
        <v>0</v>
      </c>
      <c r="W200" s="1"/>
      <c r="X200" s="1"/>
      <c r="Y200" s="1"/>
      <c r="Z200" s="1"/>
      <c r="AA200" s="1"/>
    </row>
    <row r="201">
      <c r="A201" s="2"/>
      <c r="B201" s="2"/>
      <c r="C201" s="2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9">
        <f t="shared" si="7"/>
        <v>0</v>
      </c>
      <c r="W201" s="1"/>
      <c r="X201" s="1"/>
      <c r="Y201" s="1"/>
      <c r="Z201" s="1"/>
      <c r="AA201" s="1"/>
    </row>
    <row r="202">
      <c r="A202" s="2"/>
      <c r="B202" s="2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9">
        <f t="shared" si="7"/>
        <v>0</v>
      </c>
      <c r="W202" s="1"/>
      <c r="X202" s="1"/>
      <c r="Y202" s="1"/>
      <c r="Z202" s="1"/>
      <c r="AA202" s="1"/>
    </row>
    <row r="203">
      <c r="A203" s="2"/>
      <c r="B203" s="2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9">
        <f t="shared" si="7"/>
        <v>0</v>
      </c>
      <c r="W203" s="1"/>
      <c r="X203" s="1"/>
      <c r="Y203" s="1"/>
      <c r="Z203" s="1"/>
      <c r="AA203" s="1"/>
    </row>
    <row r="204">
      <c r="A204" s="2"/>
      <c r="B204" s="2"/>
      <c r="C204" s="2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9">
        <f t="shared" si="7"/>
        <v>0</v>
      </c>
      <c r="W204" s="1"/>
      <c r="X204" s="1"/>
      <c r="Y204" s="1"/>
      <c r="Z204" s="1"/>
      <c r="AA204" s="1"/>
    </row>
    <row r="205">
      <c r="A205" s="2"/>
      <c r="B205" s="2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9">
        <f t="shared" si="7"/>
        <v>0</v>
      </c>
      <c r="W205" s="1"/>
      <c r="X205" s="1"/>
      <c r="Y205" s="1"/>
      <c r="Z205" s="1"/>
      <c r="AA205" s="1"/>
    </row>
    <row r="206">
      <c r="A206" s="2"/>
      <c r="B206" s="2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9">
        <f t="shared" si="7"/>
        <v>0</v>
      </c>
      <c r="W206" s="1"/>
      <c r="X206" s="1"/>
      <c r="Y206" s="1"/>
      <c r="Z206" s="1"/>
      <c r="AA206" s="1"/>
    </row>
    <row r="207">
      <c r="A207" s="2"/>
      <c r="B207" s="2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9">
        <f t="shared" si="7"/>
        <v>0</v>
      </c>
      <c r="W207" s="1"/>
      <c r="X207" s="1"/>
      <c r="Y207" s="1"/>
      <c r="Z207" s="1"/>
      <c r="AA207" s="1"/>
    </row>
    <row r="208">
      <c r="A208" s="2"/>
      <c r="B208" s="2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9">
        <f t="shared" si="7"/>
        <v>0</v>
      </c>
      <c r="W208" s="1"/>
      <c r="X208" s="1"/>
      <c r="Y208" s="1"/>
      <c r="Z208" s="1"/>
      <c r="AA208" s="1"/>
    </row>
    <row r="209">
      <c r="A209" s="2"/>
      <c r="B209" s="2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9">
        <f t="shared" si="7"/>
        <v>0</v>
      </c>
      <c r="W209" s="1"/>
      <c r="X209" s="1"/>
      <c r="Y209" s="1"/>
      <c r="Z209" s="1"/>
      <c r="AA209" s="1"/>
    </row>
    <row r="210">
      <c r="A210" s="2"/>
      <c r="B210" s="2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9">
        <f t="shared" si="7"/>
        <v>0</v>
      </c>
      <c r="W210" s="1"/>
      <c r="X210" s="1"/>
      <c r="Y210" s="1"/>
      <c r="Z210" s="1"/>
      <c r="AA210" s="1"/>
    </row>
    <row r="211">
      <c r="A211" s="2"/>
      <c r="B211" s="2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9">
        <f t="shared" si="7"/>
        <v>0</v>
      </c>
      <c r="W211" s="1"/>
      <c r="X211" s="1"/>
      <c r="Y211" s="1"/>
      <c r="Z211" s="1"/>
      <c r="AA211" s="1"/>
    </row>
    <row r="212">
      <c r="A212" s="2"/>
      <c r="B212" s="2"/>
      <c r="C212" s="2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9">
        <f t="shared" si="7"/>
        <v>0</v>
      </c>
      <c r="W212" s="1"/>
      <c r="X212" s="1"/>
      <c r="Y212" s="1"/>
      <c r="Z212" s="1"/>
      <c r="AA212" s="1"/>
    </row>
    <row r="213">
      <c r="A213" s="2"/>
      <c r="B213" s="2"/>
      <c r="C213" s="2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9">
        <f t="shared" si="7"/>
        <v>0</v>
      </c>
      <c r="W213" s="1"/>
      <c r="X213" s="1"/>
      <c r="Y213" s="1"/>
      <c r="Z213" s="1"/>
      <c r="AA213" s="1"/>
    </row>
    <row r="214">
      <c r="A214" s="2"/>
      <c r="B214" s="2"/>
      <c r="C214" s="2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9">
        <f t="shared" si="7"/>
        <v>0</v>
      </c>
      <c r="W214" s="1"/>
      <c r="X214" s="1"/>
      <c r="Y214" s="1"/>
      <c r="Z214" s="1"/>
      <c r="AA214" s="1"/>
    </row>
    <row r="215">
      <c r="A215" s="2"/>
      <c r="B215" s="2"/>
      <c r="C215" s="2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9">
        <f t="shared" si="7"/>
        <v>0</v>
      </c>
      <c r="W215" s="1"/>
      <c r="X215" s="1"/>
      <c r="Y215" s="1"/>
      <c r="Z215" s="1"/>
      <c r="AA215" s="1"/>
    </row>
    <row r="216">
      <c r="A216" s="2"/>
      <c r="B216" s="2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9">
        <f t="shared" si="7"/>
        <v>0</v>
      </c>
      <c r="W216" s="1"/>
      <c r="X216" s="1"/>
      <c r="Y216" s="1"/>
      <c r="Z216" s="1"/>
      <c r="AA216" s="1"/>
    </row>
    <row r="217">
      <c r="A217" s="2"/>
      <c r="B217" s="2"/>
      <c r="C217" s="2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9">
        <f t="shared" si="7"/>
        <v>0</v>
      </c>
      <c r="W217" s="1"/>
      <c r="X217" s="1"/>
      <c r="Y217" s="1"/>
      <c r="Z217" s="1"/>
      <c r="AA217" s="1"/>
    </row>
    <row r="218">
      <c r="A218" s="2"/>
      <c r="B218" s="2"/>
      <c r="C218" s="2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9">
        <f t="shared" si="7"/>
        <v>0</v>
      </c>
      <c r="W218" s="1"/>
      <c r="X218" s="1"/>
      <c r="Y218" s="1"/>
      <c r="Z218" s="1"/>
      <c r="AA218" s="1"/>
    </row>
    <row r="219">
      <c r="A219" s="2"/>
      <c r="B219" s="2"/>
      <c r="C219" s="2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9">
        <f t="shared" si="7"/>
        <v>0</v>
      </c>
      <c r="W219" s="1"/>
      <c r="X219" s="1"/>
      <c r="Y219" s="1"/>
      <c r="Z219" s="1"/>
      <c r="AA219" s="1"/>
    </row>
    <row r="220">
      <c r="A220" s="2"/>
      <c r="B220" s="2"/>
      <c r="C220" s="2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9">
        <f t="shared" si="7"/>
        <v>0</v>
      </c>
      <c r="W220" s="1"/>
      <c r="X220" s="1"/>
      <c r="Y220" s="1"/>
      <c r="Z220" s="1"/>
      <c r="AA220" s="1"/>
    </row>
    <row r="221">
      <c r="A221" s="2"/>
      <c r="B221" s="2"/>
      <c r="C221" s="2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9">
        <f t="shared" si="7"/>
        <v>0</v>
      </c>
      <c r="W221" s="1"/>
      <c r="X221" s="1"/>
      <c r="Y221" s="1"/>
      <c r="Z221" s="1"/>
      <c r="AA221" s="1"/>
    </row>
    <row r="222">
      <c r="A222" s="2"/>
      <c r="B222" s="2"/>
      <c r="C222" s="2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9">
        <f t="shared" si="7"/>
        <v>0</v>
      </c>
      <c r="W222" s="1"/>
      <c r="X222" s="1"/>
      <c r="Y222" s="1"/>
      <c r="Z222" s="1"/>
      <c r="AA222" s="1"/>
    </row>
    <row r="223">
      <c r="A223" s="2"/>
      <c r="B223" s="2"/>
      <c r="C223" s="2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9">
        <f t="shared" si="7"/>
        <v>0</v>
      </c>
      <c r="W223" s="1"/>
      <c r="X223" s="1"/>
      <c r="Y223" s="1"/>
      <c r="Z223" s="1"/>
      <c r="AA223" s="1"/>
    </row>
    <row r="224">
      <c r="A224" s="2"/>
      <c r="B224" s="2"/>
      <c r="C224" s="2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9">
        <f t="shared" si="7"/>
        <v>0</v>
      </c>
      <c r="W224" s="1"/>
      <c r="X224" s="1"/>
      <c r="Y224" s="1"/>
      <c r="Z224" s="1"/>
      <c r="AA224" s="1"/>
    </row>
    <row r="225">
      <c r="A225" s="2"/>
      <c r="B225" s="2"/>
      <c r="C225" s="2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9">
        <f t="shared" si="7"/>
        <v>0</v>
      </c>
      <c r="W225" s="1"/>
      <c r="X225" s="1"/>
      <c r="Y225" s="1"/>
      <c r="Z225" s="1"/>
      <c r="AA225" s="1"/>
    </row>
    <row r="226">
      <c r="A226" s="2"/>
      <c r="B226" s="2"/>
      <c r="C226" s="2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9">
        <f t="shared" si="7"/>
        <v>0</v>
      </c>
      <c r="W226" s="1"/>
      <c r="X226" s="1"/>
      <c r="Y226" s="1"/>
      <c r="Z226" s="1"/>
      <c r="AA226" s="1"/>
    </row>
    <row r="227">
      <c r="A227" s="2"/>
      <c r="B227" s="2"/>
      <c r="C227" s="2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9">
        <f t="shared" si="7"/>
        <v>0</v>
      </c>
      <c r="W227" s="1"/>
      <c r="X227" s="1"/>
      <c r="Y227" s="1"/>
      <c r="Z227" s="1"/>
      <c r="AA227" s="1"/>
    </row>
    <row r="228">
      <c r="A228" s="2"/>
      <c r="B228" s="2"/>
      <c r="C228" s="2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9">
        <f t="shared" si="7"/>
        <v>0</v>
      </c>
      <c r="W228" s="1"/>
      <c r="X228" s="1"/>
      <c r="Y228" s="1"/>
      <c r="Z228" s="1"/>
      <c r="AA228" s="1"/>
    </row>
    <row r="229">
      <c r="A229" s="2"/>
      <c r="B229" s="2"/>
      <c r="C229" s="2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9">
        <f t="shared" si="7"/>
        <v>0</v>
      </c>
      <c r="W229" s="1"/>
      <c r="X229" s="1"/>
      <c r="Y229" s="1"/>
      <c r="Z229" s="1"/>
      <c r="AA229" s="1"/>
    </row>
    <row r="230">
      <c r="A230" s="2"/>
      <c r="B230" s="2"/>
      <c r="C230" s="2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9">
        <f t="shared" si="7"/>
        <v>0</v>
      </c>
      <c r="W230" s="1"/>
      <c r="X230" s="1"/>
      <c r="Y230" s="1"/>
      <c r="Z230" s="1"/>
      <c r="AA230" s="1"/>
    </row>
    <row r="231">
      <c r="A231" s="2"/>
      <c r="B231" s="2"/>
      <c r="C231" s="2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9">
        <f t="shared" si="7"/>
        <v>0</v>
      </c>
      <c r="W231" s="1"/>
      <c r="X231" s="1"/>
      <c r="Y231" s="1"/>
      <c r="Z231" s="1"/>
      <c r="AA231" s="1"/>
    </row>
    <row r="232">
      <c r="A232" s="2"/>
      <c r="B232" s="2"/>
      <c r="C232" s="2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9">
        <f t="shared" si="7"/>
        <v>0</v>
      </c>
      <c r="W232" s="1"/>
      <c r="X232" s="1"/>
      <c r="Y232" s="1"/>
      <c r="Z232" s="1"/>
      <c r="AA232" s="1"/>
    </row>
    <row r="233">
      <c r="A233" s="2"/>
      <c r="B233" s="2"/>
      <c r="C233" s="2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9">
        <f t="shared" si="7"/>
        <v>0</v>
      </c>
      <c r="W233" s="1"/>
      <c r="X233" s="1"/>
      <c r="Y233" s="1"/>
      <c r="Z233" s="1"/>
      <c r="AA233" s="1"/>
    </row>
    <row r="234">
      <c r="A234" s="2"/>
      <c r="B234" s="2"/>
      <c r="C234" s="2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9">
        <f t="shared" si="7"/>
        <v>0</v>
      </c>
      <c r="W234" s="1"/>
      <c r="X234" s="1"/>
      <c r="Y234" s="1"/>
      <c r="Z234" s="1"/>
      <c r="AA234" s="1"/>
    </row>
    <row r="235">
      <c r="A235" s="2"/>
      <c r="B235" s="2"/>
      <c r="C235" s="2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9">
        <f t="shared" si="7"/>
        <v>0</v>
      </c>
      <c r="W235" s="1"/>
      <c r="X235" s="1"/>
      <c r="Y235" s="1"/>
      <c r="Z235" s="1"/>
      <c r="AA235" s="1"/>
    </row>
    <row r="236">
      <c r="A236" s="2"/>
      <c r="B236" s="2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9">
        <f t="shared" si="7"/>
        <v>0</v>
      </c>
      <c r="W236" s="1"/>
      <c r="X236" s="1"/>
      <c r="Y236" s="1"/>
      <c r="Z236" s="1"/>
      <c r="AA236" s="1"/>
    </row>
    <row r="237">
      <c r="A237" s="2"/>
      <c r="B237" s="2"/>
      <c r="C237" s="2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9">
        <f t="shared" si="7"/>
        <v>0</v>
      </c>
      <c r="W237" s="1"/>
      <c r="X237" s="1"/>
      <c r="Y237" s="1"/>
      <c r="Z237" s="1"/>
      <c r="AA237" s="1"/>
    </row>
    <row r="238">
      <c r="A238" s="2"/>
      <c r="B238" s="2"/>
      <c r="C238" s="2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9">
        <f t="shared" si="7"/>
        <v>0</v>
      </c>
      <c r="W238" s="1"/>
      <c r="X238" s="1"/>
      <c r="Y238" s="1"/>
      <c r="Z238" s="1"/>
      <c r="AA238" s="1"/>
    </row>
    <row r="239">
      <c r="A239" s="2"/>
      <c r="B239" s="2"/>
      <c r="C239" s="2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9">
        <f t="shared" si="7"/>
        <v>0</v>
      </c>
      <c r="W239" s="1"/>
      <c r="X239" s="1"/>
      <c r="Y239" s="1"/>
      <c r="Z239" s="1"/>
      <c r="AA239" s="1"/>
    </row>
    <row r="240">
      <c r="A240" s="2"/>
      <c r="B240" s="2"/>
      <c r="C240" s="2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9">
        <f t="shared" si="7"/>
        <v>0</v>
      </c>
      <c r="W240" s="1"/>
      <c r="X240" s="1"/>
      <c r="Y240" s="1"/>
      <c r="Z240" s="1"/>
      <c r="AA240" s="1"/>
    </row>
    <row r="241">
      <c r="A241" s="2"/>
      <c r="B241" s="2"/>
      <c r="C241" s="2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9">
        <f t="shared" si="7"/>
        <v>0</v>
      </c>
      <c r="W241" s="1"/>
      <c r="X241" s="1"/>
      <c r="Y241" s="1"/>
      <c r="Z241" s="1"/>
      <c r="AA241" s="1"/>
    </row>
    <row r="242">
      <c r="A242" s="2"/>
      <c r="B242" s="2"/>
      <c r="C242" s="2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9">
        <f t="shared" si="7"/>
        <v>0</v>
      </c>
      <c r="W242" s="1"/>
      <c r="X242" s="1"/>
      <c r="Y242" s="1"/>
      <c r="Z242" s="1"/>
      <c r="AA242" s="1"/>
    </row>
    <row r="243">
      <c r="A243" s="2"/>
      <c r="B243" s="2"/>
      <c r="C243" s="2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9">
        <f t="shared" si="7"/>
        <v>0</v>
      </c>
      <c r="W243" s="1"/>
      <c r="X243" s="1"/>
      <c r="Y243" s="1"/>
      <c r="Z243" s="1"/>
      <c r="AA243" s="1"/>
    </row>
    <row r="244">
      <c r="A244" s="2"/>
      <c r="B244" s="2"/>
      <c r="C244" s="2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9">
        <f t="shared" si="7"/>
        <v>0</v>
      </c>
      <c r="W244" s="1"/>
      <c r="X244" s="1"/>
      <c r="Y244" s="1"/>
      <c r="Z244" s="1"/>
      <c r="AA244" s="1"/>
    </row>
    <row r="245">
      <c r="A245" s="2"/>
      <c r="B245" s="2"/>
      <c r="C245" s="2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9">
        <f t="shared" si="7"/>
        <v>0</v>
      </c>
      <c r="W245" s="1"/>
      <c r="X245" s="1"/>
      <c r="Y245" s="1"/>
      <c r="Z245" s="1"/>
      <c r="AA245" s="1"/>
    </row>
    <row r="246">
      <c r="A246" s="2"/>
      <c r="B246" s="2"/>
      <c r="C246" s="2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9">
        <f t="shared" si="7"/>
        <v>0</v>
      </c>
      <c r="W246" s="1"/>
      <c r="X246" s="1"/>
      <c r="Y246" s="1"/>
      <c r="Z246" s="1"/>
      <c r="AA246" s="1"/>
    </row>
    <row r="247">
      <c r="A247" s="2"/>
      <c r="B247" s="2"/>
      <c r="C247" s="2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9">
        <f t="shared" si="7"/>
        <v>0</v>
      </c>
      <c r="W247" s="1"/>
      <c r="X247" s="1"/>
      <c r="Y247" s="1"/>
      <c r="Z247" s="1"/>
      <c r="AA247" s="1"/>
    </row>
    <row r="248">
      <c r="A248" s="2"/>
      <c r="B248" s="2"/>
      <c r="C248" s="2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9">
        <f t="shared" si="7"/>
        <v>0</v>
      </c>
      <c r="W248" s="1"/>
      <c r="X248" s="1"/>
      <c r="Y248" s="1"/>
      <c r="Z248" s="1"/>
      <c r="AA248" s="1"/>
    </row>
    <row r="249">
      <c r="A249" s="2"/>
      <c r="B249" s="2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9">
        <f t="shared" si="7"/>
        <v>0</v>
      </c>
      <c r="W249" s="1"/>
      <c r="X249" s="1"/>
      <c r="Y249" s="1"/>
      <c r="Z249" s="1"/>
      <c r="AA249" s="1"/>
    </row>
    <row r="250">
      <c r="A250" s="2"/>
      <c r="B250" s="2"/>
      <c r="C250" s="2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9">
        <f t="shared" si="7"/>
        <v>0</v>
      </c>
      <c r="W250" s="1"/>
      <c r="X250" s="1"/>
      <c r="Y250" s="1"/>
      <c r="Z250" s="1"/>
      <c r="AA250" s="1"/>
    </row>
    <row r="251">
      <c r="A251" s="2"/>
      <c r="B251" s="2"/>
      <c r="C251" s="2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9">
        <f t="shared" si="7"/>
        <v>0</v>
      </c>
      <c r="W251" s="1"/>
      <c r="X251" s="1"/>
      <c r="Y251" s="1"/>
      <c r="Z251" s="1"/>
      <c r="AA251" s="1"/>
    </row>
    <row r="252">
      <c r="A252" s="2"/>
      <c r="B252" s="2"/>
      <c r="C252" s="2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9">
        <f t="shared" si="7"/>
        <v>0</v>
      </c>
      <c r="W252" s="1"/>
      <c r="X252" s="1"/>
      <c r="Y252" s="1"/>
      <c r="Z252" s="1"/>
      <c r="AA252" s="1"/>
    </row>
    <row r="253">
      <c r="A253" s="2"/>
      <c r="B253" s="2"/>
      <c r="C253" s="2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9">
        <f t="shared" si="7"/>
        <v>0</v>
      </c>
      <c r="W253" s="1"/>
      <c r="X253" s="1"/>
      <c r="Y253" s="1"/>
      <c r="Z253" s="1"/>
      <c r="AA253" s="1"/>
    </row>
    <row r="254">
      <c r="A254" s="2"/>
      <c r="B254" s="2"/>
      <c r="C254" s="2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9">
        <f t="shared" si="7"/>
        <v>0</v>
      </c>
      <c r="W254" s="1"/>
      <c r="X254" s="1"/>
      <c r="Y254" s="1"/>
      <c r="Z254" s="1"/>
      <c r="AA254" s="1"/>
    </row>
    <row r="255">
      <c r="A255" s="2"/>
      <c r="B255" s="2"/>
      <c r="C255" s="2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9">
        <f t="shared" si="7"/>
        <v>0</v>
      </c>
      <c r="W255" s="1"/>
      <c r="X255" s="1"/>
      <c r="Y255" s="1"/>
      <c r="Z255" s="1"/>
      <c r="AA255" s="1"/>
    </row>
    <row r="256">
      <c r="A256" s="2"/>
      <c r="B256" s="2"/>
      <c r="C256" s="2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9">
        <f t="shared" si="7"/>
        <v>0</v>
      </c>
      <c r="W256" s="1"/>
      <c r="X256" s="1"/>
      <c r="Y256" s="1"/>
      <c r="Z256" s="1"/>
      <c r="AA256" s="1"/>
    </row>
    <row r="257">
      <c r="A257" s="2"/>
      <c r="B257" s="2"/>
      <c r="C257" s="2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9">
        <f t="shared" si="7"/>
        <v>0</v>
      </c>
      <c r="W257" s="1"/>
      <c r="X257" s="1"/>
      <c r="Y257" s="1"/>
      <c r="Z257" s="1"/>
      <c r="AA257" s="1"/>
    </row>
    <row r="258">
      <c r="A258" s="2"/>
      <c r="B258" s="2"/>
      <c r="C258" s="2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9">
        <f t="shared" si="7"/>
        <v>0</v>
      </c>
      <c r="W258" s="1"/>
      <c r="X258" s="1"/>
      <c r="Y258" s="1"/>
      <c r="Z258" s="1"/>
      <c r="AA258" s="1"/>
    </row>
    <row r="259">
      <c r="A259" s="2"/>
      <c r="B259" s="2"/>
      <c r="C259" s="2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9">
        <f t="shared" si="7"/>
        <v>0</v>
      </c>
      <c r="W259" s="1"/>
      <c r="X259" s="1"/>
      <c r="Y259" s="1"/>
      <c r="Z259" s="1"/>
      <c r="AA259" s="1"/>
    </row>
    <row r="260">
      <c r="A260" s="2"/>
      <c r="B260" s="2"/>
      <c r="C260" s="2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9">
        <f t="shared" si="7"/>
        <v>0</v>
      </c>
      <c r="W260" s="1"/>
      <c r="X260" s="1"/>
      <c r="Y260" s="1"/>
      <c r="Z260" s="1"/>
      <c r="AA260" s="1"/>
    </row>
    <row r="261">
      <c r="A261" s="2"/>
      <c r="B261" s="2"/>
      <c r="C261" s="2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9">
        <f t="shared" si="7"/>
        <v>0</v>
      </c>
      <c r="W261" s="1"/>
      <c r="X261" s="1"/>
      <c r="Y261" s="1"/>
      <c r="Z261" s="1"/>
      <c r="AA261" s="1"/>
    </row>
    <row r="262">
      <c r="A262" s="2"/>
      <c r="B262" s="2"/>
      <c r="C262" s="2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9">
        <f t="shared" si="7"/>
        <v>0</v>
      </c>
      <c r="W262" s="1"/>
      <c r="X262" s="1"/>
      <c r="Y262" s="1"/>
      <c r="Z262" s="1"/>
      <c r="AA262" s="1"/>
    </row>
    <row r="263">
      <c r="A263" s="2"/>
      <c r="B263" s="2"/>
      <c r="C263" s="2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9">
        <f t="shared" si="7"/>
        <v>0</v>
      </c>
      <c r="W263" s="1"/>
      <c r="X263" s="1"/>
      <c r="Y263" s="1"/>
      <c r="Z263" s="1"/>
      <c r="AA263" s="1"/>
    </row>
    <row r="264">
      <c r="A264" s="2"/>
      <c r="B264" s="2"/>
      <c r="C264" s="2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9">
        <f t="shared" si="7"/>
        <v>0</v>
      </c>
      <c r="W264" s="1"/>
      <c r="X264" s="1"/>
      <c r="Y264" s="1"/>
      <c r="Z264" s="1"/>
      <c r="AA264" s="1"/>
    </row>
    <row r="265">
      <c r="A265" s="2"/>
      <c r="B265" s="2"/>
      <c r="C265" s="2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9">
        <f t="shared" si="7"/>
        <v>0</v>
      </c>
      <c r="W265" s="1"/>
      <c r="X265" s="1"/>
      <c r="Y265" s="1"/>
      <c r="Z265" s="1"/>
      <c r="AA265" s="1"/>
    </row>
    <row r="266">
      <c r="A266" s="2"/>
      <c r="B266" s="2"/>
      <c r="C266" s="2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9">
        <f t="shared" si="7"/>
        <v>0</v>
      </c>
      <c r="W266" s="1"/>
      <c r="X266" s="1"/>
      <c r="Y266" s="1"/>
      <c r="Z266" s="1"/>
      <c r="AA266" s="1"/>
    </row>
    <row r="267">
      <c r="A267" s="2"/>
      <c r="B267" s="2"/>
      <c r="C267" s="2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9">
        <f t="shared" si="7"/>
        <v>0</v>
      </c>
      <c r="W267" s="1"/>
      <c r="X267" s="1"/>
      <c r="Y267" s="1"/>
      <c r="Z267" s="1"/>
      <c r="AA267" s="1"/>
    </row>
    <row r="268">
      <c r="A268" s="2"/>
      <c r="B268" s="2"/>
      <c r="C268" s="2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9">
        <f t="shared" si="7"/>
        <v>0</v>
      </c>
      <c r="W268" s="1"/>
      <c r="X268" s="1"/>
      <c r="Y268" s="1"/>
      <c r="Z268" s="1"/>
      <c r="AA268" s="1"/>
    </row>
    <row r="269">
      <c r="A269" s="2"/>
      <c r="B269" s="2"/>
      <c r="C269" s="2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9">
        <f t="shared" si="7"/>
        <v>0</v>
      </c>
      <c r="W269" s="1"/>
      <c r="X269" s="1"/>
      <c r="Y269" s="1"/>
      <c r="Z269" s="1"/>
      <c r="AA269" s="1"/>
    </row>
    <row r="270">
      <c r="A270" s="2"/>
      <c r="B270" s="2"/>
      <c r="C270" s="2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9">
        <f t="shared" si="7"/>
        <v>0</v>
      </c>
      <c r="W270" s="1"/>
      <c r="X270" s="1"/>
      <c r="Y270" s="1"/>
      <c r="Z270" s="1"/>
      <c r="AA270" s="1"/>
    </row>
    <row r="271">
      <c r="A271" s="2"/>
      <c r="B271" s="2"/>
      <c r="C271" s="2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9">
        <f t="shared" si="7"/>
        <v>0</v>
      </c>
      <c r="W271" s="1"/>
      <c r="X271" s="1"/>
      <c r="Y271" s="1"/>
      <c r="Z271" s="1"/>
      <c r="AA271" s="1"/>
    </row>
    <row r="272">
      <c r="A272" s="2"/>
      <c r="B272" s="2"/>
      <c r="C272" s="2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9">
        <f t="shared" si="7"/>
        <v>0</v>
      </c>
      <c r="W272" s="1"/>
      <c r="X272" s="1"/>
      <c r="Y272" s="1"/>
      <c r="Z272" s="1"/>
      <c r="AA272" s="1"/>
    </row>
    <row r="273">
      <c r="A273" s="2"/>
      <c r="B273" s="2"/>
      <c r="C273" s="2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9">
        <f t="shared" si="7"/>
        <v>0</v>
      </c>
      <c r="W273" s="1"/>
      <c r="X273" s="1"/>
      <c r="Y273" s="1"/>
      <c r="Z273" s="1"/>
      <c r="AA273" s="1"/>
    </row>
    <row r="274">
      <c r="A274" s="2"/>
      <c r="B274" s="2"/>
      <c r="C274" s="2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9">
        <f t="shared" si="7"/>
        <v>0</v>
      </c>
      <c r="W274" s="1"/>
      <c r="X274" s="1"/>
      <c r="Y274" s="1"/>
      <c r="Z274" s="1"/>
      <c r="AA274" s="1"/>
    </row>
    <row r="275">
      <c r="A275" s="2"/>
      <c r="B275" s="2"/>
      <c r="C275" s="2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9">
        <f t="shared" si="7"/>
        <v>0</v>
      </c>
      <c r="W275" s="1"/>
      <c r="X275" s="1"/>
      <c r="Y275" s="1"/>
      <c r="Z275" s="1"/>
      <c r="AA275" s="1"/>
    </row>
    <row r="276">
      <c r="A276" s="2"/>
      <c r="B276" s="2"/>
      <c r="C276" s="2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9">
        <f t="shared" si="7"/>
        <v>0</v>
      </c>
      <c r="W276" s="1"/>
      <c r="X276" s="1"/>
      <c r="Y276" s="1"/>
      <c r="Z276" s="1"/>
      <c r="AA276" s="1"/>
    </row>
    <row r="277">
      <c r="A277" s="2"/>
      <c r="B277" s="2"/>
      <c r="C277" s="2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9">
        <f t="shared" si="7"/>
        <v>0</v>
      </c>
      <c r="W277" s="1"/>
      <c r="X277" s="1"/>
      <c r="Y277" s="1"/>
      <c r="Z277" s="1"/>
      <c r="AA277" s="1"/>
    </row>
    <row r="278">
      <c r="A278" s="2"/>
      <c r="B278" s="2"/>
      <c r="C278" s="2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9">
        <f t="shared" si="7"/>
        <v>0</v>
      </c>
      <c r="W278" s="1"/>
      <c r="X278" s="1"/>
      <c r="Y278" s="1"/>
      <c r="Z278" s="1"/>
      <c r="AA278" s="1"/>
    </row>
    <row r="279">
      <c r="A279" s="2"/>
      <c r="B279" s="2"/>
      <c r="C279" s="2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9">
        <f t="shared" si="7"/>
        <v>0</v>
      </c>
      <c r="W279" s="1"/>
      <c r="X279" s="1"/>
      <c r="Y279" s="1"/>
      <c r="Z279" s="1"/>
      <c r="AA279" s="1"/>
    </row>
    <row r="280">
      <c r="A280" s="2"/>
      <c r="B280" s="2"/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9">
        <f t="shared" si="7"/>
        <v>0</v>
      </c>
      <c r="W280" s="1"/>
      <c r="X280" s="1"/>
      <c r="Y280" s="1"/>
      <c r="Z280" s="1"/>
      <c r="AA280" s="1"/>
    </row>
    <row r="281">
      <c r="A281" s="2"/>
      <c r="B281" s="2"/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9">
        <f t="shared" si="7"/>
        <v>0</v>
      </c>
      <c r="W281" s="1"/>
      <c r="X281" s="1"/>
      <c r="Y281" s="1"/>
      <c r="Z281" s="1"/>
      <c r="AA281" s="1"/>
    </row>
    <row r="282">
      <c r="A282" s="2"/>
      <c r="B282" s="2"/>
      <c r="C282" s="2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9">
        <f t="shared" si="7"/>
        <v>0</v>
      </c>
      <c r="W282" s="1"/>
      <c r="X282" s="1"/>
      <c r="Y282" s="1"/>
      <c r="Z282" s="1"/>
      <c r="AA282" s="1"/>
    </row>
    <row r="283">
      <c r="A283" s="2"/>
      <c r="B283" s="2"/>
      <c r="C283" s="2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9">
        <f t="shared" si="7"/>
        <v>0</v>
      </c>
      <c r="W283" s="1"/>
      <c r="X283" s="1"/>
      <c r="Y283" s="1"/>
      <c r="Z283" s="1"/>
      <c r="AA283" s="1"/>
    </row>
    <row r="284">
      <c r="A284" s="2"/>
      <c r="B284" s="2"/>
      <c r="C284" s="2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9">
        <f t="shared" si="7"/>
        <v>0</v>
      </c>
      <c r="W284" s="1"/>
      <c r="X284" s="1"/>
      <c r="Y284" s="1"/>
      <c r="Z284" s="1"/>
      <c r="AA284" s="1"/>
    </row>
    <row r="285">
      <c r="A285" s="2"/>
      <c r="B285" s="2"/>
      <c r="C285" s="2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9">
        <f t="shared" si="7"/>
        <v>0</v>
      </c>
      <c r="W285" s="1"/>
      <c r="X285" s="1"/>
      <c r="Y285" s="1"/>
      <c r="Z285" s="1"/>
      <c r="AA285" s="1"/>
    </row>
    <row r="286">
      <c r="A286" s="2"/>
      <c r="B286" s="2"/>
      <c r="C286" s="2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9">
        <f t="shared" si="7"/>
        <v>0</v>
      </c>
      <c r="W286" s="1"/>
      <c r="X286" s="1"/>
      <c r="Y286" s="1"/>
      <c r="Z286" s="1"/>
      <c r="AA286" s="1"/>
    </row>
    <row r="287">
      <c r="A287" s="2"/>
      <c r="B287" s="2"/>
      <c r="C287" s="2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9">
        <f t="shared" si="7"/>
        <v>0</v>
      </c>
      <c r="W287" s="1"/>
      <c r="X287" s="1"/>
      <c r="Y287" s="1"/>
      <c r="Z287" s="1"/>
      <c r="AA287" s="1"/>
    </row>
    <row r="288">
      <c r="A288" s="2"/>
      <c r="B288" s="2"/>
      <c r="C288" s="2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9">
        <f t="shared" si="7"/>
        <v>0</v>
      </c>
      <c r="W288" s="1"/>
      <c r="X288" s="1"/>
      <c r="Y288" s="1"/>
      <c r="Z288" s="1"/>
      <c r="AA288" s="1"/>
    </row>
    <row r="289">
      <c r="A289" s="2"/>
      <c r="B289" s="2"/>
      <c r="C289" s="2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9">
        <f t="shared" si="7"/>
        <v>0</v>
      </c>
      <c r="W289" s="1"/>
      <c r="X289" s="1"/>
      <c r="Y289" s="1"/>
      <c r="Z289" s="1"/>
      <c r="AA289" s="1"/>
    </row>
    <row r="290">
      <c r="A290" s="2"/>
      <c r="B290" s="2"/>
      <c r="C290" s="2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9">
        <f t="shared" si="7"/>
        <v>0</v>
      </c>
      <c r="W290" s="1"/>
      <c r="X290" s="1"/>
      <c r="Y290" s="1"/>
      <c r="Z290" s="1"/>
      <c r="AA290" s="1"/>
    </row>
    <row r="291">
      <c r="A291" s="2"/>
      <c r="B291" s="2"/>
      <c r="C291" s="2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9">
        <f t="shared" si="7"/>
        <v>0</v>
      </c>
      <c r="W291" s="1"/>
      <c r="X291" s="1"/>
      <c r="Y291" s="1"/>
      <c r="Z291" s="1"/>
      <c r="AA291" s="1"/>
    </row>
    <row r="292">
      <c r="A292" s="2"/>
      <c r="B292" s="2"/>
      <c r="C292" s="2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9">
        <f t="shared" si="7"/>
        <v>0</v>
      </c>
      <c r="W292" s="1"/>
      <c r="X292" s="1"/>
      <c r="Y292" s="1"/>
      <c r="Z292" s="1"/>
      <c r="AA292" s="1"/>
    </row>
    <row r="293">
      <c r="A293" s="2"/>
      <c r="B293" s="2"/>
      <c r="C293" s="2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9">
        <f t="shared" si="7"/>
        <v>0</v>
      </c>
      <c r="W293" s="1"/>
      <c r="X293" s="1"/>
      <c r="Y293" s="1"/>
      <c r="Z293" s="1"/>
      <c r="AA293" s="1"/>
    </row>
    <row r="294">
      <c r="A294" s="2"/>
      <c r="B294" s="2"/>
      <c r="C294" s="2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9">
        <f t="shared" si="7"/>
        <v>0</v>
      </c>
      <c r="W294" s="1"/>
      <c r="X294" s="1"/>
      <c r="Y294" s="1"/>
      <c r="Z294" s="1"/>
      <c r="AA294" s="1"/>
    </row>
    <row r="295">
      <c r="A295" s="2"/>
      <c r="B295" s="2"/>
      <c r="C295" s="2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9">
        <f t="shared" si="7"/>
        <v>0</v>
      </c>
      <c r="W295" s="1"/>
      <c r="X295" s="1"/>
      <c r="Y295" s="1"/>
      <c r="Z295" s="1"/>
      <c r="AA295" s="1"/>
    </row>
    <row r="296">
      <c r="A296" s="2"/>
      <c r="B296" s="2"/>
      <c r="C296" s="2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9">
        <f t="shared" si="7"/>
        <v>0</v>
      </c>
      <c r="W296" s="1"/>
      <c r="X296" s="1"/>
      <c r="Y296" s="1"/>
      <c r="Z296" s="1"/>
      <c r="AA296" s="1"/>
    </row>
    <row r="297">
      <c r="A297" s="2"/>
      <c r="B297" s="2"/>
      <c r="C297" s="2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9">
        <f t="shared" si="7"/>
        <v>0</v>
      </c>
      <c r="W297" s="1"/>
      <c r="X297" s="1"/>
      <c r="Y297" s="1"/>
      <c r="Z297" s="1"/>
      <c r="AA297" s="1"/>
    </row>
    <row r="298">
      <c r="A298" s="2"/>
      <c r="B298" s="2"/>
      <c r="C298" s="2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9">
        <f t="shared" si="7"/>
        <v>0</v>
      </c>
      <c r="W298" s="1"/>
      <c r="X298" s="1"/>
      <c r="Y298" s="1"/>
      <c r="Z298" s="1"/>
      <c r="AA298" s="1"/>
    </row>
    <row r="299">
      <c r="A299" s="2"/>
      <c r="B299" s="2"/>
      <c r="C299" s="2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9">
        <f t="shared" si="7"/>
        <v>0</v>
      </c>
      <c r="W299" s="1"/>
      <c r="X299" s="1"/>
      <c r="Y299" s="1"/>
      <c r="Z299" s="1"/>
      <c r="AA299" s="1"/>
    </row>
    <row r="300">
      <c r="A300" s="2"/>
      <c r="B300" s="2"/>
      <c r="C300" s="2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9">
        <f t="shared" si="7"/>
        <v>0</v>
      </c>
      <c r="W300" s="1"/>
      <c r="X300" s="1"/>
      <c r="Y300" s="1"/>
      <c r="Z300" s="1"/>
      <c r="AA300" s="1"/>
    </row>
    <row r="301">
      <c r="A301" s="2"/>
      <c r="B301" s="2"/>
      <c r="C301" s="2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9">
        <f t="shared" si="7"/>
        <v>0</v>
      </c>
      <c r="W301" s="1"/>
      <c r="X301" s="1"/>
      <c r="Y301" s="1"/>
      <c r="Z301" s="1"/>
      <c r="AA301" s="1"/>
    </row>
    <row r="302">
      <c r="A302" s="2"/>
      <c r="B302" s="2"/>
      <c r="C302" s="2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9">
        <f t="shared" si="7"/>
        <v>0</v>
      </c>
      <c r="W302" s="1"/>
      <c r="X302" s="1"/>
      <c r="Y302" s="1"/>
      <c r="Z302" s="1"/>
      <c r="AA302" s="1"/>
    </row>
    <row r="303">
      <c r="A303" s="2"/>
      <c r="B303" s="2"/>
      <c r="C303" s="2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9">
        <f t="shared" si="7"/>
        <v>0</v>
      </c>
      <c r="W303" s="1"/>
      <c r="X303" s="1"/>
      <c r="Y303" s="1"/>
      <c r="Z303" s="1"/>
      <c r="AA303" s="1"/>
    </row>
    <row r="304">
      <c r="A304" s="2"/>
      <c r="B304" s="2"/>
      <c r="C304" s="2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9">
        <f t="shared" si="7"/>
        <v>0</v>
      </c>
      <c r="W304" s="1"/>
      <c r="X304" s="1"/>
      <c r="Y304" s="1"/>
      <c r="Z304" s="1"/>
      <c r="AA304" s="1"/>
    </row>
    <row r="305">
      <c r="A305" s="2"/>
      <c r="B305" s="2"/>
      <c r="C305" s="2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9">
        <f t="shared" si="7"/>
        <v>0</v>
      </c>
      <c r="W305" s="1"/>
      <c r="X305" s="1"/>
      <c r="Y305" s="1"/>
      <c r="Z305" s="1"/>
      <c r="AA305" s="1"/>
    </row>
    <row r="306">
      <c r="A306" s="2"/>
      <c r="B306" s="2"/>
      <c r="C306" s="2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9">
        <f t="shared" si="7"/>
        <v>0</v>
      </c>
      <c r="W306" s="1"/>
      <c r="X306" s="1"/>
      <c r="Y306" s="1"/>
      <c r="Z306" s="1"/>
      <c r="AA306" s="1"/>
    </row>
    <row r="307">
      <c r="A307" s="2"/>
      <c r="B307" s="2"/>
      <c r="C307" s="2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9">
        <f t="shared" si="7"/>
        <v>0</v>
      </c>
      <c r="W307" s="1"/>
      <c r="X307" s="1"/>
      <c r="Y307" s="1"/>
      <c r="Z307" s="1"/>
      <c r="AA307" s="1"/>
    </row>
    <row r="308">
      <c r="A308" s="2"/>
      <c r="B308" s="2"/>
      <c r="C308" s="2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9">
        <f t="shared" si="7"/>
        <v>0</v>
      </c>
      <c r="W308" s="1"/>
      <c r="X308" s="1"/>
      <c r="Y308" s="1"/>
      <c r="Z308" s="1"/>
      <c r="AA308" s="1"/>
    </row>
    <row r="309">
      <c r="A309" s="2"/>
      <c r="B309" s="2"/>
      <c r="C309" s="2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9">
        <f t="shared" si="7"/>
        <v>0</v>
      </c>
      <c r="W309" s="1"/>
      <c r="X309" s="1"/>
      <c r="Y309" s="1"/>
      <c r="Z309" s="1"/>
      <c r="AA309" s="1"/>
    </row>
    <row r="310">
      <c r="A310" s="2"/>
      <c r="B310" s="2"/>
      <c r="C310" s="2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9">
        <f t="shared" si="7"/>
        <v>0</v>
      </c>
      <c r="W310" s="1"/>
      <c r="X310" s="1"/>
      <c r="Y310" s="1"/>
      <c r="Z310" s="1"/>
      <c r="AA310" s="1"/>
    </row>
    <row r="311">
      <c r="A311" s="2"/>
      <c r="B311" s="2"/>
      <c r="C311" s="2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9">
        <f t="shared" si="7"/>
        <v>0</v>
      </c>
      <c r="W311" s="1"/>
      <c r="X311" s="1"/>
      <c r="Y311" s="1"/>
      <c r="Z311" s="1"/>
      <c r="AA311" s="1"/>
    </row>
    <row r="312">
      <c r="A312" s="2"/>
      <c r="B312" s="2"/>
      <c r="C312" s="2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9">
        <f t="shared" si="7"/>
        <v>0</v>
      </c>
      <c r="W312" s="1"/>
      <c r="X312" s="1"/>
      <c r="Y312" s="1"/>
      <c r="Z312" s="1"/>
      <c r="AA312" s="1"/>
    </row>
    <row r="313">
      <c r="A313" s="2"/>
      <c r="B313" s="2"/>
      <c r="C313" s="2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9">
        <f t="shared" si="7"/>
        <v>0</v>
      </c>
      <c r="W313" s="1"/>
      <c r="X313" s="1"/>
      <c r="Y313" s="1"/>
      <c r="Z313" s="1"/>
      <c r="AA313" s="1"/>
    </row>
    <row r="314">
      <c r="A314" s="2"/>
      <c r="B314" s="2"/>
      <c r="C314" s="2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9">
        <f t="shared" si="7"/>
        <v>0</v>
      </c>
      <c r="W314" s="1"/>
      <c r="X314" s="1"/>
      <c r="Y314" s="1"/>
      <c r="Z314" s="1"/>
      <c r="AA314" s="1"/>
    </row>
    <row r="315">
      <c r="A315" s="2"/>
      <c r="B315" s="2"/>
      <c r="C315" s="2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9">
        <f t="shared" si="7"/>
        <v>0</v>
      </c>
      <c r="W315" s="1"/>
      <c r="X315" s="1"/>
      <c r="Y315" s="1"/>
      <c r="Z315" s="1"/>
      <c r="AA315" s="1"/>
    </row>
    <row r="316">
      <c r="A316" s="2"/>
      <c r="B316" s="2"/>
      <c r="C316" s="2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9">
        <f t="shared" si="7"/>
        <v>0</v>
      </c>
      <c r="W316" s="1"/>
      <c r="X316" s="1"/>
      <c r="Y316" s="1"/>
      <c r="Z316" s="1"/>
      <c r="AA316" s="1"/>
    </row>
    <row r="317">
      <c r="A317" s="2"/>
      <c r="B317" s="2"/>
      <c r="C317" s="2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9">
        <f t="shared" si="7"/>
        <v>0</v>
      </c>
      <c r="W317" s="1"/>
      <c r="X317" s="1"/>
      <c r="Y317" s="1"/>
      <c r="Z317" s="1"/>
      <c r="AA317" s="1"/>
    </row>
    <row r="318">
      <c r="A318" s="2"/>
      <c r="B318" s="2"/>
      <c r="C318" s="2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9">
        <f t="shared" si="7"/>
        <v>0</v>
      </c>
      <c r="W318" s="1"/>
      <c r="X318" s="1"/>
      <c r="Y318" s="1"/>
      <c r="Z318" s="1"/>
      <c r="AA318" s="1"/>
    </row>
    <row r="319">
      <c r="A319" s="2"/>
      <c r="B319" s="2"/>
      <c r="C319" s="2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9">
        <f t="shared" si="7"/>
        <v>0</v>
      </c>
      <c r="W319" s="1"/>
      <c r="X319" s="1"/>
      <c r="Y319" s="1"/>
      <c r="Z319" s="1"/>
      <c r="AA319" s="1"/>
    </row>
    <row r="320">
      <c r="A320" s="2"/>
      <c r="B320" s="2"/>
      <c r="C320" s="2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9">
        <f t="shared" si="7"/>
        <v>0</v>
      </c>
      <c r="W320" s="1"/>
      <c r="X320" s="1"/>
      <c r="Y320" s="1"/>
      <c r="Z320" s="1"/>
      <c r="AA320" s="1"/>
    </row>
    <row r="321">
      <c r="A321" s="2"/>
      <c r="B321" s="2"/>
      <c r="C321" s="2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9">
        <f t="shared" si="7"/>
        <v>0</v>
      </c>
      <c r="W321" s="1"/>
      <c r="X321" s="1"/>
      <c r="Y321" s="1"/>
      <c r="Z321" s="1"/>
      <c r="AA321" s="1"/>
    </row>
    <row r="322">
      <c r="A322" s="2"/>
      <c r="B322" s="2"/>
      <c r="C322" s="2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9">
        <f t="shared" si="7"/>
        <v>0</v>
      </c>
      <c r="W322" s="1"/>
      <c r="X322" s="1"/>
      <c r="Y322" s="1"/>
      <c r="Z322" s="1"/>
      <c r="AA322" s="1"/>
    </row>
    <row r="323">
      <c r="A323" s="2"/>
      <c r="B323" s="2"/>
      <c r="C323" s="2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9">
        <f t="shared" si="7"/>
        <v>0</v>
      </c>
      <c r="W323" s="1"/>
      <c r="X323" s="1"/>
      <c r="Y323" s="1"/>
      <c r="Z323" s="1"/>
      <c r="AA323" s="1"/>
    </row>
    <row r="324">
      <c r="A324" s="2"/>
      <c r="B324" s="2"/>
      <c r="C324" s="2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9">
        <f t="shared" si="7"/>
        <v>0</v>
      </c>
      <c r="W324" s="1"/>
      <c r="X324" s="1"/>
      <c r="Y324" s="1"/>
      <c r="Z324" s="1"/>
      <c r="AA324" s="1"/>
    </row>
    <row r="325">
      <c r="A325" s="2"/>
      <c r="B325" s="2"/>
      <c r="C325" s="2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9">
        <f t="shared" si="7"/>
        <v>0</v>
      </c>
      <c r="W325" s="1"/>
      <c r="X325" s="1"/>
      <c r="Y325" s="1"/>
      <c r="Z325" s="1"/>
      <c r="AA325" s="1"/>
    </row>
    <row r="326">
      <c r="A326" s="2"/>
      <c r="B326" s="2"/>
      <c r="C326" s="2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9">
        <f t="shared" si="7"/>
        <v>0</v>
      </c>
      <c r="W326" s="1"/>
      <c r="X326" s="1"/>
      <c r="Y326" s="1"/>
      <c r="Z326" s="1"/>
      <c r="AA326" s="1"/>
    </row>
    <row r="327">
      <c r="A327" s="2"/>
      <c r="B327" s="2"/>
      <c r="C327" s="2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9">
        <f t="shared" si="7"/>
        <v>0</v>
      </c>
      <c r="W327" s="1"/>
      <c r="X327" s="1"/>
      <c r="Y327" s="1"/>
      <c r="Z327" s="1"/>
      <c r="AA327" s="1"/>
    </row>
    <row r="328">
      <c r="A328" s="2"/>
      <c r="B328" s="2"/>
      <c r="C328" s="2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9">
        <f t="shared" si="7"/>
        <v>0</v>
      </c>
      <c r="W328" s="1"/>
      <c r="X328" s="1"/>
      <c r="Y328" s="1"/>
      <c r="Z328" s="1"/>
      <c r="AA328" s="1"/>
    </row>
    <row r="329">
      <c r="A329" s="2"/>
      <c r="B329" s="2"/>
      <c r="C329" s="2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9">
        <f t="shared" si="7"/>
        <v>0</v>
      </c>
      <c r="W329" s="1"/>
      <c r="X329" s="1"/>
      <c r="Y329" s="1"/>
      <c r="Z329" s="1"/>
      <c r="AA329" s="1"/>
    </row>
    <row r="330">
      <c r="A330" s="2"/>
      <c r="B330" s="2"/>
      <c r="C330" s="2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9">
        <f t="shared" si="7"/>
        <v>0</v>
      </c>
      <c r="W330" s="1"/>
      <c r="X330" s="1"/>
      <c r="Y330" s="1"/>
      <c r="Z330" s="1"/>
      <c r="AA330" s="1"/>
    </row>
    <row r="331">
      <c r="A331" s="2"/>
      <c r="B331" s="2"/>
      <c r="C331" s="2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9">
        <f t="shared" si="7"/>
        <v>0</v>
      </c>
      <c r="W331" s="1"/>
      <c r="X331" s="1"/>
      <c r="Y331" s="1"/>
      <c r="Z331" s="1"/>
      <c r="AA331" s="1"/>
    </row>
    <row r="332">
      <c r="A332" s="2"/>
      <c r="B332" s="2"/>
      <c r="C332" s="2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9">
        <f t="shared" si="7"/>
        <v>0</v>
      </c>
      <c r="W332" s="1"/>
      <c r="X332" s="1"/>
      <c r="Y332" s="1"/>
      <c r="Z332" s="1"/>
      <c r="AA332" s="1"/>
    </row>
    <row r="333">
      <c r="A333" s="2"/>
      <c r="B333" s="2"/>
      <c r="C333" s="2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9">
        <f t="shared" si="7"/>
        <v>0</v>
      </c>
      <c r="W333" s="1"/>
      <c r="X333" s="1"/>
      <c r="Y333" s="1"/>
      <c r="Z333" s="1"/>
      <c r="AA333" s="1"/>
    </row>
    <row r="334">
      <c r="A334" s="2"/>
      <c r="B334" s="2"/>
      <c r="C334" s="2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9">
        <f t="shared" si="7"/>
        <v>0</v>
      </c>
      <c r="W334" s="1"/>
      <c r="X334" s="1"/>
      <c r="Y334" s="1"/>
      <c r="Z334" s="1"/>
      <c r="AA334" s="1"/>
    </row>
    <row r="335">
      <c r="A335" s="2"/>
      <c r="B335" s="2"/>
      <c r="C335" s="2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9">
        <f t="shared" si="7"/>
        <v>0</v>
      </c>
      <c r="W335" s="1"/>
      <c r="X335" s="1"/>
      <c r="Y335" s="1"/>
      <c r="Z335" s="1"/>
      <c r="AA335" s="1"/>
    </row>
    <row r="336">
      <c r="A336" s="2"/>
      <c r="B336" s="2"/>
      <c r="C336" s="2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9">
        <f t="shared" si="7"/>
        <v>0</v>
      </c>
      <c r="W336" s="1"/>
      <c r="X336" s="1"/>
      <c r="Y336" s="1"/>
      <c r="Z336" s="1"/>
      <c r="AA336" s="1"/>
    </row>
    <row r="337">
      <c r="A337" s="2"/>
      <c r="B337" s="2"/>
      <c r="C337" s="2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9">
        <f t="shared" si="7"/>
        <v>0</v>
      </c>
      <c r="W337" s="1"/>
      <c r="X337" s="1"/>
      <c r="Y337" s="1"/>
      <c r="Z337" s="1"/>
      <c r="AA337" s="1"/>
    </row>
    <row r="338">
      <c r="A338" s="2"/>
      <c r="B338" s="2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9">
        <f t="shared" si="7"/>
        <v>0</v>
      </c>
      <c r="W338" s="1"/>
      <c r="X338" s="1"/>
      <c r="Y338" s="1"/>
      <c r="Z338" s="1"/>
      <c r="AA338" s="1"/>
    </row>
    <row r="339">
      <c r="A339" s="2"/>
      <c r="B339" s="2"/>
      <c r="C339" s="2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9">
        <f t="shared" si="7"/>
        <v>0</v>
      </c>
      <c r="W339" s="1"/>
      <c r="X339" s="1"/>
      <c r="Y339" s="1"/>
      <c r="Z339" s="1"/>
      <c r="AA339" s="1"/>
    </row>
    <row r="340">
      <c r="A340" s="2"/>
      <c r="B340" s="2"/>
      <c r="C340" s="2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9">
        <f t="shared" si="7"/>
        <v>0</v>
      </c>
      <c r="W340" s="1"/>
      <c r="X340" s="1"/>
      <c r="Y340" s="1"/>
      <c r="Z340" s="1"/>
      <c r="AA340" s="1"/>
    </row>
    <row r="341">
      <c r="A341" s="2"/>
      <c r="B341" s="2"/>
      <c r="C341" s="2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9">
        <f t="shared" si="7"/>
        <v>0</v>
      </c>
      <c r="W341" s="1"/>
      <c r="X341" s="1"/>
      <c r="Y341" s="1"/>
      <c r="Z341" s="1"/>
      <c r="AA341" s="1"/>
    </row>
    <row r="342">
      <c r="A342" s="2"/>
      <c r="B342" s="2"/>
      <c r="C342" s="2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9">
        <f t="shared" si="7"/>
        <v>0</v>
      </c>
      <c r="W342" s="1"/>
      <c r="X342" s="1"/>
      <c r="Y342" s="1"/>
      <c r="Z342" s="1"/>
      <c r="AA342" s="1"/>
    </row>
    <row r="343">
      <c r="A343" s="2"/>
      <c r="B343" s="2"/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9">
        <f t="shared" si="7"/>
        <v>0</v>
      </c>
      <c r="W343" s="1"/>
      <c r="X343" s="1"/>
      <c r="Y343" s="1"/>
      <c r="Z343" s="1"/>
      <c r="AA343" s="1"/>
    </row>
    <row r="344">
      <c r="A344" s="2"/>
      <c r="B344" s="2"/>
      <c r="C344" s="2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9">
        <f t="shared" si="7"/>
        <v>0</v>
      </c>
      <c r="W344" s="1"/>
      <c r="X344" s="1"/>
      <c r="Y344" s="1"/>
      <c r="Z344" s="1"/>
      <c r="AA344" s="1"/>
    </row>
    <row r="345">
      <c r="A345" s="2"/>
      <c r="B345" s="2"/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9">
        <f t="shared" si="7"/>
        <v>0</v>
      </c>
      <c r="W345" s="1"/>
      <c r="X345" s="1"/>
      <c r="Y345" s="1"/>
      <c r="Z345" s="1"/>
      <c r="AA345" s="1"/>
    </row>
    <row r="346">
      <c r="A346" s="2"/>
      <c r="B346" s="2"/>
      <c r="C346" s="2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9">
        <f t="shared" si="7"/>
        <v>0</v>
      </c>
      <c r="W346" s="1"/>
      <c r="X346" s="1"/>
      <c r="Y346" s="1"/>
      <c r="Z346" s="1"/>
      <c r="AA346" s="1"/>
    </row>
    <row r="347">
      <c r="A347" s="2"/>
      <c r="B347" s="2"/>
      <c r="C347" s="2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9">
        <f t="shared" si="7"/>
        <v>0</v>
      </c>
      <c r="W347" s="1"/>
      <c r="X347" s="1"/>
      <c r="Y347" s="1"/>
      <c r="Z347" s="1"/>
      <c r="AA347" s="1"/>
    </row>
    <row r="348">
      <c r="A348" s="2"/>
      <c r="B348" s="2"/>
      <c r="C348" s="2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9">
        <f t="shared" si="7"/>
        <v>0</v>
      </c>
      <c r="W348" s="1"/>
      <c r="X348" s="1"/>
      <c r="Y348" s="1"/>
      <c r="Z348" s="1"/>
      <c r="AA348" s="1"/>
    </row>
    <row r="349">
      <c r="A349" s="2"/>
      <c r="B349" s="2"/>
      <c r="C349" s="2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9">
        <f t="shared" si="7"/>
        <v>0</v>
      </c>
      <c r="W349" s="1"/>
      <c r="X349" s="1"/>
      <c r="Y349" s="1"/>
      <c r="Z349" s="1"/>
      <c r="AA349" s="1"/>
    </row>
    <row r="350">
      <c r="A350" s="2"/>
      <c r="B350" s="2"/>
      <c r="C350" s="2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9">
        <f t="shared" si="7"/>
        <v>0</v>
      </c>
      <c r="W350" s="1"/>
      <c r="X350" s="1"/>
      <c r="Y350" s="1"/>
      <c r="Z350" s="1"/>
      <c r="AA350" s="1"/>
    </row>
    <row r="351">
      <c r="A351" s="2"/>
      <c r="B351" s="2"/>
      <c r="C351" s="2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9">
        <f t="shared" si="7"/>
        <v>0</v>
      </c>
      <c r="W351" s="1"/>
      <c r="X351" s="1"/>
      <c r="Y351" s="1"/>
      <c r="Z351" s="1"/>
      <c r="AA351" s="1"/>
    </row>
    <row r="352">
      <c r="A352" s="2"/>
      <c r="B352" s="2"/>
      <c r="C352" s="2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9">
        <f t="shared" si="7"/>
        <v>0</v>
      </c>
      <c r="W352" s="1"/>
      <c r="X352" s="1"/>
      <c r="Y352" s="1"/>
      <c r="Z352" s="1"/>
      <c r="AA352" s="1"/>
    </row>
    <row r="353">
      <c r="A353" s="2"/>
      <c r="B353" s="2"/>
      <c r="C353" s="2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9">
        <f t="shared" si="7"/>
        <v>0</v>
      </c>
      <c r="W353" s="1"/>
      <c r="X353" s="1"/>
      <c r="Y353" s="1"/>
      <c r="Z353" s="1"/>
      <c r="AA353" s="1"/>
    </row>
    <row r="354">
      <c r="A354" s="2"/>
      <c r="B354" s="2"/>
      <c r="C354" s="2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9">
        <f t="shared" si="7"/>
        <v>0</v>
      </c>
      <c r="W354" s="1"/>
      <c r="X354" s="1"/>
      <c r="Y354" s="1"/>
      <c r="Z354" s="1"/>
      <c r="AA354" s="1"/>
    </row>
    <row r="355">
      <c r="A355" s="2"/>
      <c r="B355" s="2"/>
      <c r="C355" s="2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9">
        <f t="shared" si="7"/>
        <v>0</v>
      </c>
      <c r="W355" s="1"/>
      <c r="X355" s="1"/>
      <c r="Y355" s="1"/>
      <c r="Z355" s="1"/>
      <c r="AA355" s="1"/>
    </row>
    <row r="356">
      <c r="A356" s="2"/>
      <c r="B356" s="2"/>
      <c r="C356" s="2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9">
        <f t="shared" si="7"/>
        <v>0</v>
      </c>
      <c r="W356" s="1"/>
      <c r="X356" s="1"/>
      <c r="Y356" s="1"/>
      <c r="Z356" s="1"/>
      <c r="AA356" s="1"/>
    </row>
    <row r="357">
      <c r="A357" s="2"/>
      <c r="B357" s="2"/>
      <c r="C357" s="2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9">
        <f t="shared" si="7"/>
        <v>0</v>
      </c>
      <c r="W357" s="1"/>
      <c r="X357" s="1"/>
      <c r="Y357" s="1"/>
      <c r="Z357" s="1"/>
      <c r="AA357" s="1"/>
    </row>
    <row r="358">
      <c r="A358" s="2"/>
      <c r="B358" s="2"/>
      <c r="C358" s="2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9">
        <f t="shared" si="7"/>
        <v>0</v>
      </c>
      <c r="W358" s="1"/>
      <c r="X358" s="1"/>
      <c r="Y358" s="1"/>
      <c r="Z358" s="1"/>
      <c r="AA358" s="1"/>
    </row>
    <row r="359">
      <c r="A359" s="2"/>
      <c r="B359" s="2"/>
      <c r="C359" s="2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9">
        <f t="shared" si="7"/>
        <v>0</v>
      </c>
      <c r="W359" s="1"/>
      <c r="X359" s="1"/>
      <c r="Y359" s="1"/>
      <c r="Z359" s="1"/>
      <c r="AA359" s="1"/>
    </row>
    <row r="360">
      <c r="A360" s="2"/>
      <c r="B360" s="2"/>
      <c r="C360" s="2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9">
        <f t="shared" si="7"/>
        <v>0</v>
      </c>
      <c r="W360" s="1"/>
      <c r="X360" s="1"/>
      <c r="Y360" s="1"/>
      <c r="Z360" s="1"/>
      <c r="AA360" s="1"/>
    </row>
    <row r="361">
      <c r="A361" s="2"/>
      <c r="B361" s="2"/>
      <c r="C361" s="2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9">
        <f t="shared" si="7"/>
        <v>0</v>
      </c>
      <c r="W361" s="1"/>
      <c r="X361" s="1"/>
      <c r="Y361" s="1"/>
      <c r="Z361" s="1"/>
      <c r="AA361" s="1"/>
    </row>
    <row r="362">
      <c r="A362" s="2"/>
      <c r="B362" s="2"/>
      <c r="C362" s="2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9">
        <f t="shared" si="7"/>
        <v>0</v>
      </c>
      <c r="W362" s="1"/>
      <c r="X362" s="1"/>
      <c r="Y362" s="1"/>
      <c r="Z362" s="1"/>
      <c r="AA362" s="1"/>
    </row>
    <row r="363">
      <c r="A363" s="2"/>
      <c r="B363" s="2"/>
      <c r="C363" s="2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9">
        <f t="shared" si="7"/>
        <v>0</v>
      </c>
      <c r="W363" s="1"/>
      <c r="X363" s="1"/>
      <c r="Y363" s="1"/>
      <c r="Z363" s="1"/>
      <c r="AA363" s="1"/>
    </row>
    <row r="364">
      <c r="A364" s="2"/>
      <c r="B364" s="2"/>
      <c r="C364" s="2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9">
        <f t="shared" si="7"/>
        <v>0</v>
      </c>
      <c r="W364" s="1"/>
      <c r="X364" s="1"/>
      <c r="Y364" s="1"/>
      <c r="Z364" s="1"/>
      <c r="AA364" s="1"/>
    </row>
    <row r="365">
      <c r="A365" s="2"/>
      <c r="B365" s="2"/>
      <c r="C365" s="2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9">
        <f t="shared" si="7"/>
        <v>0</v>
      </c>
      <c r="W365" s="1"/>
      <c r="X365" s="1"/>
      <c r="Y365" s="1"/>
      <c r="Z365" s="1"/>
      <c r="AA365" s="1"/>
    </row>
    <row r="366">
      <c r="A366" s="2"/>
      <c r="B366" s="2"/>
      <c r="C366" s="2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9">
        <f t="shared" si="7"/>
        <v>0</v>
      </c>
      <c r="W366" s="1"/>
      <c r="X366" s="1"/>
      <c r="Y366" s="1"/>
      <c r="Z366" s="1"/>
      <c r="AA366" s="1"/>
    </row>
    <row r="367">
      <c r="A367" s="2"/>
      <c r="B367" s="2"/>
      <c r="C367" s="2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9">
        <f t="shared" si="7"/>
        <v>0</v>
      </c>
      <c r="W367" s="1"/>
      <c r="X367" s="1"/>
      <c r="Y367" s="1"/>
      <c r="Z367" s="1"/>
      <c r="AA367" s="1"/>
    </row>
    <row r="368">
      <c r="A368" s="2"/>
      <c r="B368" s="2"/>
      <c r="C368" s="2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9">
        <f t="shared" si="7"/>
        <v>0</v>
      </c>
      <c r="W368" s="1"/>
      <c r="X368" s="1"/>
      <c r="Y368" s="1"/>
      <c r="Z368" s="1"/>
      <c r="AA368" s="1"/>
    </row>
    <row r="369">
      <c r="A369" s="2"/>
      <c r="B369" s="2"/>
      <c r="C369" s="2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9">
        <f t="shared" si="7"/>
        <v>0</v>
      </c>
      <c r="W369" s="1"/>
      <c r="X369" s="1"/>
      <c r="Y369" s="1"/>
      <c r="Z369" s="1"/>
      <c r="AA369" s="1"/>
    </row>
    <row r="370">
      <c r="A370" s="2"/>
      <c r="B370" s="2"/>
      <c r="C370" s="2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9">
        <f t="shared" si="7"/>
        <v>0</v>
      </c>
      <c r="W370" s="1"/>
      <c r="X370" s="1"/>
      <c r="Y370" s="1"/>
      <c r="Z370" s="1"/>
      <c r="AA370" s="1"/>
    </row>
    <row r="371">
      <c r="A371" s="2"/>
      <c r="B371" s="2"/>
      <c r="C371" s="2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9">
        <f t="shared" si="7"/>
        <v>0</v>
      </c>
      <c r="W371" s="1"/>
      <c r="X371" s="1"/>
      <c r="Y371" s="1"/>
      <c r="Z371" s="1"/>
      <c r="AA371" s="1"/>
    </row>
    <row r="372">
      <c r="A372" s="2"/>
      <c r="B372" s="2"/>
      <c r="C372" s="2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9">
        <f t="shared" si="7"/>
        <v>0</v>
      </c>
      <c r="W372" s="1"/>
      <c r="X372" s="1"/>
      <c r="Y372" s="1"/>
      <c r="Z372" s="1"/>
      <c r="AA372" s="1"/>
    </row>
    <row r="373">
      <c r="A373" s="2"/>
      <c r="B373" s="2"/>
      <c r="C373" s="2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9">
        <f t="shared" si="7"/>
        <v>0</v>
      </c>
      <c r="W373" s="1"/>
      <c r="X373" s="1"/>
      <c r="Y373" s="1"/>
      <c r="Z373" s="1"/>
      <c r="AA373" s="1"/>
    </row>
    <row r="374">
      <c r="A374" s="2"/>
      <c r="B374" s="2"/>
      <c r="C374" s="2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9">
        <f t="shared" si="7"/>
        <v>0</v>
      </c>
      <c r="W374" s="1"/>
      <c r="X374" s="1"/>
      <c r="Y374" s="1"/>
      <c r="Z374" s="1"/>
      <c r="AA374" s="1"/>
    </row>
    <row r="375">
      <c r="A375" s="2"/>
      <c r="B375" s="2"/>
      <c r="C375" s="2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9">
        <f t="shared" si="7"/>
        <v>0</v>
      </c>
      <c r="W375" s="1"/>
      <c r="X375" s="1"/>
      <c r="Y375" s="1"/>
      <c r="Z375" s="1"/>
      <c r="AA375" s="1"/>
    </row>
    <row r="376">
      <c r="A376" s="2"/>
      <c r="B376" s="2"/>
      <c r="C376" s="2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9">
        <f t="shared" si="7"/>
        <v>0</v>
      </c>
      <c r="W376" s="1"/>
      <c r="X376" s="1"/>
      <c r="Y376" s="1"/>
      <c r="Z376" s="1"/>
      <c r="AA376" s="1"/>
    </row>
    <row r="377">
      <c r="A377" s="2"/>
      <c r="B377" s="2"/>
      <c r="C377" s="2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9">
        <f t="shared" si="7"/>
        <v>0</v>
      </c>
      <c r="W377" s="1"/>
      <c r="X377" s="1"/>
      <c r="Y377" s="1"/>
      <c r="Z377" s="1"/>
      <c r="AA377" s="1"/>
    </row>
    <row r="378">
      <c r="A378" s="2"/>
      <c r="B378" s="2"/>
      <c r="C378" s="2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9">
        <f t="shared" si="7"/>
        <v>0</v>
      </c>
      <c r="W378" s="1"/>
      <c r="X378" s="1"/>
      <c r="Y378" s="1"/>
      <c r="Z378" s="1"/>
      <c r="AA378" s="1"/>
    </row>
    <row r="379">
      <c r="A379" s="2"/>
      <c r="B379" s="2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9">
        <f t="shared" si="7"/>
        <v>0</v>
      </c>
      <c r="W379" s="1"/>
      <c r="X379" s="1"/>
      <c r="Y379" s="1"/>
      <c r="Z379" s="1"/>
      <c r="AA379" s="1"/>
    </row>
    <row r="380">
      <c r="A380" s="2"/>
      <c r="B380" s="2"/>
      <c r="C380" s="2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9">
        <f t="shared" si="7"/>
        <v>0</v>
      </c>
      <c r="W380" s="1"/>
      <c r="X380" s="1"/>
      <c r="Y380" s="1"/>
      <c r="Z380" s="1"/>
      <c r="AA380" s="1"/>
    </row>
    <row r="381">
      <c r="A381" s="2"/>
      <c r="B381" s="2"/>
      <c r="C381" s="2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9">
        <f t="shared" si="7"/>
        <v>0</v>
      </c>
      <c r="W381" s="1"/>
      <c r="X381" s="1"/>
      <c r="Y381" s="1"/>
      <c r="Z381" s="1"/>
      <c r="AA381" s="1"/>
    </row>
    <row r="382">
      <c r="A382" s="2"/>
      <c r="B382" s="2"/>
      <c r="C382" s="2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9">
        <f t="shared" si="7"/>
        <v>0</v>
      </c>
      <c r="W382" s="1"/>
      <c r="X382" s="1"/>
      <c r="Y382" s="1"/>
      <c r="Z382" s="1"/>
      <c r="AA382" s="1"/>
    </row>
    <row r="383">
      <c r="A383" s="2"/>
      <c r="B383" s="2"/>
      <c r="C383" s="2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9">
        <f t="shared" si="7"/>
        <v>0</v>
      </c>
      <c r="W383" s="1"/>
      <c r="X383" s="1"/>
      <c r="Y383" s="1"/>
      <c r="Z383" s="1"/>
      <c r="AA383" s="1"/>
    </row>
    <row r="384">
      <c r="A384" s="2"/>
      <c r="B384" s="2"/>
      <c r="C384" s="2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9">
        <f t="shared" si="7"/>
        <v>0</v>
      </c>
      <c r="W384" s="1"/>
      <c r="X384" s="1"/>
      <c r="Y384" s="1"/>
      <c r="Z384" s="1"/>
      <c r="AA384" s="1"/>
    </row>
    <row r="385">
      <c r="A385" s="2"/>
      <c r="B385" s="2"/>
      <c r="C385" s="2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9">
        <f t="shared" si="7"/>
        <v>0</v>
      </c>
      <c r="W385" s="1"/>
      <c r="X385" s="1"/>
      <c r="Y385" s="1"/>
      <c r="Z385" s="1"/>
      <c r="AA385" s="1"/>
    </row>
    <row r="386">
      <c r="A386" s="2"/>
      <c r="B386" s="2"/>
      <c r="C386" s="2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9">
        <f t="shared" si="7"/>
        <v>0</v>
      </c>
      <c r="W386" s="1"/>
      <c r="X386" s="1"/>
      <c r="Y386" s="1"/>
      <c r="Z386" s="1"/>
      <c r="AA386" s="1"/>
    </row>
    <row r="387">
      <c r="A387" s="2"/>
      <c r="B387" s="2"/>
      <c r="C387" s="2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9">
        <f t="shared" si="7"/>
        <v>0</v>
      </c>
      <c r="W387" s="1"/>
      <c r="X387" s="1"/>
      <c r="Y387" s="1"/>
      <c r="Z387" s="1"/>
      <c r="AA387" s="1"/>
    </row>
    <row r="388">
      <c r="A388" s="2"/>
      <c r="B388" s="2"/>
      <c r="C388" s="2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9">
        <f t="shared" si="7"/>
        <v>0</v>
      </c>
      <c r="W388" s="1"/>
      <c r="X388" s="1"/>
      <c r="Y388" s="1"/>
      <c r="Z388" s="1"/>
      <c r="AA388" s="1"/>
    </row>
    <row r="389">
      <c r="A389" s="2"/>
      <c r="B389" s="2"/>
      <c r="C389" s="2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9">
        <f t="shared" si="7"/>
        <v>0</v>
      </c>
      <c r="W389" s="1"/>
      <c r="X389" s="1"/>
      <c r="Y389" s="1"/>
      <c r="Z389" s="1"/>
      <c r="AA389" s="1"/>
    </row>
    <row r="390">
      <c r="A390" s="2"/>
      <c r="B390" s="2"/>
      <c r="C390" s="2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9">
        <f t="shared" si="7"/>
        <v>0</v>
      </c>
      <c r="W390" s="1"/>
      <c r="X390" s="1"/>
      <c r="Y390" s="1"/>
      <c r="Z390" s="1"/>
      <c r="AA390" s="1"/>
    </row>
    <row r="391">
      <c r="A391" s="2"/>
      <c r="B391" s="2"/>
      <c r="C391" s="2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9">
        <f t="shared" si="7"/>
        <v>0</v>
      </c>
      <c r="W391" s="1"/>
      <c r="X391" s="1"/>
      <c r="Y391" s="1"/>
      <c r="Z391" s="1"/>
      <c r="AA391" s="1"/>
    </row>
    <row r="392">
      <c r="A392" s="2"/>
      <c r="B392" s="2"/>
      <c r="C392" s="2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9">
        <f t="shared" si="7"/>
        <v>0</v>
      </c>
      <c r="W392" s="1"/>
      <c r="X392" s="1"/>
      <c r="Y392" s="1"/>
      <c r="Z392" s="1"/>
      <c r="AA392" s="1"/>
    </row>
    <row r="393">
      <c r="A393" s="2"/>
      <c r="B393" s="2"/>
      <c r="C393" s="2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9">
        <f t="shared" si="7"/>
        <v>0</v>
      </c>
      <c r="W393" s="1"/>
      <c r="X393" s="1"/>
      <c r="Y393" s="1"/>
      <c r="Z393" s="1"/>
      <c r="AA393" s="1"/>
    </row>
    <row r="394">
      <c r="A394" s="2"/>
      <c r="B394" s="2"/>
      <c r="C394" s="2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9">
        <f t="shared" si="7"/>
        <v>0</v>
      </c>
      <c r="W394" s="1"/>
      <c r="X394" s="1"/>
      <c r="Y394" s="1"/>
      <c r="Z394" s="1"/>
      <c r="AA394" s="1"/>
    </row>
    <row r="395">
      <c r="A395" s="2"/>
      <c r="B395" s="2"/>
      <c r="C395" s="2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9">
        <f t="shared" si="7"/>
        <v>0</v>
      </c>
      <c r="W395" s="1"/>
      <c r="X395" s="1"/>
      <c r="Y395" s="1"/>
      <c r="Z395" s="1"/>
      <c r="AA395" s="1"/>
    </row>
    <row r="396">
      <c r="A396" s="2"/>
      <c r="B396" s="2"/>
      <c r="C396" s="2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9">
        <f t="shared" si="7"/>
        <v>0</v>
      </c>
      <c r="W396" s="1"/>
      <c r="X396" s="1"/>
      <c r="Y396" s="1"/>
      <c r="Z396" s="1"/>
      <c r="AA396" s="1"/>
    </row>
    <row r="397">
      <c r="A397" s="2"/>
      <c r="B397" s="2"/>
      <c r="C397" s="2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9">
        <f t="shared" si="7"/>
        <v>0</v>
      </c>
      <c r="W397" s="1"/>
      <c r="X397" s="1"/>
      <c r="Y397" s="1"/>
      <c r="Z397" s="1"/>
      <c r="AA397" s="1"/>
    </row>
    <row r="398">
      <c r="A398" s="2"/>
      <c r="B398" s="2"/>
      <c r="C398" s="2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9">
        <f t="shared" si="7"/>
        <v>0</v>
      </c>
      <c r="W398" s="1"/>
      <c r="X398" s="1"/>
      <c r="Y398" s="1"/>
      <c r="Z398" s="1"/>
      <c r="AA398" s="1"/>
    </row>
    <row r="399">
      <c r="A399" s="2"/>
      <c r="B399" s="2"/>
      <c r="C399" s="2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9">
        <f t="shared" si="7"/>
        <v>0</v>
      </c>
      <c r="W399" s="1"/>
      <c r="X399" s="1"/>
      <c r="Y399" s="1"/>
      <c r="Z399" s="1"/>
      <c r="AA399" s="1"/>
    </row>
    <row r="400">
      <c r="A400" s="2"/>
      <c r="B400" s="2"/>
      <c r="C400" s="2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9">
        <f t="shared" si="7"/>
        <v>0</v>
      </c>
      <c r="W400" s="1"/>
      <c r="X400" s="1"/>
      <c r="Y400" s="1"/>
      <c r="Z400" s="1"/>
      <c r="AA400" s="1"/>
    </row>
    <row r="401">
      <c r="A401" s="2"/>
      <c r="B401" s="2"/>
      <c r="C401" s="2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9">
        <f t="shared" si="7"/>
        <v>0</v>
      </c>
      <c r="W401" s="1"/>
      <c r="X401" s="1"/>
      <c r="Y401" s="1"/>
      <c r="Z401" s="1"/>
      <c r="AA401" s="1"/>
    </row>
    <row r="402">
      <c r="A402" s="2"/>
      <c r="B402" s="2"/>
      <c r="C402" s="2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9">
        <f t="shared" si="7"/>
        <v>0</v>
      </c>
      <c r="W402" s="1"/>
      <c r="X402" s="1"/>
      <c r="Y402" s="1"/>
      <c r="Z402" s="1"/>
      <c r="AA402" s="1"/>
    </row>
    <row r="403">
      <c r="A403" s="2"/>
      <c r="B403" s="2"/>
      <c r="C403" s="2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9">
        <f t="shared" si="7"/>
        <v>0</v>
      </c>
      <c r="W403" s="1"/>
      <c r="X403" s="1"/>
      <c r="Y403" s="1"/>
      <c r="Z403" s="1"/>
      <c r="AA403" s="1"/>
    </row>
    <row r="404">
      <c r="A404" s="2"/>
      <c r="B404" s="2"/>
      <c r="C404" s="2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9">
        <f t="shared" si="7"/>
        <v>0</v>
      </c>
      <c r="W404" s="1"/>
      <c r="X404" s="1"/>
      <c r="Y404" s="1"/>
      <c r="Z404" s="1"/>
      <c r="AA404" s="1"/>
    </row>
    <row r="405">
      <c r="A405" s="2"/>
      <c r="B405" s="2"/>
      <c r="C405" s="2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9">
        <f t="shared" si="7"/>
        <v>0</v>
      </c>
      <c r="W405" s="1"/>
      <c r="X405" s="1"/>
      <c r="Y405" s="1"/>
      <c r="Z405" s="1"/>
      <c r="AA405" s="1"/>
    </row>
    <row r="406">
      <c r="A406" s="2"/>
      <c r="B406" s="2"/>
      <c r="C406" s="2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9">
        <f t="shared" si="7"/>
        <v>0</v>
      </c>
      <c r="W406" s="1"/>
      <c r="X406" s="1"/>
      <c r="Y406" s="1"/>
      <c r="Z406" s="1"/>
      <c r="AA406" s="1"/>
    </row>
    <row r="407">
      <c r="A407" s="2"/>
      <c r="B407" s="2"/>
      <c r="C407" s="2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9">
        <f t="shared" si="7"/>
        <v>0</v>
      </c>
      <c r="W407" s="1"/>
      <c r="X407" s="1"/>
      <c r="Y407" s="1"/>
      <c r="Z407" s="1"/>
      <c r="AA407" s="1"/>
    </row>
    <row r="408">
      <c r="A408" s="2"/>
      <c r="B408" s="2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9">
        <f t="shared" si="7"/>
        <v>0</v>
      </c>
      <c r="W408" s="1"/>
      <c r="X408" s="1"/>
      <c r="Y408" s="1"/>
      <c r="Z408" s="1"/>
      <c r="AA408" s="1"/>
    </row>
    <row r="409">
      <c r="A409" s="2"/>
      <c r="B409" s="2"/>
      <c r="C409" s="2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9">
        <f t="shared" si="7"/>
        <v>0</v>
      </c>
      <c r="W409" s="1"/>
      <c r="X409" s="1"/>
      <c r="Y409" s="1"/>
      <c r="Z409" s="1"/>
      <c r="AA409" s="1"/>
    </row>
    <row r="410">
      <c r="A410" s="2"/>
      <c r="B410" s="2"/>
      <c r="C410" s="2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9">
        <f t="shared" si="7"/>
        <v>0</v>
      </c>
      <c r="W410" s="1"/>
      <c r="X410" s="1"/>
      <c r="Y410" s="1"/>
      <c r="Z410" s="1"/>
      <c r="AA410" s="1"/>
    </row>
    <row r="411">
      <c r="A411" s="2"/>
      <c r="B411" s="2"/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9">
        <f t="shared" si="7"/>
        <v>0</v>
      </c>
      <c r="W411" s="1"/>
      <c r="X411" s="1"/>
      <c r="Y411" s="1"/>
      <c r="Z411" s="1"/>
      <c r="AA411" s="1"/>
    </row>
    <row r="412">
      <c r="A412" s="2"/>
      <c r="B412" s="2"/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9">
        <f t="shared" si="7"/>
        <v>0</v>
      </c>
      <c r="W412" s="1"/>
      <c r="X412" s="1"/>
      <c r="Y412" s="1"/>
      <c r="Z412" s="1"/>
      <c r="AA412" s="1"/>
    </row>
    <row r="413">
      <c r="A413" s="2"/>
      <c r="B413" s="2"/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9">
        <f t="shared" si="7"/>
        <v>0</v>
      </c>
      <c r="W413" s="1"/>
      <c r="X413" s="1"/>
      <c r="Y413" s="1"/>
      <c r="Z413" s="1"/>
      <c r="AA413" s="1"/>
    </row>
    <row r="414">
      <c r="A414" s="2"/>
      <c r="B414" s="2"/>
      <c r="C414" s="2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9">
        <f t="shared" si="7"/>
        <v>0</v>
      </c>
      <c r="W414" s="1"/>
      <c r="X414" s="1"/>
      <c r="Y414" s="1"/>
      <c r="Z414" s="1"/>
      <c r="AA414" s="1"/>
    </row>
    <row r="415">
      <c r="A415" s="2"/>
      <c r="B415" s="2"/>
      <c r="C415" s="2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9">
        <f t="shared" si="7"/>
        <v>0</v>
      </c>
      <c r="W415" s="1"/>
      <c r="X415" s="1"/>
      <c r="Y415" s="1"/>
      <c r="Z415" s="1"/>
      <c r="AA415" s="1"/>
    </row>
    <row r="416">
      <c r="A416" s="2"/>
      <c r="B416" s="2"/>
      <c r="C416" s="2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9">
        <f t="shared" si="7"/>
        <v>0</v>
      </c>
      <c r="W416" s="1"/>
      <c r="X416" s="1"/>
      <c r="Y416" s="1"/>
      <c r="Z416" s="1"/>
      <c r="AA416" s="1"/>
    </row>
    <row r="417">
      <c r="A417" s="2"/>
      <c r="B417" s="2"/>
      <c r="C417" s="2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9">
        <f t="shared" si="7"/>
        <v>0</v>
      </c>
      <c r="W417" s="1"/>
      <c r="X417" s="1"/>
      <c r="Y417" s="1"/>
      <c r="Z417" s="1"/>
      <c r="AA417" s="1"/>
    </row>
    <row r="418">
      <c r="A418" s="2"/>
      <c r="B418" s="2"/>
      <c r="C418" s="2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9">
        <f t="shared" si="7"/>
        <v>0</v>
      </c>
      <c r="W418" s="1"/>
      <c r="X418" s="1"/>
      <c r="Y418" s="1"/>
      <c r="Z418" s="1"/>
      <c r="AA418" s="1"/>
    </row>
    <row r="419">
      <c r="A419" s="2"/>
      <c r="B419" s="2"/>
      <c r="C419" s="2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9">
        <f t="shared" si="7"/>
        <v>0</v>
      </c>
      <c r="W419" s="1"/>
      <c r="X419" s="1"/>
      <c r="Y419" s="1"/>
      <c r="Z419" s="1"/>
      <c r="AA419" s="1"/>
    </row>
    <row r="420">
      <c r="A420" s="2"/>
      <c r="B420" s="2"/>
      <c r="C420" s="2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9">
        <f t="shared" si="7"/>
        <v>0</v>
      </c>
      <c r="W420" s="1"/>
      <c r="X420" s="1"/>
      <c r="Y420" s="1"/>
      <c r="Z420" s="1"/>
      <c r="AA420" s="1"/>
    </row>
    <row r="421">
      <c r="A421" s="2"/>
      <c r="B421" s="2"/>
      <c r="C421" s="2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9">
        <f t="shared" si="7"/>
        <v>0</v>
      </c>
      <c r="W421" s="1"/>
      <c r="X421" s="1"/>
      <c r="Y421" s="1"/>
      <c r="Z421" s="1"/>
      <c r="AA421" s="1"/>
    </row>
    <row r="422">
      <c r="A422" s="2"/>
      <c r="B422" s="2"/>
      <c r="C422" s="2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9">
        <f t="shared" si="7"/>
        <v>0</v>
      </c>
      <c r="W422" s="1"/>
      <c r="X422" s="1"/>
      <c r="Y422" s="1"/>
      <c r="Z422" s="1"/>
      <c r="AA422" s="1"/>
    </row>
    <row r="423">
      <c r="A423" s="2"/>
      <c r="B423" s="2"/>
      <c r="C423" s="2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9">
        <f t="shared" si="7"/>
        <v>0</v>
      </c>
      <c r="W423" s="1"/>
      <c r="X423" s="1"/>
      <c r="Y423" s="1"/>
      <c r="Z423" s="1"/>
      <c r="AA423" s="1"/>
    </row>
    <row r="424">
      <c r="A424" s="2"/>
      <c r="B424" s="2"/>
      <c r="C424" s="2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9">
        <f t="shared" si="7"/>
        <v>0</v>
      </c>
      <c r="W424" s="1"/>
      <c r="X424" s="1"/>
      <c r="Y424" s="1"/>
      <c r="Z424" s="1"/>
      <c r="AA424" s="1"/>
    </row>
    <row r="425">
      <c r="A425" s="2"/>
      <c r="B425" s="2"/>
      <c r="C425" s="2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9">
        <f t="shared" si="7"/>
        <v>0</v>
      </c>
      <c r="W425" s="1"/>
      <c r="X425" s="1"/>
      <c r="Y425" s="1"/>
      <c r="Z425" s="1"/>
      <c r="AA425" s="1"/>
    </row>
    <row r="426">
      <c r="A426" s="2"/>
      <c r="B426" s="2"/>
      <c r="C426" s="2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9">
        <f t="shared" si="7"/>
        <v>0</v>
      </c>
      <c r="W426" s="1"/>
      <c r="X426" s="1"/>
      <c r="Y426" s="1"/>
      <c r="Z426" s="1"/>
      <c r="AA426" s="1"/>
    </row>
    <row r="427">
      <c r="A427" s="2"/>
      <c r="B427" s="2"/>
      <c r="C427" s="2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9">
        <f t="shared" si="7"/>
        <v>0</v>
      </c>
      <c r="W427" s="1"/>
      <c r="X427" s="1"/>
      <c r="Y427" s="1"/>
      <c r="Z427" s="1"/>
      <c r="AA427" s="1"/>
    </row>
    <row r="428">
      <c r="A428" s="2"/>
      <c r="B428" s="2"/>
      <c r="C428" s="2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9">
        <f t="shared" si="7"/>
        <v>0</v>
      </c>
      <c r="W428" s="1"/>
      <c r="X428" s="1"/>
      <c r="Y428" s="1"/>
      <c r="Z428" s="1"/>
      <c r="AA428" s="1"/>
    </row>
    <row r="429">
      <c r="A429" s="2"/>
      <c r="B429" s="2"/>
      <c r="C429" s="2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9">
        <f t="shared" si="7"/>
        <v>0</v>
      </c>
      <c r="W429" s="1"/>
      <c r="X429" s="1"/>
      <c r="Y429" s="1"/>
      <c r="Z429" s="1"/>
      <c r="AA429" s="1"/>
    </row>
    <row r="430">
      <c r="A430" s="2"/>
      <c r="B430" s="2"/>
      <c r="C430" s="2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9">
        <f t="shared" si="7"/>
        <v>0</v>
      </c>
      <c r="W430" s="1"/>
      <c r="X430" s="1"/>
      <c r="Y430" s="1"/>
      <c r="Z430" s="1"/>
      <c r="AA430" s="1"/>
    </row>
    <row r="431">
      <c r="A431" s="2"/>
      <c r="B431" s="2"/>
      <c r="C431" s="2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9">
        <f t="shared" si="7"/>
        <v>0</v>
      </c>
      <c r="W431" s="1"/>
      <c r="X431" s="1"/>
      <c r="Y431" s="1"/>
      <c r="Z431" s="1"/>
      <c r="AA431" s="1"/>
    </row>
    <row r="432">
      <c r="A432" s="2"/>
      <c r="B432" s="2"/>
      <c r="C432" s="2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9">
        <f t="shared" si="7"/>
        <v>0</v>
      </c>
      <c r="W432" s="1"/>
      <c r="X432" s="1"/>
      <c r="Y432" s="1"/>
      <c r="Z432" s="1"/>
      <c r="AA432" s="1"/>
    </row>
    <row r="433">
      <c r="A433" s="2"/>
      <c r="B433" s="2"/>
      <c r="C433" s="2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9">
        <f t="shared" si="7"/>
        <v>0</v>
      </c>
      <c r="W433" s="1"/>
      <c r="X433" s="1"/>
      <c r="Y433" s="1"/>
      <c r="Z433" s="1"/>
      <c r="AA433" s="1"/>
    </row>
    <row r="434">
      <c r="A434" s="2"/>
      <c r="B434" s="2"/>
      <c r="C434" s="2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9">
        <f t="shared" si="7"/>
        <v>0</v>
      </c>
      <c r="W434" s="1"/>
      <c r="X434" s="1"/>
      <c r="Y434" s="1"/>
      <c r="Z434" s="1"/>
      <c r="AA434" s="1"/>
    </row>
    <row r="435">
      <c r="A435" s="2"/>
      <c r="B435" s="2"/>
      <c r="C435" s="2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9">
        <f t="shared" si="7"/>
        <v>0</v>
      </c>
      <c r="W435" s="1"/>
      <c r="X435" s="1"/>
      <c r="Y435" s="1"/>
      <c r="Z435" s="1"/>
      <c r="AA435" s="1"/>
    </row>
    <row r="436">
      <c r="A436" s="2"/>
      <c r="B436" s="2"/>
      <c r="C436" s="2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9">
        <f t="shared" si="7"/>
        <v>0</v>
      </c>
      <c r="W436" s="1"/>
      <c r="X436" s="1"/>
      <c r="Y436" s="1"/>
      <c r="Z436" s="1"/>
      <c r="AA436" s="1"/>
    </row>
    <row r="437">
      <c r="A437" s="2"/>
      <c r="B437" s="2"/>
      <c r="C437" s="2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9">
        <f t="shared" si="7"/>
        <v>0</v>
      </c>
      <c r="W437" s="1"/>
      <c r="X437" s="1"/>
      <c r="Y437" s="1"/>
      <c r="Z437" s="1"/>
      <c r="AA437" s="1"/>
    </row>
    <row r="438">
      <c r="A438" s="2"/>
      <c r="B438" s="2"/>
      <c r="C438" s="2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9">
        <f t="shared" si="7"/>
        <v>0</v>
      </c>
      <c r="W438" s="1"/>
      <c r="X438" s="1"/>
      <c r="Y438" s="1"/>
      <c r="Z438" s="1"/>
      <c r="AA438" s="1"/>
    </row>
    <row r="439">
      <c r="A439" s="2"/>
      <c r="B439" s="2"/>
      <c r="C439" s="2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9">
        <f t="shared" si="7"/>
        <v>0</v>
      </c>
      <c r="W439" s="1"/>
      <c r="X439" s="1"/>
      <c r="Y439" s="1"/>
      <c r="Z439" s="1"/>
      <c r="AA439" s="1"/>
    </row>
    <row r="440">
      <c r="A440" s="2"/>
      <c r="B440" s="2"/>
      <c r="C440" s="2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9">
        <f t="shared" si="7"/>
        <v>0</v>
      </c>
      <c r="W440" s="1"/>
      <c r="X440" s="1"/>
      <c r="Y440" s="1"/>
      <c r="Z440" s="1"/>
      <c r="AA440" s="1"/>
    </row>
    <row r="441">
      <c r="A441" s="2"/>
      <c r="B441" s="2"/>
      <c r="C441" s="2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9">
        <f t="shared" si="7"/>
        <v>0</v>
      </c>
      <c r="W441" s="1"/>
      <c r="X441" s="1"/>
      <c r="Y441" s="1"/>
      <c r="Z441" s="1"/>
      <c r="AA441" s="1"/>
    </row>
    <row r="442">
      <c r="A442" s="2"/>
      <c r="B442" s="2"/>
      <c r="C442" s="2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9">
        <f t="shared" si="7"/>
        <v>0</v>
      </c>
      <c r="W442" s="1"/>
      <c r="X442" s="1"/>
      <c r="Y442" s="1"/>
      <c r="Z442" s="1"/>
      <c r="AA442" s="1"/>
    </row>
    <row r="443">
      <c r="A443" s="2"/>
      <c r="B443" s="2"/>
      <c r="C443" s="2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9">
        <f t="shared" si="7"/>
        <v>0</v>
      </c>
      <c r="W443" s="1"/>
      <c r="X443" s="1"/>
      <c r="Y443" s="1"/>
      <c r="Z443" s="1"/>
      <c r="AA443" s="1"/>
    </row>
    <row r="444">
      <c r="A444" s="2"/>
      <c r="B444" s="2"/>
      <c r="C444" s="2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9">
        <f t="shared" si="7"/>
        <v>0</v>
      </c>
      <c r="W444" s="1"/>
      <c r="X444" s="1"/>
      <c r="Y444" s="1"/>
      <c r="Z444" s="1"/>
      <c r="AA444" s="1"/>
    </row>
    <row r="445">
      <c r="A445" s="2"/>
      <c r="B445" s="2"/>
      <c r="C445" s="2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9">
        <f t="shared" si="7"/>
        <v>0</v>
      </c>
      <c r="W445" s="1"/>
      <c r="X445" s="1"/>
      <c r="Y445" s="1"/>
      <c r="Z445" s="1"/>
      <c r="AA445" s="1"/>
    </row>
    <row r="446">
      <c r="A446" s="2"/>
      <c r="B446" s="2"/>
      <c r="C446" s="2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9">
        <f t="shared" si="7"/>
        <v>0</v>
      </c>
      <c r="W446" s="1"/>
      <c r="X446" s="1"/>
      <c r="Y446" s="1"/>
      <c r="Z446" s="1"/>
      <c r="AA446" s="1"/>
    </row>
    <row r="447">
      <c r="A447" s="2"/>
      <c r="B447" s="2"/>
      <c r="C447" s="2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9">
        <f t="shared" si="7"/>
        <v>0</v>
      </c>
      <c r="W447" s="1"/>
      <c r="X447" s="1"/>
      <c r="Y447" s="1"/>
      <c r="Z447" s="1"/>
      <c r="AA447" s="1"/>
    </row>
    <row r="448">
      <c r="A448" s="2"/>
      <c r="B448" s="2"/>
      <c r="C448" s="2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9">
        <f t="shared" si="7"/>
        <v>0</v>
      </c>
      <c r="W448" s="1"/>
      <c r="X448" s="1"/>
      <c r="Y448" s="1"/>
      <c r="Z448" s="1"/>
      <c r="AA448" s="1"/>
    </row>
    <row r="449">
      <c r="A449" s="2"/>
      <c r="B449" s="2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9">
        <f t="shared" si="7"/>
        <v>0</v>
      </c>
      <c r="W449" s="1"/>
      <c r="X449" s="1"/>
      <c r="Y449" s="1"/>
      <c r="Z449" s="1"/>
      <c r="AA449" s="1"/>
    </row>
    <row r="450">
      <c r="A450" s="2"/>
      <c r="B450" s="2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9">
        <f t="shared" si="7"/>
        <v>0</v>
      </c>
      <c r="W450" s="1"/>
      <c r="X450" s="1"/>
      <c r="Y450" s="1"/>
      <c r="Z450" s="1"/>
      <c r="AA450" s="1"/>
    </row>
    <row r="451">
      <c r="A451" s="2"/>
      <c r="B451" s="2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9">
        <f t="shared" si="7"/>
        <v>0</v>
      </c>
      <c r="W451" s="1"/>
      <c r="X451" s="1"/>
      <c r="Y451" s="1"/>
      <c r="Z451" s="1"/>
      <c r="AA451" s="1"/>
    </row>
    <row r="452">
      <c r="A452" s="2"/>
      <c r="B452" s="2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9">
        <f t="shared" si="7"/>
        <v>0</v>
      </c>
      <c r="W452" s="1"/>
      <c r="X452" s="1"/>
      <c r="Y452" s="1"/>
      <c r="Z452" s="1"/>
      <c r="AA452" s="1"/>
    </row>
    <row r="453">
      <c r="A453" s="2"/>
      <c r="B453" s="2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9">
        <f t="shared" si="7"/>
        <v>0</v>
      </c>
      <c r="W453" s="1"/>
      <c r="X453" s="1"/>
      <c r="Y453" s="1"/>
      <c r="Z453" s="1"/>
      <c r="AA453" s="1"/>
    </row>
    <row r="454">
      <c r="A454" s="2"/>
      <c r="B454" s="2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9">
        <f t="shared" si="7"/>
        <v>0</v>
      </c>
      <c r="W454" s="1"/>
      <c r="X454" s="1"/>
      <c r="Y454" s="1"/>
      <c r="Z454" s="1"/>
      <c r="AA454" s="1"/>
    </row>
    <row r="455">
      <c r="A455" s="2"/>
      <c r="B455" s="2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9">
        <f t="shared" si="7"/>
        <v>0</v>
      </c>
      <c r="W455" s="1"/>
      <c r="X455" s="1"/>
      <c r="Y455" s="1"/>
      <c r="Z455" s="1"/>
      <c r="AA455" s="1"/>
    </row>
    <row r="456">
      <c r="A456" s="2"/>
      <c r="B456" s="2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9">
        <f t="shared" si="7"/>
        <v>0</v>
      </c>
      <c r="W456" s="1"/>
      <c r="X456" s="1"/>
      <c r="Y456" s="1"/>
      <c r="Z456" s="1"/>
      <c r="AA456" s="1"/>
    </row>
    <row r="457">
      <c r="A457" s="2"/>
      <c r="B457" s="2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9">
        <f t="shared" si="7"/>
        <v>0</v>
      </c>
      <c r="W457" s="1"/>
      <c r="X457" s="1"/>
      <c r="Y457" s="1"/>
      <c r="Z457" s="1"/>
      <c r="AA457" s="1"/>
    </row>
    <row r="458">
      <c r="A458" s="2"/>
      <c r="B458" s="2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9">
        <f t="shared" si="7"/>
        <v>0</v>
      </c>
      <c r="W458" s="1"/>
      <c r="X458" s="1"/>
      <c r="Y458" s="1"/>
      <c r="Z458" s="1"/>
      <c r="AA458" s="1"/>
    </row>
    <row r="459">
      <c r="A459" s="2"/>
      <c r="B459" s="2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9">
        <f t="shared" si="7"/>
        <v>0</v>
      </c>
      <c r="W459" s="1"/>
      <c r="X459" s="1"/>
      <c r="Y459" s="1"/>
      <c r="Z459" s="1"/>
      <c r="AA459" s="1"/>
    </row>
    <row r="460">
      <c r="A460" s="2"/>
      <c r="B460" s="2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9">
        <f t="shared" si="7"/>
        <v>0</v>
      </c>
      <c r="W460" s="1"/>
      <c r="X460" s="1"/>
      <c r="Y460" s="1"/>
      <c r="Z460" s="1"/>
      <c r="AA460" s="1"/>
    </row>
    <row r="461">
      <c r="A461" s="2"/>
      <c r="B461" s="2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9">
        <f t="shared" si="7"/>
        <v>0</v>
      </c>
      <c r="W461" s="1"/>
      <c r="X461" s="1"/>
      <c r="Y461" s="1"/>
      <c r="Z461" s="1"/>
      <c r="AA461" s="1"/>
    </row>
    <row r="462">
      <c r="A462" s="2"/>
      <c r="B462" s="2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9">
        <f t="shared" si="7"/>
        <v>0</v>
      </c>
      <c r="W462" s="1"/>
      <c r="X462" s="1"/>
      <c r="Y462" s="1"/>
      <c r="Z462" s="1"/>
      <c r="AA462" s="1"/>
    </row>
    <row r="463">
      <c r="A463" s="2"/>
      <c r="B463" s="2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9">
        <f t="shared" si="7"/>
        <v>0</v>
      </c>
      <c r="W463" s="1"/>
      <c r="X463" s="1"/>
      <c r="Y463" s="1"/>
      <c r="Z463" s="1"/>
      <c r="AA463" s="1"/>
    </row>
    <row r="464">
      <c r="A464" s="2"/>
      <c r="B464" s="2"/>
      <c r="C464" s="2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9">
        <f t="shared" si="7"/>
        <v>0</v>
      </c>
      <c r="W464" s="1"/>
      <c r="X464" s="1"/>
      <c r="Y464" s="1"/>
      <c r="Z464" s="1"/>
      <c r="AA464" s="1"/>
    </row>
    <row r="465">
      <c r="A465" s="2"/>
      <c r="B465" s="2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9">
        <f t="shared" si="7"/>
        <v>0</v>
      </c>
      <c r="W465" s="1"/>
      <c r="X465" s="1"/>
      <c r="Y465" s="1"/>
      <c r="Z465" s="1"/>
      <c r="AA465" s="1"/>
    </row>
    <row r="466">
      <c r="A466" s="2"/>
      <c r="B466" s="2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9">
        <f t="shared" si="7"/>
        <v>0</v>
      </c>
      <c r="W466" s="1"/>
      <c r="X466" s="1"/>
      <c r="Y466" s="1"/>
      <c r="Z466" s="1"/>
      <c r="AA466" s="1"/>
    </row>
    <row r="467">
      <c r="A467" s="2"/>
      <c r="B467" s="2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9">
        <f t="shared" si="7"/>
        <v>0</v>
      </c>
      <c r="W467" s="1"/>
      <c r="X467" s="1"/>
      <c r="Y467" s="1"/>
      <c r="Z467" s="1"/>
      <c r="AA467" s="1"/>
    </row>
    <row r="468">
      <c r="A468" s="2"/>
      <c r="B468" s="2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9">
        <f t="shared" si="7"/>
        <v>0</v>
      </c>
      <c r="W468" s="1"/>
      <c r="X468" s="1"/>
      <c r="Y468" s="1"/>
      <c r="Z468" s="1"/>
      <c r="AA468" s="1"/>
    </row>
    <row r="469">
      <c r="A469" s="2"/>
      <c r="B469" s="2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9">
        <f t="shared" si="7"/>
        <v>0</v>
      </c>
      <c r="W469" s="1"/>
      <c r="X469" s="1"/>
      <c r="Y469" s="1"/>
      <c r="Z469" s="1"/>
      <c r="AA469" s="1"/>
    </row>
    <row r="470">
      <c r="A470" s="2"/>
      <c r="B470" s="2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9">
        <f t="shared" si="7"/>
        <v>0</v>
      </c>
      <c r="W470" s="1"/>
      <c r="X470" s="1"/>
      <c r="Y470" s="1"/>
      <c r="Z470" s="1"/>
      <c r="AA470" s="1"/>
    </row>
    <row r="471">
      <c r="A471" s="2"/>
      <c r="B471" s="2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9">
        <f t="shared" si="7"/>
        <v>0</v>
      </c>
      <c r="W471" s="1"/>
      <c r="X471" s="1"/>
      <c r="Y471" s="1"/>
      <c r="Z471" s="1"/>
      <c r="AA471" s="1"/>
    </row>
    <row r="472">
      <c r="A472" s="2"/>
      <c r="B472" s="2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9">
        <f t="shared" si="7"/>
        <v>0</v>
      </c>
      <c r="W472" s="1"/>
      <c r="X472" s="1"/>
      <c r="Y472" s="1"/>
      <c r="Z472" s="1"/>
      <c r="AA472" s="1"/>
    </row>
    <row r="473">
      <c r="A473" s="2"/>
      <c r="B473" s="2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9">
        <f t="shared" si="7"/>
        <v>0</v>
      </c>
      <c r="W473" s="1"/>
      <c r="X473" s="1"/>
      <c r="Y473" s="1"/>
      <c r="Z473" s="1"/>
      <c r="AA473" s="1"/>
    </row>
    <row r="474">
      <c r="A474" s="2"/>
      <c r="B474" s="2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9">
        <f t="shared" si="7"/>
        <v>0</v>
      </c>
      <c r="W474" s="1"/>
      <c r="X474" s="1"/>
      <c r="Y474" s="1"/>
      <c r="Z474" s="1"/>
      <c r="AA474" s="1"/>
    </row>
    <row r="475">
      <c r="A475" s="2"/>
      <c r="B475" s="2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9">
        <f t="shared" si="7"/>
        <v>0</v>
      </c>
      <c r="W475" s="1"/>
      <c r="X475" s="1"/>
      <c r="Y475" s="1"/>
      <c r="Z475" s="1"/>
      <c r="AA475" s="1"/>
    </row>
    <row r="476">
      <c r="A476" s="2"/>
      <c r="B476" s="2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9">
        <f t="shared" si="7"/>
        <v>0</v>
      </c>
      <c r="W476" s="1"/>
      <c r="X476" s="1"/>
      <c r="Y476" s="1"/>
      <c r="Z476" s="1"/>
      <c r="AA476" s="1"/>
    </row>
    <row r="477">
      <c r="A477" s="2"/>
      <c r="B477" s="2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9">
        <f t="shared" si="7"/>
        <v>0</v>
      </c>
      <c r="W477" s="1"/>
      <c r="X477" s="1"/>
      <c r="Y477" s="1"/>
      <c r="Z477" s="1"/>
      <c r="AA477" s="1"/>
    </row>
    <row r="478">
      <c r="A478" s="2"/>
      <c r="B478" s="2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9">
        <f t="shared" si="7"/>
        <v>0</v>
      </c>
      <c r="W478" s="1"/>
      <c r="X478" s="1"/>
      <c r="Y478" s="1"/>
      <c r="Z478" s="1"/>
      <c r="AA478" s="1"/>
    </row>
    <row r="479">
      <c r="A479" s="2"/>
      <c r="B479" s="2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9">
        <f t="shared" si="7"/>
        <v>0</v>
      </c>
      <c r="W479" s="1"/>
      <c r="X479" s="1"/>
      <c r="Y479" s="1"/>
      <c r="Z479" s="1"/>
      <c r="AA479" s="1"/>
    </row>
    <row r="480">
      <c r="A480" s="2"/>
      <c r="B480" s="2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9">
        <f t="shared" si="7"/>
        <v>0</v>
      </c>
      <c r="W480" s="1"/>
      <c r="X480" s="1"/>
      <c r="Y480" s="1"/>
      <c r="Z480" s="1"/>
      <c r="AA480" s="1"/>
    </row>
    <row r="481">
      <c r="A481" s="2"/>
      <c r="B481" s="2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9">
        <f t="shared" si="7"/>
        <v>0</v>
      </c>
      <c r="W481" s="1"/>
      <c r="X481" s="1"/>
      <c r="Y481" s="1"/>
      <c r="Z481" s="1"/>
      <c r="AA481" s="1"/>
    </row>
    <row r="482">
      <c r="A482" s="2"/>
      <c r="B482" s="2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9">
        <f t="shared" si="7"/>
        <v>0</v>
      </c>
      <c r="W482" s="1"/>
      <c r="X482" s="1"/>
      <c r="Y482" s="1"/>
      <c r="Z482" s="1"/>
      <c r="AA482" s="1"/>
    </row>
    <row r="483">
      <c r="A483" s="2"/>
      <c r="B483" s="2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9">
        <f t="shared" si="7"/>
        <v>0</v>
      </c>
      <c r="W483" s="1"/>
      <c r="X483" s="1"/>
      <c r="Y483" s="1"/>
      <c r="Z483" s="1"/>
      <c r="AA483" s="1"/>
    </row>
    <row r="484">
      <c r="A484" s="2"/>
      <c r="B484" s="2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9">
        <f t="shared" si="7"/>
        <v>0</v>
      </c>
      <c r="W484" s="1"/>
      <c r="X484" s="1"/>
      <c r="Y484" s="1"/>
      <c r="Z484" s="1"/>
      <c r="AA484" s="1"/>
    </row>
    <row r="485">
      <c r="A485" s="2"/>
      <c r="B485" s="2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9">
        <f t="shared" si="7"/>
        <v>0</v>
      </c>
      <c r="W485" s="1"/>
      <c r="X485" s="1"/>
      <c r="Y485" s="1"/>
      <c r="Z485" s="1"/>
      <c r="AA485" s="1"/>
    </row>
    <row r="486">
      <c r="A486" s="2"/>
      <c r="B486" s="2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9">
        <f t="shared" si="7"/>
        <v>0</v>
      </c>
      <c r="W486" s="1"/>
      <c r="X486" s="1"/>
      <c r="Y486" s="1"/>
      <c r="Z486" s="1"/>
      <c r="AA486" s="1"/>
    </row>
    <row r="487">
      <c r="A487" s="2"/>
      <c r="B487" s="2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9">
        <f t="shared" si="7"/>
        <v>0</v>
      </c>
      <c r="W487" s="1"/>
      <c r="X487" s="1"/>
      <c r="Y487" s="1"/>
      <c r="Z487" s="1"/>
      <c r="AA487" s="1"/>
    </row>
    <row r="488">
      <c r="A488" s="2"/>
      <c r="B488" s="2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9">
        <f t="shared" si="7"/>
        <v>0</v>
      </c>
      <c r="W488" s="1"/>
      <c r="X488" s="1"/>
      <c r="Y488" s="1"/>
      <c r="Z488" s="1"/>
      <c r="AA488" s="1"/>
    </row>
    <row r="489">
      <c r="A489" s="2"/>
      <c r="B489" s="2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9">
        <f t="shared" si="7"/>
        <v>0</v>
      </c>
      <c r="W489" s="1"/>
      <c r="X489" s="1"/>
      <c r="Y489" s="1"/>
      <c r="Z489" s="1"/>
      <c r="AA489" s="1"/>
    </row>
    <row r="490">
      <c r="A490" s="2"/>
      <c r="B490" s="2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9">
        <f t="shared" si="7"/>
        <v>0</v>
      </c>
      <c r="W490" s="1"/>
      <c r="X490" s="1"/>
      <c r="Y490" s="1"/>
      <c r="Z490" s="1"/>
      <c r="AA490" s="1"/>
    </row>
    <row r="491">
      <c r="A491" s="2"/>
      <c r="B491" s="2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9">
        <f t="shared" si="7"/>
        <v>0</v>
      </c>
      <c r="W491" s="1"/>
      <c r="X491" s="1"/>
      <c r="Y491" s="1"/>
      <c r="Z491" s="1"/>
      <c r="AA491" s="1"/>
    </row>
    <row r="492">
      <c r="A492" s="2"/>
      <c r="B492" s="2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9">
        <f t="shared" si="7"/>
        <v>0</v>
      </c>
      <c r="W492" s="1"/>
      <c r="X492" s="1"/>
      <c r="Y492" s="1"/>
      <c r="Z492" s="1"/>
      <c r="AA492" s="1"/>
    </row>
    <row r="493">
      <c r="A493" s="2"/>
      <c r="B493" s="2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9">
        <f t="shared" si="7"/>
        <v>0</v>
      </c>
      <c r="W493" s="1"/>
      <c r="X493" s="1"/>
      <c r="Y493" s="1"/>
      <c r="Z493" s="1"/>
      <c r="AA493" s="1"/>
    </row>
    <row r="494">
      <c r="A494" s="2"/>
      <c r="B494" s="2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9">
        <f t="shared" si="7"/>
        <v>0</v>
      </c>
      <c r="W494" s="1"/>
      <c r="X494" s="1"/>
      <c r="Y494" s="1"/>
      <c r="Z494" s="1"/>
      <c r="AA494" s="1"/>
    </row>
    <row r="495">
      <c r="A495" s="2"/>
      <c r="B495" s="2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9">
        <f t="shared" si="7"/>
        <v>0</v>
      </c>
      <c r="W495" s="1"/>
      <c r="X495" s="1"/>
      <c r="Y495" s="1"/>
      <c r="Z495" s="1"/>
      <c r="AA495" s="1"/>
    </row>
    <row r="496">
      <c r="A496" s="2"/>
      <c r="B496" s="2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9">
        <f t="shared" si="7"/>
        <v>0</v>
      </c>
      <c r="W496" s="1"/>
      <c r="X496" s="1"/>
      <c r="Y496" s="1"/>
      <c r="Z496" s="1"/>
      <c r="AA496" s="1"/>
    </row>
    <row r="497">
      <c r="A497" s="2"/>
      <c r="B497" s="2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9">
        <f t="shared" si="7"/>
        <v>0</v>
      </c>
      <c r="W497" s="1"/>
      <c r="X497" s="1"/>
      <c r="Y497" s="1"/>
      <c r="Z497" s="1"/>
      <c r="AA497" s="1"/>
    </row>
    <row r="498">
      <c r="A498" s="2"/>
      <c r="B498" s="2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9">
        <f t="shared" si="7"/>
        <v>0</v>
      </c>
      <c r="W498" s="1"/>
      <c r="X498" s="1"/>
      <c r="Y498" s="1"/>
      <c r="Z498" s="1"/>
      <c r="AA498" s="1"/>
    </row>
    <row r="499">
      <c r="A499" s="2"/>
      <c r="B499" s="2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9">
        <f t="shared" si="7"/>
        <v>0</v>
      </c>
      <c r="W499" s="1"/>
      <c r="X499" s="1"/>
      <c r="Y499" s="1"/>
      <c r="Z499" s="1"/>
      <c r="AA499" s="1"/>
    </row>
    <row r="500">
      <c r="A500" s="2"/>
      <c r="B500" s="2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9">
        <f t="shared" si="7"/>
        <v>0</v>
      </c>
      <c r="W500" s="1"/>
      <c r="X500" s="1"/>
      <c r="Y500" s="1"/>
      <c r="Z500" s="1"/>
      <c r="AA500" s="1"/>
    </row>
    <row r="501">
      <c r="A501" s="2"/>
      <c r="B501" s="2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9">
        <f t="shared" si="7"/>
        <v>0</v>
      </c>
      <c r="W501" s="1"/>
      <c r="X501" s="1"/>
      <c r="Y501" s="1"/>
      <c r="Z501" s="1"/>
      <c r="AA501" s="1"/>
    </row>
    <row r="502">
      <c r="A502" s="2"/>
      <c r="B502" s="2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9">
        <f t="shared" si="7"/>
        <v>0</v>
      </c>
      <c r="W502" s="1"/>
      <c r="X502" s="1"/>
      <c r="Y502" s="1"/>
      <c r="Z502" s="1"/>
      <c r="AA502" s="1"/>
    </row>
    <row r="503">
      <c r="A503" s="2"/>
      <c r="B503" s="2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9">
        <f t="shared" si="7"/>
        <v>0</v>
      </c>
      <c r="W503" s="1"/>
      <c r="X503" s="1"/>
      <c r="Y503" s="1"/>
      <c r="Z503" s="1"/>
      <c r="AA503" s="1"/>
    </row>
    <row r="504">
      <c r="A504" s="2"/>
      <c r="B504" s="2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9">
        <f t="shared" si="7"/>
        <v>0</v>
      </c>
      <c r="W504" s="1"/>
      <c r="X504" s="1"/>
      <c r="Y504" s="1"/>
      <c r="Z504" s="1"/>
      <c r="AA504" s="1"/>
    </row>
    <row r="505">
      <c r="A505" s="2"/>
      <c r="B505" s="2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9">
        <f t="shared" si="7"/>
        <v>0</v>
      </c>
      <c r="W505" s="1"/>
      <c r="X505" s="1"/>
      <c r="Y505" s="1"/>
      <c r="Z505" s="1"/>
      <c r="AA505" s="1"/>
    </row>
    <row r="506">
      <c r="A506" s="2"/>
      <c r="B506" s="2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9">
        <f t="shared" si="7"/>
        <v>0</v>
      </c>
      <c r="W506" s="1"/>
      <c r="X506" s="1"/>
      <c r="Y506" s="1"/>
      <c r="Z506" s="1"/>
      <c r="AA506" s="1"/>
    </row>
    <row r="507">
      <c r="A507" s="2"/>
      <c r="B507" s="2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9">
        <f t="shared" si="7"/>
        <v>0</v>
      </c>
      <c r="W507" s="1"/>
      <c r="X507" s="1"/>
      <c r="Y507" s="1"/>
      <c r="Z507" s="1"/>
      <c r="AA507" s="1"/>
    </row>
    <row r="508">
      <c r="A508" s="2"/>
      <c r="B508" s="2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9">
        <f t="shared" si="7"/>
        <v>0</v>
      </c>
      <c r="W508" s="1"/>
      <c r="X508" s="1"/>
      <c r="Y508" s="1"/>
      <c r="Z508" s="1"/>
      <c r="AA508" s="1"/>
    </row>
    <row r="509">
      <c r="A509" s="2"/>
      <c r="B509" s="2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9">
        <f t="shared" si="7"/>
        <v>0</v>
      </c>
      <c r="W509" s="1"/>
      <c r="X509" s="1"/>
      <c r="Y509" s="1"/>
      <c r="Z509" s="1"/>
      <c r="AA509" s="1"/>
    </row>
    <row r="510">
      <c r="A510" s="2"/>
      <c r="B510" s="2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9">
        <f t="shared" si="7"/>
        <v>0</v>
      </c>
      <c r="W510" s="1"/>
      <c r="X510" s="1"/>
      <c r="Y510" s="1"/>
      <c r="Z510" s="1"/>
      <c r="AA510" s="1"/>
    </row>
    <row r="511">
      <c r="A511" s="2"/>
      <c r="B511" s="2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9">
        <f t="shared" si="7"/>
        <v>0</v>
      </c>
      <c r="W511" s="1"/>
      <c r="X511" s="1"/>
      <c r="Y511" s="1"/>
      <c r="Z511" s="1"/>
      <c r="AA511" s="1"/>
    </row>
    <row r="512">
      <c r="A512" s="2"/>
      <c r="B512" s="2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9">
        <f t="shared" si="7"/>
        <v>0</v>
      </c>
      <c r="W512" s="1"/>
      <c r="X512" s="1"/>
      <c r="Y512" s="1"/>
      <c r="Z512" s="1"/>
      <c r="AA512" s="1"/>
    </row>
    <row r="513">
      <c r="A513" s="2"/>
      <c r="B513" s="2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9">
        <f t="shared" si="7"/>
        <v>0</v>
      </c>
      <c r="W513" s="1"/>
      <c r="X513" s="1"/>
      <c r="Y513" s="1"/>
      <c r="Z513" s="1"/>
      <c r="AA513" s="1"/>
    </row>
    <row r="514">
      <c r="A514" s="2"/>
      <c r="B514" s="2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9">
        <f t="shared" si="7"/>
        <v>0</v>
      </c>
      <c r="W514" s="1"/>
      <c r="X514" s="1"/>
      <c r="Y514" s="1"/>
      <c r="Z514" s="1"/>
      <c r="AA514" s="1"/>
    </row>
    <row r="515">
      <c r="A515" s="2"/>
      <c r="B515" s="2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9">
        <f t="shared" si="7"/>
        <v>0</v>
      </c>
      <c r="W515" s="1"/>
      <c r="X515" s="1"/>
      <c r="Y515" s="1"/>
      <c r="Z515" s="1"/>
      <c r="AA515" s="1"/>
    </row>
    <row r="516">
      <c r="A516" s="2"/>
      <c r="B516" s="2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9">
        <f t="shared" si="7"/>
        <v>0</v>
      </c>
      <c r="W516" s="1"/>
      <c r="X516" s="1"/>
      <c r="Y516" s="1"/>
      <c r="Z516" s="1"/>
      <c r="AA516" s="1"/>
    </row>
    <row r="517">
      <c r="A517" s="2"/>
      <c r="B517" s="2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9">
        <f t="shared" si="7"/>
        <v>0</v>
      </c>
      <c r="W517" s="1"/>
      <c r="X517" s="1"/>
      <c r="Y517" s="1"/>
      <c r="Z517" s="1"/>
      <c r="AA517" s="1"/>
    </row>
    <row r="518">
      <c r="A518" s="2"/>
      <c r="B518" s="2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9">
        <f t="shared" si="7"/>
        <v>0</v>
      </c>
      <c r="W518" s="1"/>
      <c r="X518" s="1"/>
      <c r="Y518" s="1"/>
      <c r="Z518" s="1"/>
      <c r="AA518" s="1"/>
    </row>
    <row r="519">
      <c r="A519" s="2"/>
      <c r="B519" s="2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9">
        <f t="shared" si="7"/>
        <v>0</v>
      </c>
      <c r="W519" s="1"/>
      <c r="X519" s="1"/>
      <c r="Y519" s="1"/>
      <c r="Z519" s="1"/>
      <c r="AA519" s="1"/>
    </row>
    <row r="520">
      <c r="A520" s="2"/>
      <c r="B520" s="2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9">
        <f t="shared" si="7"/>
        <v>0</v>
      </c>
      <c r="W520" s="1"/>
      <c r="X520" s="1"/>
      <c r="Y520" s="1"/>
      <c r="Z520" s="1"/>
      <c r="AA520" s="1"/>
    </row>
    <row r="521">
      <c r="A521" s="2"/>
      <c r="B521" s="2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9">
        <f t="shared" si="7"/>
        <v>0</v>
      </c>
      <c r="W521" s="1"/>
      <c r="X521" s="1"/>
      <c r="Y521" s="1"/>
      <c r="Z521" s="1"/>
      <c r="AA521" s="1"/>
    </row>
    <row r="522">
      <c r="A522" s="2"/>
      <c r="B522" s="2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9">
        <f t="shared" si="7"/>
        <v>0</v>
      </c>
      <c r="W522" s="1"/>
      <c r="X522" s="1"/>
      <c r="Y522" s="1"/>
      <c r="Z522" s="1"/>
      <c r="AA522" s="1"/>
    </row>
    <row r="523">
      <c r="A523" s="2"/>
      <c r="B523" s="2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9">
        <f t="shared" si="7"/>
        <v>0</v>
      </c>
      <c r="W523" s="1"/>
      <c r="X523" s="1"/>
      <c r="Y523" s="1"/>
      <c r="Z523" s="1"/>
      <c r="AA523" s="1"/>
    </row>
    <row r="524">
      <c r="A524" s="2"/>
      <c r="B524" s="2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9">
        <f t="shared" si="7"/>
        <v>0</v>
      </c>
      <c r="W524" s="1"/>
      <c r="X524" s="1"/>
      <c r="Y524" s="1"/>
      <c r="Z524" s="1"/>
      <c r="AA524" s="1"/>
    </row>
    <row r="525">
      <c r="A525" s="2"/>
      <c r="B525" s="2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9">
        <f t="shared" si="7"/>
        <v>0</v>
      </c>
      <c r="W525" s="1"/>
      <c r="X525" s="1"/>
      <c r="Y525" s="1"/>
      <c r="Z525" s="1"/>
      <c r="AA525" s="1"/>
    </row>
    <row r="526">
      <c r="A526" s="2"/>
      <c r="B526" s="2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9">
        <f t="shared" si="7"/>
        <v>0</v>
      </c>
      <c r="W526" s="1"/>
      <c r="X526" s="1"/>
      <c r="Y526" s="1"/>
      <c r="Z526" s="1"/>
      <c r="AA526" s="1"/>
    </row>
    <row r="527">
      <c r="A527" s="2"/>
      <c r="B527" s="2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9">
        <f t="shared" si="7"/>
        <v>0</v>
      </c>
      <c r="W527" s="1"/>
      <c r="X527" s="1"/>
      <c r="Y527" s="1"/>
      <c r="Z527" s="1"/>
      <c r="AA527" s="1"/>
    </row>
    <row r="528">
      <c r="A528" s="2"/>
      <c r="B528" s="2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9">
        <f t="shared" si="7"/>
        <v>0</v>
      </c>
      <c r="W528" s="1"/>
      <c r="X528" s="1"/>
      <c r="Y528" s="1"/>
      <c r="Z528" s="1"/>
      <c r="AA528" s="1"/>
    </row>
    <row r="529">
      <c r="A529" s="2"/>
      <c r="B529" s="2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9">
        <f t="shared" si="7"/>
        <v>0</v>
      </c>
      <c r="W529" s="1"/>
      <c r="X529" s="1"/>
      <c r="Y529" s="1"/>
      <c r="Z529" s="1"/>
      <c r="AA529" s="1"/>
    </row>
    <row r="530">
      <c r="A530" s="2"/>
      <c r="B530" s="2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si="7"/>
        <v>0</v>
      </c>
      <c r="W530" s="1"/>
      <c r="X530" s="1"/>
      <c r="Y530" s="1"/>
      <c r="Z530" s="1"/>
      <c r="AA530" s="1"/>
    </row>
    <row r="531">
      <c r="A531" s="2"/>
      <c r="B531" s="2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9">
        <f t="shared" si="7"/>
        <v>0</v>
      </c>
      <c r="W531" s="1"/>
      <c r="X531" s="1"/>
      <c r="Y531" s="1"/>
      <c r="Z531" s="1"/>
      <c r="AA531" s="1"/>
    </row>
    <row r="532">
      <c r="A532" s="2"/>
      <c r="B532" s="2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9">
        <f t="shared" si="7"/>
        <v>0</v>
      </c>
      <c r="W532" s="1"/>
      <c r="X532" s="1"/>
      <c r="Y532" s="1"/>
      <c r="Z532" s="1"/>
      <c r="AA532" s="1"/>
    </row>
    <row r="533">
      <c r="A533" s="2"/>
      <c r="B533" s="2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9">
        <f t="shared" si="7"/>
        <v>0</v>
      </c>
      <c r="W533" s="1"/>
      <c r="X533" s="1"/>
      <c r="Y533" s="1"/>
      <c r="Z533" s="1"/>
      <c r="AA533" s="1"/>
    </row>
    <row r="534">
      <c r="A534" s="2"/>
      <c r="B534" s="2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9">
        <f t="shared" si="7"/>
        <v>0</v>
      </c>
      <c r="W534" s="1"/>
      <c r="X534" s="1"/>
      <c r="Y534" s="1"/>
      <c r="Z534" s="1"/>
      <c r="AA534" s="1"/>
    </row>
    <row r="535">
      <c r="A535" s="2"/>
      <c r="B535" s="2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9">
        <f t="shared" si="7"/>
        <v>0</v>
      </c>
      <c r="W535" s="1"/>
      <c r="X535" s="1"/>
      <c r="Y535" s="1"/>
      <c r="Z535" s="1"/>
      <c r="AA535" s="1"/>
    </row>
    <row r="536">
      <c r="A536" s="2"/>
      <c r="B536" s="2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9">
        <f t="shared" si="7"/>
        <v>0</v>
      </c>
      <c r="W536" s="1"/>
      <c r="X536" s="1"/>
      <c r="Y536" s="1"/>
      <c r="Z536" s="1"/>
      <c r="AA536" s="1"/>
    </row>
    <row r="537">
      <c r="A537" s="2"/>
      <c r="B537" s="2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9">
        <f t="shared" si="7"/>
        <v>0</v>
      </c>
      <c r="W537" s="1"/>
      <c r="X537" s="1"/>
      <c r="Y537" s="1"/>
      <c r="Z537" s="1"/>
      <c r="AA537" s="1"/>
    </row>
    <row r="538">
      <c r="A538" s="2"/>
      <c r="B538" s="2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9">
        <f t="shared" si="7"/>
        <v>0</v>
      </c>
      <c r="W538" s="1"/>
      <c r="X538" s="1"/>
      <c r="Y538" s="1"/>
      <c r="Z538" s="1"/>
      <c r="AA538" s="1"/>
    </row>
    <row r="539">
      <c r="A539" s="2"/>
      <c r="B539" s="2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9">
        <f t="shared" si="7"/>
        <v>0</v>
      </c>
      <c r="W539" s="1"/>
      <c r="X539" s="1"/>
      <c r="Y539" s="1"/>
      <c r="Z539" s="1"/>
      <c r="AA539" s="1"/>
    </row>
    <row r="540">
      <c r="A540" s="2"/>
      <c r="B540" s="2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9">
        <f t="shared" si="7"/>
        <v>0</v>
      </c>
      <c r="W540" s="1"/>
      <c r="X540" s="1"/>
      <c r="Y540" s="1"/>
      <c r="Z540" s="1"/>
      <c r="AA540" s="1"/>
    </row>
    <row r="541">
      <c r="A541" s="2"/>
      <c r="B541" s="2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9">
        <f t="shared" si="7"/>
        <v>0</v>
      </c>
      <c r="W541" s="1"/>
      <c r="X541" s="1"/>
      <c r="Y541" s="1"/>
      <c r="Z541" s="1"/>
      <c r="AA541" s="1"/>
    </row>
    <row r="542">
      <c r="A542" s="2"/>
      <c r="B542" s="2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9">
        <f t="shared" si="7"/>
        <v>0</v>
      </c>
      <c r="W542" s="1"/>
      <c r="X542" s="1"/>
      <c r="Y542" s="1"/>
      <c r="Z542" s="1"/>
      <c r="AA542" s="1"/>
    </row>
    <row r="543">
      <c r="A543" s="2"/>
      <c r="B543" s="2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9">
        <f t="shared" si="7"/>
        <v>0</v>
      </c>
      <c r="W543" s="1"/>
      <c r="X543" s="1"/>
      <c r="Y543" s="1"/>
      <c r="Z543" s="1"/>
      <c r="AA543" s="1"/>
    </row>
    <row r="544">
      <c r="A544" s="2"/>
      <c r="B544" s="2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9">
        <f t="shared" si="7"/>
        <v>0</v>
      </c>
      <c r="W544" s="1"/>
      <c r="X544" s="1"/>
      <c r="Y544" s="1"/>
      <c r="Z544" s="1"/>
      <c r="AA544" s="1"/>
    </row>
    <row r="545">
      <c r="A545" s="2"/>
      <c r="B545" s="2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9">
        <f t="shared" si="7"/>
        <v>0</v>
      </c>
      <c r="W545" s="1"/>
      <c r="X545" s="1"/>
      <c r="Y545" s="1"/>
      <c r="Z545" s="1"/>
      <c r="AA545" s="1"/>
    </row>
    <row r="546">
      <c r="A546" s="2"/>
      <c r="B546" s="2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9">
        <f t="shared" si="7"/>
        <v>0</v>
      </c>
      <c r="W546" s="1"/>
      <c r="X546" s="1"/>
      <c r="Y546" s="1"/>
      <c r="Z546" s="1"/>
      <c r="AA546" s="1"/>
    </row>
    <row r="547">
      <c r="A547" s="2"/>
      <c r="B547" s="2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9">
        <f t="shared" si="7"/>
        <v>0</v>
      </c>
      <c r="W547" s="1"/>
      <c r="X547" s="1"/>
      <c r="Y547" s="1"/>
      <c r="Z547" s="1"/>
      <c r="AA547" s="1"/>
    </row>
    <row r="548">
      <c r="A548" s="2"/>
      <c r="B548" s="2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9">
        <f t="shared" si="7"/>
        <v>0</v>
      </c>
      <c r="W548" s="1"/>
      <c r="X548" s="1"/>
      <c r="Y548" s="1"/>
      <c r="Z548" s="1"/>
      <c r="AA548" s="1"/>
    </row>
    <row r="549">
      <c r="A549" s="2"/>
      <c r="B549" s="2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9">
        <f t="shared" si="7"/>
        <v>0</v>
      </c>
      <c r="W549" s="1"/>
      <c r="X549" s="1"/>
      <c r="Y549" s="1"/>
      <c r="Z549" s="1"/>
      <c r="AA549" s="1"/>
    </row>
    <row r="550">
      <c r="A550" s="2"/>
      <c r="B550" s="2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9">
        <f t="shared" si="7"/>
        <v>0</v>
      </c>
      <c r="W550" s="1"/>
      <c r="X550" s="1"/>
      <c r="Y550" s="1"/>
      <c r="Z550" s="1"/>
      <c r="AA550" s="1"/>
    </row>
    <row r="551">
      <c r="A551" s="2"/>
      <c r="B551" s="2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9">
        <f t="shared" si="7"/>
        <v>0</v>
      </c>
      <c r="W551" s="1"/>
      <c r="X551" s="1"/>
      <c r="Y551" s="1"/>
      <c r="Z551" s="1"/>
      <c r="AA551" s="1"/>
    </row>
    <row r="552">
      <c r="A552" s="2"/>
      <c r="B552" s="2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9">
        <f t="shared" si="7"/>
        <v>0</v>
      </c>
      <c r="W552" s="1"/>
      <c r="X552" s="1"/>
      <c r="Y552" s="1"/>
      <c r="Z552" s="1"/>
      <c r="AA552" s="1"/>
    </row>
    <row r="553">
      <c r="A553" s="2"/>
      <c r="B553" s="2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9">
        <f t="shared" si="7"/>
        <v>0</v>
      </c>
      <c r="W553" s="1"/>
      <c r="X553" s="1"/>
      <c r="Y553" s="1"/>
      <c r="Z553" s="1"/>
      <c r="AA553" s="1"/>
    </row>
    <row r="554">
      <c r="A554" s="2"/>
      <c r="B554" s="2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9">
        <f t="shared" si="7"/>
        <v>0</v>
      </c>
      <c r="W554" s="1"/>
      <c r="X554" s="1"/>
      <c r="Y554" s="1"/>
      <c r="Z554" s="1"/>
      <c r="AA554" s="1"/>
    </row>
    <row r="555">
      <c r="A555" s="2"/>
      <c r="B555" s="2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9">
        <f t="shared" si="7"/>
        <v>0</v>
      </c>
      <c r="W555" s="1"/>
      <c r="X555" s="1"/>
      <c r="Y555" s="1"/>
      <c r="Z555" s="1"/>
      <c r="AA555" s="1"/>
    </row>
    <row r="556">
      <c r="A556" s="2"/>
      <c r="B556" s="2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9">
        <f t="shared" si="7"/>
        <v>0</v>
      </c>
      <c r="W556" s="1"/>
      <c r="X556" s="1"/>
      <c r="Y556" s="1"/>
      <c r="Z556" s="1"/>
      <c r="AA556" s="1"/>
    </row>
    <row r="557">
      <c r="A557" s="2"/>
      <c r="B557" s="2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9">
        <f t="shared" si="7"/>
        <v>0</v>
      </c>
      <c r="W557" s="1"/>
      <c r="X557" s="1"/>
      <c r="Y557" s="1"/>
      <c r="Z557" s="1"/>
      <c r="AA557" s="1"/>
    </row>
    <row r="558">
      <c r="A558" s="2"/>
      <c r="B558" s="2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9">
        <f t="shared" si="7"/>
        <v>0</v>
      </c>
      <c r="W558" s="1"/>
      <c r="X558" s="1"/>
      <c r="Y558" s="1"/>
      <c r="Z558" s="1"/>
      <c r="AA558" s="1"/>
    </row>
    <row r="559">
      <c r="A559" s="2"/>
      <c r="B559" s="2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9">
        <f t="shared" si="7"/>
        <v>0</v>
      </c>
      <c r="W559" s="1"/>
      <c r="X559" s="1"/>
      <c r="Y559" s="1"/>
      <c r="Z559" s="1"/>
      <c r="AA559" s="1"/>
    </row>
    <row r="560">
      <c r="A560" s="2"/>
      <c r="B560" s="2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9">
        <f t="shared" si="7"/>
        <v>0</v>
      </c>
      <c r="W560" s="1"/>
      <c r="X560" s="1"/>
      <c r="Y560" s="1"/>
      <c r="Z560" s="1"/>
      <c r="AA560" s="1"/>
    </row>
    <row r="561">
      <c r="A561" s="2"/>
      <c r="B561" s="2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9">
        <f t="shared" si="7"/>
        <v>0</v>
      </c>
      <c r="W561" s="1"/>
      <c r="X561" s="1"/>
      <c r="Y561" s="1"/>
      <c r="Z561" s="1"/>
      <c r="AA561" s="1"/>
    </row>
    <row r="562">
      <c r="A562" s="2"/>
      <c r="B562" s="2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9">
        <f t="shared" si="7"/>
        <v>0</v>
      </c>
      <c r="W562" s="1"/>
      <c r="X562" s="1"/>
      <c r="Y562" s="1"/>
      <c r="Z562" s="1"/>
      <c r="AA562" s="1"/>
    </row>
    <row r="563">
      <c r="A563" s="2"/>
      <c r="B563" s="2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9">
        <f t="shared" si="7"/>
        <v>0</v>
      </c>
      <c r="W563" s="1"/>
      <c r="X563" s="1"/>
      <c r="Y563" s="1"/>
      <c r="Z563" s="1"/>
      <c r="AA563" s="1"/>
    </row>
    <row r="564">
      <c r="A564" s="2"/>
      <c r="B564" s="2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9">
        <f t="shared" si="7"/>
        <v>0</v>
      </c>
      <c r="W564" s="1"/>
      <c r="X564" s="1"/>
      <c r="Y564" s="1"/>
      <c r="Z564" s="1"/>
      <c r="AA564" s="1"/>
    </row>
    <row r="565">
      <c r="A565" s="2"/>
      <c r="B565" s="2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9">
        <f t="shared" si="7"/>
        <v>0</v>
      </c>
      <c r="W565" s="1"/>
      <c r="X565" s="1"/>
      <c r="Y565" s="1"/>
      <c r="Z565" s="1"/>
      <c r="AA565" s="1"/>
    </row>
    <row r="566">
      <c r="A566" s="2"/>
      <c r="B566" s="2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9">
        <f t="shared" si="7"/>
        <v>0</v>
      </c>
      <c r="W566" s="1"/>
      <c r="X566" s="1"/>
      <c r="Y566" s="1"/>
      <c r="Z566" s="1"/>
      <c r="AA566" s="1"/>
    </row>
    <row r="567">
      <c r="A567" s="2"/>
      <c r="B567" s="2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9">
        <f t="shared" si="7"/>
        <v>0</v>
      </c>
      <c r="W567" s="1"/>
      <c r="X567" s="1"/>
      <c r="Y567" s="1"/>
      <c r="Z567" s="1"/>
      <c r="AA567" s="1"/>
    </row>
    <row r="568">
      <c r="A568" s="2"/>
      <c r="B568" s="2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9">
        <f t="shared" si="7"/>
        <v>0</v>
      </c>
      <c r="W568" s="1"/>
      <c r="X568" s="1"/>
      <c r="Y568" s="1"/>
      <c r="Z568" s="1"/>
      <c r="AA568" s="1"/>
    </row>
    <row r="569">
      <c r="A569" s="2"/>
      <c r="B569" s="2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9">
        <f t="shared" si="7"/>
        <v>0</v>
      </c>
      <c r="W569" s="1"/>
      <c r="X569" s="1"/>
      <c r="Y569" s="1"/>
      <c r="Z569" s="1"/>
      <c r="AA569" s="1"/>
    </row>
    <row r="570">
      <c r="A570" s="2"/>
      <c r="B570" s="2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9">
        <f t="shared" si="7"/>
        <v>0</v>
      </c>
      <c r="W570" s="1"/>
      <c r="X570" s="1"/>
      <c r="Y570" s="1"/>
      <c r="Z570" s="1"/>
      <c r="AA570" s="1"/>
    </row>
    <row r="571">
      <c r="A571" s="2"/>
      <c r="B571" s="2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9">
        <f t="shared" si="7"/>
        <v>0</v>
      </c>
      <c r="W571" s="1"/>
      <c r="X571" s="1"/>
      <c r="Y571" s="1"/>
      <c r="Z571" s="1"/>
      <c r="AA571" s="1"/>
    </row>
    <row r="572">
      <c r="A572" s="2"/>
      <c r="B572" s="2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9">
        <f t="shared" si="7"/>
        <v>0</v>
      </c>
      <c r="W572" s="1"/>
      <c r="X572" s="1"/>
      <c r="Y572" s="1"/>
      <c r="Z572" s="1"/>
      <c r="AA572" s="1"/>
    </row>
    <row r="573">
      <c r="A573" s="2"/>
      <c r="B573" s="2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9">
        <f t="shared" si="7"/>
        <v>0</v>
      </c>
      <c r="W573" s="1"/>
      <c r="X573" s="1"/>
      <c r="Y573" s="1"/>
      <c r="Z573" s="1"/>
      <c r="AA573" s="1"/>
    </row>
    <row r="574">
      <c r="A574" s="2"/>
      <c r="B574" s="2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9">
        <f t="shared" si="7"/>
        <v>0</v>
      </c>
      <c r="W574" s="1"/>
      <c r="X574" s="1"/>
      <c r="Y574" s="1"/>
      <c r="Z574" s="1"/>
      <c r="AA574" s="1"/>
    </row>
    <row r="575">
      <c r="A575" s="2"/>
      <c r="B575" s="2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9">
        <f t="shared" si="7"/>
        <v>0</v>
      </c>
      <c r="W575" s="1"/>
      <c r="X575" s="1"/>
      <c r="Y575" s="1"/>
      <c r="Z575" s="1"/>
      <c r="AA575" s="1"/>
    </row>
    <row r="576">
      <c r="A576" s="2"/>
      <c r="B576" s="2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9">
        <f t="shared" si="7"/>
        <v>0</v>
      </c>
      <c r="W576" s="1"/>
      <c r="X576" s="1"/>
      <c r="Y576" s="1"/>
      <c r="Z576" s="1"/>
      <c r="AA576" s="1"/>
    </row>
    <row r="577">
      <c r="A577" s="2"/>
      <c r="B577" s="2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9">
        <f t="shared" si="7"/>
        <v>0</v>
      </c>
      <c r="W577" s="1"/>
      <c r="X577" s="1"/>
      <c r="Y577" s="1"/>
      <c r="Z577" s="1"/>
      <c r="AA577" s="1"/>
    </row>
    <row r="578">
      <c r="A578" s="2"/>
      <c r="B578" s="2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9">
        <f t="shared" si="7"/>
        <v>0</v>
      </c>
      <c r="W578" s="1"/>
      <c r="X578" s="1"/>
      <c r="Y578" s="1"/>
      <c r="Z578" s="1"/>
      <c r="AA578" s="1"/>
    </row>
    <row r="579">
      <c r="A579" s="2"/>
      <c r="B579" s="2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9">
        <f t="shared" si="7"/>
        <v>0</v>
      </c>
      <c r="W579" s="1"/>
      <c r="X579" s="1"/>
      <c r="Y579" s="1"/>
      <c r="Z579" s="1"/>
      <c r="AA579" s="1"/>
    </row>
    <row r="580">
      <c r="A580" s="2"/>
      <c r="B580" s="2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9">
        <f t="shared" si="7"/>
        <v>0</v>
      </c>
      <c r="W580" s="1"/>
      <c r="X580" s="1"/>
      <c r="Y580" s="1"/>
      <c r="Z580" s="1"/>
      <c r="AA580" s="1"/>
    </row>
    <row r="581">
      <c r="A581" s="2"/>
      <c r="B581" s="2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9">
        <f t="shared" si="7"/>
        <v>0</v>
      </c>
      <c r="W581" s="1"/>
      <c r="X581" s="1"/>
      <c r="Y581" s="1"/>
      <c r="Z581" s="1"/>
      <c r="AA581" s="1"/>
    </row>
    <row r="582">
      <c r="A582" s="2"/>
      <c r="B582" s="2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9">
        <f t="shared" si="7"/>
        <v>0</v>
      </c>
      <c r="W582" s="1"/>
      <c r="X582" s="1"/>
      <c r="Y582" s="1"/>
      <c r="Z582" s="1"/>
      <c r="AA582" s="1"/>
    </row>
    <row r="583">
      <c r="A583" s="2"/>
      <c r="B583" s="2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9">
        <f t="shared" si="7"/>
        <v>0</v>
      </c>
      <c r="W583" s="1"/>
      <c r="X583" s="1"/>
      <c r="Y583" s="1"/>
      <c r="Z583" s="1"/>
      <c r="AA583" s="1"/>
    </row>
    <row r="584">
      <c r="A584" s="2"/>
      <c r="B584" s="2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9">
        <f t="shared" si="7"/>
        <v>0</v>
      </c>
      <c r="W584" s="1"/>
      <c r="X584" s="1"/>
      <c r="Y584" s="1"/>
      <c r="Z584" s="1"/>
      <c r="AA584" s="1"/>
    </row>
    <row r="585">
      <c r="A585" s="2"/>
      <c r="B585" s="2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9">
        <f t="shared" si="7"/>
        <v>0</v>
      </c>
      <c r="W585" s="1"/>
      <c r="X585" s="1"/>
      <c r="Y585" s="1"/>
      <c r="Z585" s="1"/>
      <c r="AA585" s="1"/>
    </row>
    <row r="586">
      <c r="A586" s="2"/>
      <c r="B586" s="2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9">
        <f t="shared" si="7"/>
        <v>0</v>
      </c>
      <c r="W586" s="1"/>
      <c r="X586" s="1"/>
      <c r="Y586" s="1"/>
      <c r="Z586" s="1"/>
      <c r="AA586" s="1"/>
    </row>
    <row r="587">
      <c r="A587" s="2"/>
      <c r="B587" s="2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9">
        <f t="shared" si="7"/>
        <v>0</v>
      </c>
      <c r="W587" s="1"/>
      <c r="X587" s="1"/>
      <c r="Y587" s="1"/>
      <c r="Z587" s="1"/>
      <c r="AA587" s="1"/>
    </row>
    <row r="588">
      <c r="A588" s="2"/>
      <c r="B588" s="2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9">
        <f t="shared" si="7"/>
        <v>0</v>
      </c>
      <c r="W588" s="1"/>
      <c r="X588" s="1"/>
      <c r="Y588" s="1"/>
      <c r="Z588" s="1"/>
      <c r="AA588" s="1"/>
    </row>
    <row r="589">
      <c r="A589" s="2"/>
      <c r="B589" s="2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9">
        <f t="shared" si="7"/>
        <v>0</v>
      </c>
      <c r="W589" s="1"/>
      <c r="X589" s="1"/>
      <c r="Y589" s="1"/>
      <c r="Z589" s="1"/>
      <c r="AA589" s="1"/>
    </row>
    <row r="590">
      <c r="A590" s="2"/>
      <c r="B590" s="2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9">
        <f t="shared" si="7"/>
        <v>0</v>
      </c>
      <c r="W590" s="1"/>
      <c r="X590" s="1"/>
      <c r="Y590" s="1"/>
      <c r="Z590" s="1"/>
      <c r="AA590" s="1"/>
    </row>
    <row r="591">
      <c r="A591" s="2"/>
      <c r="B591" s="2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9">
        <f t="shared" si="7"/>
        <v>0</v>
      </c>
      <c r="W591" s="1"/>
      <c r="X591" s="1"/>
      <c r="Y591" s="1"/>
      <c r="Z591" s="1"/>
      <c r="AA591" s="1"/>
    </row>
    <row r="592">
      <c r="A592" s="2"/>
      <c r="B592" s="2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9">
        <f t="shared" si="7"/>
        <v>0</v>
      </c>
      <c r="W592" s="1"/>
      <c r="X592" s="1"/>
      <c r="Y592" s="1"/>
      <c r="Z592" s="1"/>
      <c r="AA592" s="1"/>
    </row>
    <row r="593">
      <c r="A593" s="2"/>
      <c r="B593" s="2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9">
        <f t="shared" si="7"/>
        <v>0</v>
      </c>
      <c r="W593" s="1"/>
      <c r="X593" s="1"/>
      <c r="Y593" s="1"/>
      <c r="Z593" s="1"/>
      <c r="AA593" s="1"/>
    </row>
    <row r="594">
      <c r="A594" s="2"/>
      <c r="B594" s="2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9">
        <f t="shared" si="7"/>
        <v>0</v>
      </c>
      <c r="W594" s="1"/>
      <c r="X594" s="1"/>
      <c r="Y594" s="1"/>
      <c r="Z594" s="1"/>
      <c r="AA594" s="1"/>
    </row>
    <row r="595">
      <c r="A595" s="2"/>
      <c r="B595" s="2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9">
        <f t="shared" si="7"/>
        <v>0</v>
      </c>
      <c r="W595" s="1"/>
      <c r="X595" s="1"/>
      <c r="Y595" s="1"/>
      <c r="Z595" s="1"/>
      <c r="AA595" s="1"/>
    </row>
    <row r="596">
      <c r="A596" s="2"/>
      <c r="B596" s="2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9">
        <f t="shared" si="7"/>
        <v>0</v>
      </c>
      <c r="W596" s="1"/>
      <c r="X596" s="1"/>
      <c r="Y596" s="1"/>
      <c r="Z596" s="1"/>
      <c r="AA596" s="1"/>
    </row>
    <row r="597">
      <c r="A597" s="2"/>
      <c r="B597" s="2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9">
        <f t="shared" si="7"/>
        <v>0</v>
      </c>
      <c r="W597" s="1"/>
      <c r="X597" s="1"/>
      <c r="Y597" s="1"/>
      <c r="Z597" s="1"/>
      <c r="AA597" s="1"/>
    </row>
    <row r="598">
      <c r="A598" s="2"/>
      <c r="B598" s="2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9">
        <f t="shared" si="7"/>
        <v>0</v>
      </c>
      <c r="W598" s="1"/>
      <c r="X598" s="1"/>
      <c r="Y598" s="1"/>
      <c r="Z598" s="1"/>
      <c r="AA598" s="1"/>
    </row>
    <row r="599">
      <c r="A599" s="2"/>
      <c r="B599" s="2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9">
        <f t="shared" si="7"/>
        <v>0</v>
      </c>
      <c r="W599" s="1"/>
      <c r="X599" s="1"/>
      <c r="Y599" s="1"/>
      <c r="Z599" s="1"/>
      <c r="AA599" s="1"/>
    </row>
    <row r="600">
      <c r="A600" s="2"/>
      <c r="B600" s="2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9">
        <f t="shared" si="7"/>
        <v>0</v>
      </c>
      <c r="W600" s="1"/>
      <c r="X600" s="1"/>
      <c r="Y600" s="1"/>
      <c r="Z600" s="1"/>
      <c r="AA600" s="1"/>
    </row>
    <row r="601">
      <c r="A601" s="2"/>
      <c r="B601" s="2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9">
        <f t="shared" si="7"/>
        <v>0</v>
      </c>
      <c r="W601" s="1"/>
      <c r="X601" s="1"/>
      <c r="Y601" s="1"/>
      <c r="Z601" s="1"/>
      <c r="AA601" s="1"/>
    </row>
    <row r="602">
      <c r="A602" s="2"/>
      <c r="B602" s="2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9">
        <f t="shared" si="7"/>
        <v>0</v>
      </c>
      <c r="W602" s="1"/>
      <c r="X602" s="1"/>
      <c r="Y602" s="1"/>
      <c r="Z602" s="1"/>
      <c r="AA602" s="1"/>
    </row>
    <row r="603">
      <c r="A603" s="2"/>
      <c r="B603" s="2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9">
        <f t="shared" si="7"/>
        <v>0</v>
      </c>
      <c r="W603" s="1"/>
      <c r="X603" s="1"/>
      <c r="Y603" s="1"/>
      <c r="Z603" s="1"/>
      <c r="AA603" s="1"/>
    </row>
    <row r="604">
      <c r="A604" s="2"/>
      <c r="B604" s="2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9">
        <f t="shared" si="7"/>
        <v>0</v>
      </c>
      <c r="W604" s="1"/>
      <c r="X604" s="1"/>
      <c r="Y604" s="1"/>
      <c r="Z604" s="1"/>
      <c r="AA604" s="1"/>
    </row>
    <row r="605">
      <c r="A605" s="2"/>
      <c r="B605" s="2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9">
        <f t="shared" si="7"/>
        <v>0</v>
      </c>
      <c r="W605" s="1"/>
      <c r="X605" s="1"/>
      <c r="Y605" s="1"/>
      <c r="Z605" s="1"/>
      <c r="AA605" s="1"/>
    </row>
    <row r="606">
      <c r="A606" s="2"/>
      <c r="B606" s="2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9">
        <f t="shared" si="7"/>
        <v>0</v>
      </c>
      <c r="W606" s="1"/>
      <c r="X606" s="1"/>
      <c r="Y606" s="1"/>
      <c r="Z606" s="1"/>
      <c r="AA606" s="1"/>
    </row>
    <row r="607">
      <c r="A607" s="2"/>
      <c r="B607" s="2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9">
        <f t="shared" si="7"/>
        <v>0</v>
      </c>
      <c r="W607" s="1"/>
      <c r="X607" s="1"/>
      <c r="Y607" s="1"/>
      <c r="Z607" s="1"/>
      <c r="AA607" s="1"/>
    </row>
    <row r="608">
      <c r="A608" s="2"/>
      <c r="B608" s="2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9">
        <f t="shared" si="7"/>
        <v>0</v>
      </c>
      <c r="W608" s="1"/>
      <c r="X608" s="1"/>
      <c r="Y608" s="1"/>
      <c r="Z608" s="1"/>
      <c r="AA608" s="1"/>
    </row>
    <row r="609">
      <c r="A609" s="2"/>
      <c r="B609" s="2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9">
        <f t="shared" si="7"/>
        <v>0</v>
      </c>
      <c r="W609" s="1"/>
      <c r="X609" s="1"/>
      <c r="Y609" s="1"/>
      <c r="Z609" s="1"/>
      <c r="AA609" s="1"/>
    </row>
    <row r="610">
      <c r="A610" s="2"/>
      <c r="B610" s="2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9">
        <f t="shared" si="7"/>
        <v>0</v>
      </c>
      <c r="W610" s="1"/>
      <c r="X610" s="1"/>
      <c r="Y610" s="1"/>
      <c r="Z610" s="1"/>
      <c r="AA610" s="1"/>
    </row>
    <row r="611">
      <c r="A611" s="2"/>
      <c r="B611" s="2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9">
        <f t="shared" si="7"/>
        <v>0</v>
      </c>
      <c r="W611" s="1"/>
      <c r="X611" s="1"/>
      <c r="Y611" s="1"/>
      <c r="Z611" s="1"/>
      <c r="AA611" s="1"/>
    </row>
    <row r="612">
      <c r="A612" s="2"/>
      <c r="B612" s="2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9">
        <f t="shared" si="7"/>
        <v>0</v>
      </c>
      <c r="W612" s="1"/>
      <c r="X612" s="1"/>
      <c r="Y612" s="1"/>
      <c r="Z612" s="1"/>
      <c r="AA612" s="1"/>
    </row>
    <row r="613">
      <c r="A613" s="2"/>
      <c r="B613" s="2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9">
        <f t="shared" si="7"/>
        <v>0</v>
      </c>
      <c r="W613" s="1"/>
      <c r="X613" s="1"/>
      <c r="Y613" s="1"/>
      <c r="Z613" s="1"/>
      <c r="AA613" s="1"/>
    </row>
    <row r="614">
      <c r="A614" s="2"/>
      <c r="B614" s="2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9">
        <f t="shared" si="7"/>
        <v>0</v>
      </c>
      <c r="W614" s="1"/>
      <c r="X614" s="1"/>
      <c r="Y614" s="1"/>
      <c r="Z614" s="1"/>
      <c r="AA614" s="1"/>
    </row>
    <row r="615">
      <c r="A615" s="2"/>
      <c r="B615" s="2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9">
        <f t="shared" si="7"/>
        <v>0</v>
      </c>
      <c r="W615" s="1"/>
      <c r="X615" s="1"/>
      <c r="Y615" s="1"/>
      <c r="Z615" s="1"/>
      <c r="AA615" s="1"/>
    </row>
    <row r="616">
      <c r="A616" s="2"/>
      <c r="B616" s="2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9">
        <f t="shared" si="7"/>
        <v>0</v>
      </c>
      <c r="W616" s="1"/>
      <c r="X616" s="1"/>
      <c r="Y616" s="1"/>
      <c r="Z616" s="1"/>
      <c r="AA616" s="1"/>
    </row>
    <row r="617">
      <c r="A617" s="2"/>
      <c r="B617" s="2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9">
        <f t="shared" si="7"/>
        <v>0</v>
      </c>
      <c r="W617" s="1"/>
      <c r="X617" s="1"/>
      <c r="Y617" s="1"/>
      <c r="Z617" s="1"/>
      <c r="AA617" s="1"/>
    </row>
    <row r="618">
      <c r="A618" s="2"/>
      <c r="B618" s="2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9">
        <f t="shared" si="7"/>
        <v>0</v>
      </c>
      <c r="W618" s="1"/>
      <c r="X618" s="1"/>
      <c r="Y618" s="1"/>
      <c r="Z618" s="1"/>
      <c r="AA618" s="1"/>
    </row>
    <row r="619">
      <c r="A619" s="2"/>
      <c r="B619" s="2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9">
        <f t="shared" si="7"/>
        <v>0</v>
      </c>
      <c r="W619" s="1"/>
      <c r="X619" s="1"/>
      <c r="Y619" s="1"/>
      <c r="Z619" s="1"/>
      <c r="AA619" s="1"/>
    </row>
    <row r="620">
      <c r="A620" s="2"/>
      <c r="B620" s="2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9">
        <f t="shared" si="7"/>
        <v>0</v>
      </c>
      <c r="W620" s="1"/>
      <c r="X620" s="1"/>
      <c r="Y620" s="1"/>
      <c r="Z620" s="1"/>
      <c r="AA620" s="1"/>
    </row>
    <row r="621">
      <c r="A621" s="2"/>
      <c r="B621" s="2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9">
        <f t="shared" si="7"/>
        <v>0</v>
      </c>
      <c r="W621" s="1"/>
      <c r="X621" s="1"/>
      <c r="Y621" s="1"/>
      <c r="Z621" s="1"/>
      <c r="AA621" s="1"/>
    </row>
    <row r="622">
      <c r="A622" s="2"/>
      <c r="B622" s="2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9">
        <f t="shared" si="7"/>
        <v>0</v>
      </c>
      <c r="W622" s="1"/>
      <c r="X622" s="1"/>
      <c r="Y622" s="1"/>
      <c r="Z622" s="1"/>
      <c r="AA622" s="1"/>
    </row>
    <row r="623">
      <c r="A623" s="2"/>
      <c r="B623" s="2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9">
        <f t="shared" si="7"/>
        <v>0</v>
      </c>
      <c r="W623" s="1"/>
      <c r="X623" s="1"/>
      <c r="Y623" s="1"/>
      <c r="Z623" s="1"/>
      <c r="AA623" s="1"/>
    </row>
    <row r="624">
      <c r="A624" s="2"/>
      <c r="B624" s="2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9">
        <f t="shared" si="7"/>
        <v>0</v>
      </c>
      <c r="W624" s="1"/>
      <c r="X624" s="1"/>
      <c r="Y624" s="1"/>
      <c r="Z624" s="1"/>
      <c r="AA624" s="1"/>
    </row>
    <row r="625">
      <c r="A625" s="2"/>
      <c r="B625" s="2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9">
        <f t="shared" si="7"/>
        <v>0</v>
      </c>
      <c r="W625" s="1"/>
      <c r="X625" s="1"/>
      <c r="Y625" s="1"/>
      <c r="Z625" s="1"/>
      <c r="AA625" s="1"/>
    </row>
    <row r="626">
      <c r="A626" s="2"/>
      <c r="B626" s="2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9">
        <f t="shared" si="7"/>
        <v>0</v>
      </c>
      <c r="W626" s="1"/>
      <c r="X626" s="1"/>
      <c r="Y626" s="1"/>
      <c r="Z626" s="1"/>
      <c r="AA626" s="1"/>
    </row>
    <row r="627">
      <c r="A627" s="2"/>
      <c r="B627" s="2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9">
        <f t="shared" si="7"/>
        <v>0</v>
      </c>
      <c r="W627" s="1"/>
      <c r="X627" s="1"/>
      <c r="Y627" s="1"/>
      <c r="Z627" s="1"/>
      <c r="AA627" s="1"/>
    </row>
    <row r="628">
      <c r="A628" s="2"/>
      <c r="B628" s="2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9">
        <f t="shared" si="7"/>
        <v>0</v>
      </c>
      <c r="W628" s="1"/>
      <c r="X628" s="1"/>
      <c r="Y628" s="1"/>
      <c r="Z628" s="1"/>
      <c r="AA628" s="1"/>
    </row>
    <row r="629">
      <c r="A629" s="2"/>
      <c r="B629" s="2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9">
        <f t="shared" si="7"/>
        <v>0</v>
      </c>
      <c r="W629" s="1"/>
      <c r="X629" s="1"/>
      <c r="Y629" s="1"/>
      <c r="Z629" s="1"/>
      <c r="AA629" s="1"/>
    </row>
    <row r="630">
      <c r="A630" s="2"/>
      <c r="B630" s="2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9">
        <f t="shared" si="7"/>
        <v>0</v>
      </c>
      <c r="W630" s="1"/>
      <c r="X630" s="1"/>
      <c r="Y630" s="1"/>
      <c r="Z630" s="1"/>
      <c r="AA630" s="1"/>
    </row>
    <row r="631">
      <c r="A631" s="2"/>
      <c r="B631" s="2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9">
        <f t="shared" si="7"/>
        <v>0</v>
      </c>
      <c r="W631" s="1"/>
      <c r="X631" s="1"/>
      <c r="Y631" s="1"/>
      <c r="Z631" s="1"/>
      <c r="AA631" s="1"/>
    </row>
    <row r="632">
      <c r="A632" s="2"/>
      <c r="B632" s="2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9">
        <f t="shared" si="7"/>
        <v>0</v>
      </c>
      <c r="W632" s="1"/>
      <c r="X632" s="1"/>
      <c r="Y632" s="1"/>
      <c r="Z632" s="1"/>
      <c r="AA632" s="1"/>
    </row>
    <row r="633">
      <c r="A633" s="2"/>
      <c r="B633" s="2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9">
        <f t="shared" si="7"/>
        <v>0</v>
      </c>
      <c r="W633" s="1"/>
      <c r="X633" s="1"/>
      <c r="Y633" s="1"/>
      <c r="Z633" s="1"/>
      <c r="AA633" s="1"/>
    </row>
    <row r="634">
      <c r="A634" s="2"/>
      <c r="B634" s="2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9">
        <f t="shared" si="7"/>
        <v>0</v>
      </c>
      <c r="W634" s="1"/>
      <c r="X634" s="1"/>
      <c r="Y634" s="1"/>
      <c r="Z634" s="1"/>
      <c r="AA634" s="1"/>
    </row>
    <row r="635">
      <c r="A635" s="2"/>
      <c r="B635" s="2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9">
        <f t="shared" si="7"/>
        <v>0</v>
      </c>
      <c r="W635" s="1"/>
      <c r="X635" s="1"/>
      <c r="Y635" s="1"/>
      <c r="Z635" s="1"/>
      <c r="AA635" s="1"/>
    </row>
    <row r="636">
      <c r="A636" s="2"/>
      <c r="B636" s="2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9">
        <f t="shared" si="7"/>
        <v>0</v>
      </c>
      <c r="W636" s="1"/>
      <c r="X636" s="1"/>
      <c r="Y636" s="1"/>
      <c r="Z636" s="1"/>
      <c r="AA636" s="1"/>
    </row>
    <row r="637">
      <c r="A637" s="2"/>
      <c r="B637" s="2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9">
        <f t="shared" si="7"/>
        <v>0</v>
      </c>
      <c r="W637" s="1"/>
      <c r="X637" s="1"/>
      <c r="Y637" s="1"/>
      <c r="Z637" s="1"/>
      <c r="AA637" s="1"/>
    </row>
    <row r="638">
      <c r="A638" s="2"/>
      <c r="B638" s="2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9">
        <f t="shared" si="7"/>
        <v>0</v>
      </c>
      <c r="W638" s="1"/>
      <c r="X638" s="1"/>
      <c r="Y638" s="1"/>
      <c r="Z638" s="1"/>
      <c r="AA638" s="1"/>
    </row>
    <row r="639">
      <c r="A639" s="2"/>
      <c r="B639" s="2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9">
        <f t="shared" si="7"/>
        <v>0</v>
      </c>
      <c r="W639" s="1"/>
      <c r="X639" s="1"/>
      <c r="Y639" s="1"/>
      <c r="Z639" s="1"/>
      <c r="AA639" s="1"/>
    </row>
    <row r="640">
      <c r="A640" s="2"/>
      <c r="B640" s="2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9">
        <f t="shared" si="7"/>
        <v>0</v>
      </c>
      <c r="W640" s="1"/>
      <c r="X640" s="1"/>
      <c r="Y640" s="1"/>
      <c r="Z640" s="1"/>
      <c r="AA640" s="1"/>
    </row>
    <row r="641">
      <c r="A641" s="2"/>
      <c r="B641" s="2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9">
        <f t="shared" si="7"/>
        <v>0</v>
      </c>
      <c r="W641" s="1"/>
      <c r="X641" s="1"/>
      <c r="Y641" s="1"/>
      <c r="Z641" s="1"/>
      <c r="AA641" s="1"/>
    </row>
    <row r="642">
      <c r="A642" s="2"/>
      <c r="B642" s="2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9">
        <f t="shared" si="7"/>
        <v>0</v>
      </c>
      <c r="W642" s="1"/>
      <c r="X642" s="1"/>
      <c r="Y642" s="1"/>
      <c r="Z642" s="1"/>
      <c r="AA642" s="1"/>
    </row>
    <row r="643">
      <c r="A643" s="2"/>
      <c r="B643" s="2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9">
        <f t="shared" si="7"/>
        <v>0</v>
      </c>
      <c r="W643" s="1"/>
      <c r="X643" s="1"/>
      <c r="Y643" s="1"/>
      <c r="Z643" s="1"/>
      <c r="AA643" s="1"/>
    </row>
    <row r="644">
      <c r="A644" s="2"/>
      <c r="B644" s="2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9">
        <f t="shared" si="7"/>
        <v>0</v>
      </c>
      <c r="W644" s="1"/>
      <c r="X644" s="1"/>
      <c r="Y644" s="1"/>
      <c r="Z644" s="1"/>
      <c r="AA644" s="1"/>
    </row>
    <row r="645">
      <c r="A645" s="2"/>
      <c r="B645" s="2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9">
        <f t="shared" si="7"/>
        <v>0</v>
      </c>
      <c r="W645" s="1"/>
      <c r="X645" s="1"/>
      <c r="Y645" s="1"/>
      <c r="Z645" s="1"/>
      <c r="AA645" s="1"/>
    </row>
    <row r="646">
      <c r="A646" s="2"/>
      <c r="B646" s="2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9">
        <f t="shared" si="7"/>
        <v>0</v>
      </c>
      <c r="W646" s="1"/>
      <c r="X646" s="1"/>
      <c r="Y646" s="1"/>
      <c r="Z646" s="1"/>
      <c r="AA646" s="1"/>
    </row>
    <row r="647">
      <c r="A647" s="2"/>
      <c r="B647" s="2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9">
        <f t="shared" si="7"/>
        <v>0</v>
      </c>
      <c r="W647" s="1"/>
      <c r="X647" s="1"/>
      <c r="Y647" s="1"/>
      <c r="Z647" s="1"/>
      <c r="AA647" s="1"/>
    </row>
    <row r="648">
      <c r="A648" s="2"/>
      <c r="B648" s="2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9">
        <f t="shared" si="7"/>
        <v>0</v>
      </c>
      <c r="W648" s="1"/>
      <c r="X648" s="1"/>
      <c r="Y648" s="1"/>
      <c r="Z648" s="1"/>
      <c r="AA648" s="1"/>
    </row>
    <row r="649">
      <c r="A649" s="2"/>
      <c r="B649" s="2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9">
        <f t="shared" si="7"/>
        <v>0</v>
      </c>
      <c r="W649" s="1"/>
      <c r="X649" s="1"/>
      <c r="Y649" s="1"/>
      <c r="Z649" s="1"/>
      <c r="AA649" s="1"/>
    </row>
    <row r="650">
      <c r="A650" s="2"/>
      <c r="B650" s="2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9">
        <f t="shared" si="7"/>
        <v>0</v>
      </c>
      <c r="W650" s="1"/>
      <c r="X650" s="1"/>
      <c r="Y650" s="1"/>
      <c r="Z650" s="1"/>
      <c r="AA650" s="1"/>
    </row>
    <row r="651">
      <c r="A651" s="2"/>
      <c r="B651" s="2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9">
        <f t="shared" si="7"/>
        <v>0</v>
      </c>
      <c r="W651" s="1"/>
      <c r="X651" s="1"/>
      <c r="Y651" s="1"/>
      <c r="Z651" s="1"/>
      <c r="AA651" s="1"/>
    </row>
    <row r="652">
      <c r="A652" s="2"/>
      <c r="B652" s="2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9">
        <f t="shared" si="7"/>
        <v>0</v>
      </c>
      <c r="W652" s="1"/>
      <c r="X652" s="1"/>
      <c r="Y652" s="1"/>
      <c r="Z652" s="1"/>
      <c r="AA652" s="1"/>
    </row>
    <row r="653">
      <c r="A653" s="2"/>
      <c r="B653" s="2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9">
        <f t="shared" si="7"/>
        <v>0</v>
      </c>
      <c r="W653" s="1"/>
      <c r="X653" s="1"/>
      <c r="Y653" s="1"/>
      <c r="Z653" s="1"/>
      <c r="AA653" s="1"/>
    </row>
    <row r="654">
      <c r="A654" s="2"/>
      <c r="B654" s="2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9">
        <f t="shared" si="7"/>
        <v>0</v>
      </c>
      <c r="W654" s="1"/>
      <c r="X654" s="1"/>
      <c r="Y654" s="1"/>
      <c r="Z654" s="1"/>
      <c r="AA654" s="1"/>
    </row>
    <row r="655">
      <c r="A655" s="2"/>
      <c r="B655" s="2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9">
        <f t="shared" si="7"/>
        <v>0</v>
      </c>
      <c r="W655" s="1"/>
      <c r="X655" s="1"/>
      <c r="Y655" s="1"/>
      <c r="Z655" s="1"/>
      <c r="AA655" s="1"/>
    </row>
    <row r="656">
      <c r="A656" s="2"/>
      <c r="B656" s="2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9">
        <f t="shared" si="7"/>
        <v>0</v>
      </c>
      <c r="W656" s="1"/>
      <c r="X656" s="1"/>
      <c r="Y656" s="1"/>
      <c r="Z656" s="1"/>
      <c r="AA656" s="1"/>
    </row>
    <row r="657">
      <c r="A657" s="2"/>
      <c r="B657" s="2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9">
        <f t="shared" si="7"/>
        <v>0</v>
      </c>
      <c r="W657" s="1"/>
      <c r="X657" s="1"/>
      <c r="Y657" s="1"/>
      <c r="Z657" s="1"/>
      <c r="AA657" s="1"/>
    </row>
    <row r="658">
      <c r="A658" s="2"/>
      <c r="B658" s="2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9">
        <f t="shared" si="7"/>
        <v>0</v>
      </c>
      <c r="W658" s="1"/>
      <c r="X658" s="1"/>
      <c r="Y658" s="1"/>
      <c r="Z658" s="1"/>
      <c r="AA658" s="1"/>
    </row>
    <row r="659">
      <c r="A659" s="2"/>
      <c r="B659" s="2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9">
        <f t="shared" si="7"/>
        <v>0</v>
      </c>
      <c r="W659" s="1"/>
      <c r="X659" s="1"/>
      <c r="Y659" s="1"/>
      <c r="Z659" s="1"/>
      <c r="AA659" s="1"/>
    </row>
    <row r="660">
      <c r="A660" s="2"/>
      <c r="B660" s="2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9">
        <f t="shared" si="7"/>
        <v>0</v>
      </c>
      <c r="W660" s="1"/>
      <c r="X660" s="1"/>
      <c r="Y660" s="1"/>
      <c r="Z660" s="1"/>
      <c r="AA660" s="1"/>
    </row>
    <row r="661">
      <c r="A661" s="2"/>
      <c r="B661" s="2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9">
        <f t="shared" si="7"/>
        <v>0</v>
      </c>
      <c r="W661" s="1"/>
      <c r="X661" s="1"/>
      <c r="Y661" s="1"/>
      <c r="Z661" s="1"/>
      <c r="AA661" s="1"/>
    </row>
    <row r="662">
      <c r="A662" s="2"/>
      <c r="B662" s="2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9">
        <f t="shared" si="7"/>
        <v>0</v>
      </c>
      <c r="W662" s="1"/>
      <c r="X662" s="1"/>
      <c r="Y662" s="1"/>
      <c r="Z662" s="1"/>
      <c r="AA662" s="1"/>
    </row>
    <row r="663">
      <c r="A663" s="2"/>
      <c r="B663" s="2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9">
        <f t="shared" si="7"/>
        <v>0</v>
      </c>
      <c r="W663" s="1"/>
      <c r="X663" s="1"/>
      <c r="Y663" s="1"/>
      <c r="Z663" s="1"/>
      <c r="AA663" s="1"/>
    </row>
    <row r="664">
      <c r="A664" s="2"/>
      <c r="B664" s="2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9">
        <f t="shared" si="7"/>
        <v>0</v>
      </c>
      <c r="W664" s="1"/>
      <c r="X664" s="1"/>
      <c r="Y664" s="1"/>
      <c r="Z664" s="1"/>
      <c r="AA664" s="1"/>
    </row>
    <row r="665">
      <c r="A665" s="2"/>
      <c r="B665" s="2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9">
        <f t="shared" si="7"/>
        <v>0</v>
      </c>
      <c r="W665" s="1"/>
      <c r="X665" s="1"/>
      <c r="Y665" s="1"/>
      <c r="Z665" s="1"/>
      <c r="AA665" s="1"/>
    </row>
    <row r="666">
      <c r="A666" s="2"/>
      <c r="B666" s="2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9">
        <f t="shared" si="7"/>
        <v>0</v>
      </c>
      <c r="W666" s="1"/>
      <c r="X666" s="1"/>
      <c r="Y666" s="1"/>
      <c r="Z666" s="1"/>
      <c r="AA666" s="1"/>
    </row>
    <row r="667">
      <c r="A667" s="2"/>
      <c r="B667" s="2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9">
        <f t="shared" si="7"/>
        <v>0</v>
      </c>
      <c r="W667" s="1"/>
      <c r="X667" s="1"/>
      <c r="Y667" s="1"/>
      <c r="Z667" s="1"/>
      <c r="AA667" s="1"/>
    </row>
    <row r="668">
      <c r="A668" s="2"/>
      <c r="B668" s="2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9">
        <f t="shared" si="7"/>
        <v>0</v>
      </c>
      <c r="W668" s="1"/>
      <c r="X668" s="1"/>
      <c r="Y668" s="1"/>
      <c r="Z668" s="1"/>
      <c r="AA668" s="1"/>
    </row>
    <row r="669">
      <c r="A669" s="2"/>
      <c r="B669" s="2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9">
        <f t="shared" si="7"/>
        <v>0</v>
      </c>
      <c r="W669" s="1"/>
      <c r="X669" s="1"/>
      <c r="Y669" s="1"/>
      <c r="Z669" s="1"/>
      <c r="AA669" s="1"/>
    </row>
    <row r="670">
      <c r="A670" s="2"/>
      <c r="B670" s="2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9">
        <f t="shared" si="7"/>
        <v>0</v>
      </c>
      <c r="W670" s="1"/>
      <c r="X670" s="1"/>
      <c r="Y670" s="1"/>
      <c r="Z670" s="1"/>
      <c r="AA670" s="1"/>
    </row>
    <row r="671">
      <c r="A671" s="2"/>
      <c r="B671" s="2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9">
        <f t="shared" si="7"/>
        <v>0</v>
      </c>
      <c r="W671" s="1"/>
      <c r="X671" s="1"/>
      <c r="Y671" s="1"/>
      <c r="Z671" s="1"/>
      <c r="AA671" s="1"/>
    </row>
    <row r="672">
      <c r="A672" s="2"/>
      <c r="B672" s="2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9">
        <f t="shared" si="7"/>
        <v>0</v>
      </c>
      <c r="W672" s="1"/>
      <c r="X672" s="1"/>
      <c r="Y672" s="1"/>
      <c r="Z672" s="1"/>
      <c r="AA672" s="1"/>
    </row>
    <row r="673">
      <c r="A673" s="2"/>
      <c r="B673" s="2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9">
        <f t="shared" si="7"/>
        <v>0</v>
      </c>
      <c r="W673" s="1"/>
      <c r="X673" s="1"/>
      <c r="Y673" s="1"/>
      <c r="Z673" s="1"/>
      <c r="AA673" s="1"/>
    </row>
    <row r="674">
      <c r="A674" s="2"/>
      <c r="B674" s="2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9">
        <f t="shared" si="7"/>
        <v>0</v>
      </c>
      <c r="W674" s="1"/>
      <c r="X674" s="1"/>
      <c r="Y674" s="1"/>
      <c r="Z674" s="1"/>
      <c r="AA674" s="1"/>
    </row>
    <row r="675">
      <c r="A675" s="2"/>
      <c r="B675" s="2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9">
        <f t="shared" si="7"/>
        <v>0</v>
      </c>
      <c r="W675" s="1"/>
      <c r="X675" s="1"/>
      <c r="Y675" s="1"/>
      <c r="Z675" s="1"/>
      <c r="AA675" s="1"/>
    </row>
    <row r="676">
      <c r="A676" s="2"/>
      <c r="B676" s="2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9">
        <f t="shared" si="7"/>
        <v>0</v>
      </c>
      <c r="W676" s="1"/>
      <c r="X676" s="1"/>
      <c r="Y676" s="1"/>
      <c r="Z676" s="1"/>
      <c r="AA676" s="1"/>
    </row>
    <row r="677">
      <c r="A677" s="2"/>
      <c r="B677" s="2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9">
        <f t="shared" si="7"/>
        <v>0</v>
      </c>
      <c r="W677" s="1"/>
      <c r="X677" s="1"/>
      <c r="Y677" s="1"/>
      <c r="Z677" s="1"/>
      <c r="AA677" s="1"/>
    </row>
    <row r="678">
      <c r="A678" s="2"/>
      <c r="B678" s="2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9">
        <f t="shared" si="7"/>
        <v>0</v>
      </c>
      <c r="W678" s="1"/>
      <c r="X678" s="1"/>
      <c r="Y678" s="1"/>
      <c r="Z678" s="1"/>
      <c r="AA678" s="1"/>
    </row>
    <row r="679">
      <c r="A679" s="2"/>
      <c r="B679" s="2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9">
        <f t="shared" si="7"/>
        <v>0</v>
      </c>
      <c r="W679" s="1"/>
      <c r="X679" s="1"/>
      <c r="Y679" s="1"/>
      <c r="Z679" s="1"/>
      <c r="AA679" s="1"/>
    </row>
    <row r="680">
      <c r="A680" s="2"/>
      <c r="B680" s="2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9">
        <f t="shared" si="7"/>
        <v>0</v>
      </c>
      <c r="W680" s="1"/>
      <c r="X680" s="1"/>
      <c r="Y680" s="1"/>
      <c r="Z680" s="1"/>
      <c r="AA680" s="1"/>
    </row>
    <row r="681">
      <c r="A681" s="2"/>
      <c r="B681" s="2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9">
        <f t="shared" si="7"/>
        <v>0</v>
      </c>
      <c r="W681" s="1"/>
      <c r="X681" s="1"/>
      <c r="Y681" s="1"/>
      <c r="Z681" s="1"/>
      <c r="AA681" s="1"/>
    </row>
    <row r="682">
      <c r="A682" s="2"/>
      <c r="B682" s="2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9">
        <f t="shared" si="7"/>
        <v>0</v>
      </c>
      <c r="W682" s="1"/>
      <c r="X682" s="1"/>
      <c r="Y682" s="1"/>
      <c r="Z682" s="1"/>
      <c r="AA682" s="1"/>
    </row>
    <row r="683">
      <c r="A683" s="2"/>
      <c r="B683" s="2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9">
        <f t="shared" si="7"/>
        <v>0</v>
      </c>
      <c r="W683" s="1"/>
      <c r="X683" s="1"/>
      <c r="Y683" s="1"/>
      <c r="Z683" s="1"/>
      <c r="AA683" s="1"/>
    </row>
    <row r="684">
      <c r="A684" s="2"/>
      <c r="B684" s="2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9">
        <f t="shared" si="7"/>
        <v>0</v>
      </c>
      <c r="W684" s="1"/>
      <c r="X684" s="1"/>
      <c r="Y684" s="1"/>
      <c r="Z684" s="1"/>
      <c r="AA684" s="1"/>
    </row>
    <row r="685">
      <c r="A685" s="2"/>
      <c r="B685" s="2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9">
        <f t="shared" si="7"/>
        <v>0</v>
      </c>
      <c r="W685" s="1"/>
      <c r="X685" s="1"/>
      <c r="Y685" s="1"/>
      <c r="Z685" s="1"/>
      <c r="AA685" s="1"/>
    </row>
    <row r="686">
      <c r="A686" s="2"/>
      <c r="B686" s="2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9">
        <f t="shared" si="7"/>
        <v>0</v>
      </c>
      <c r="W686" s="1"/>
      <c r="X686" s="1"/>
      <c r="Y686" s="1"/>
      <c r="Z686" s="1"/>
      <c r="AA686" s="1"/>
    </row>
    <row r="687">
      <c r="A687" s="2"/>
      <c r="B687" s="2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9">
        <f t="shared" si="7"/>
        <v>0</v>
      </c>
      <c r="W687" s="1"/>
      <c r="X687" s="1"/>
      <c r="Y687" s="1"/>
      <c r="Z687" s="1"/>
      <c r="AA687" s="1"/>
    </row>
    <row r="688">
      <c r="A688" s="2"/>
      <c r="B688" s="2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9">
        <f t="shared" si="7"/>
        <v>0</v>
      </c>
      <c r="W688" s="1"/>
      <c r="X688" s="1"/>
      <c r="Y688" s="1"/>
      <c r="Z688" s="1"/>
      <c r="AA688" s="1"/>
    </row>
    <row r="689">
      <c r="A689" s="2"/>
      <c r="B689" s="2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9">
        <f t="shared" si="7"/>
        <v>0</v>
      </c>
      <c r="W689" s="1"/>
      <c r="X689" s="1"/>
      <c r="Y689" s="1"/>
      <c r="Z689" s="1"/>
      <c r="AA689" s="1"/>
    </row>
    <row r="690">
      <c r="A690" s="2"/>
      <c r="B690" s="2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9">
        <f t="shared" si="7"/>
        <v>0</v>
      </c>
      <c r="W690" s="1"/>
      <c r="X690" s="1"/>
      <c r="Y690" s="1"/>
      <c r="Z690" s="1"/>
      <c r="AA690" s="1"/>
    </row>
    <row r="691">
      <c r="A691" s="2"/>
      <c r="B691" s="2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9">
        <f t="shared" si="7"/>
        <v>0</v>
      </c>
      <c r="W691" s="1"/>
      <c r="X691" s="1"/>
      <c r="Y691" s="1"/>
      <c r="Z691" s="1"/>
      <c r="AA691" s="1"/>
    </row>
    <row r="692">
      <c r="A692" s="2"/>
      <c r="B692" s="2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9">
        <f t="shared" si="7"/>
        <v>0</v>
      </c>
      <c r="W692" s="1"/>
      <c r="X692" s="1"/>
      <c r="Y692" s="1"/>
      <c r="Z692" s="1"/>
      <c r="AA692" s="1"/>
    </row>
    <row r="693">
      <c r="A693" s="2"/>
      <c r="B693" s="2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9">
        <f t="shared" si="7"/>
        <v>0</v>
      </c>
      <c r="W693" s="1"/>
      <c r="X693" s="1"/>
      <c r="Y693" s="1"/>
      <c r="Z693" s="1"/>
      <c r="AA693" s="1"/>
    </row>
    <row r="694">
      <c r="A694" s="2"/>
      <c r="B694" s="2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9">
        <f t="shared" si="7"/>
        <v>0</v>
      </c>
      <c r="W694" s="1"/>
      <c r="X694" s="1"/>
      <c r="Y694" s="1"/>
      <c r="Z694" s="1"/>
      <c r="AA694" s="1"/>
    </row>
    <row r="695">
      <c r="A695" s="2"/>
      <c r="B695" s="2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9">
        <f t="shared" si="7"/>
        <v>0</v>
      </c>
      <c r="W695" s="1"/>
      <c r="X695" s="1"/>
      <c r="Y695" s="1"/>
      <c r="Z695" s="1"/>
      <c r="AA695" s="1"/>
    </row>
    <row r="696">
      <c r="A696" s="2"/>
      <c r="B696" s="2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9">
        <f t="shared" si="7"/>
        <v>0</v>
      </c>
      <c r="W696" s="1"/>
      <c r="X696" s="1"/>
      <c r="Y696" s="1"/>
      <c r="Z696" s="1"/>
      <c r="AA696" s="1"/>
    </row>
    <row r="697">
      <c r="A697" s="2"/>
      <c r="B697" s="2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9">
        <f t="shared" si="7"/>
        <v>0</v>
      </c>
      <c r="W697" s="1"/>
      <c r="X697" s="1"/>
      <c r="Y697" s="1"/>
      <c r="Z697" s="1"/>
      <c r="AA697" s="1"/>
    </row>
    <row r="698">
      <c r="A698" s="2"/>
      <c r="B698" s="2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9">
        <f t="shared" si="7"/>
        <v>0</v>
      </c>
      <c r="W698" s="1"/>
      <c r="X698" s="1"/>
      <c r="Y698" s="1"/>
      <c r="Z698" s="1"/>
      <c r="AA698" s="1"/>
    </row>
    <row r="699">
      <c r="A699" s="2"/>
      <c r="B699" s="2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9">
        <f t="shared" si="7"/>
        <v>0</v>
      </c>
      <c r="W699" s="1"/>
      <c r="X699" s="1"/>
      <c r="Y699" s="1"/>
      <c r="Z699" s="1"/>
      <c r="AA699" s="1"/>
    </row>
    <row r="700">
      <c r="A700" s="2"/>
      <c r="B700" s="2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9">
        <f t="shared" si="7"/>
        <v>0</v>
      </c>
      <c r="W700" s="1"/>
      <c r="X700" s="1"/>
      <c r="Y700" s="1"/>
      <c r="Z700" s="1"/>
      <c r="AA700" s="1"/>
    </row>
    <row r="701">
      <c r="A701" s="2"/>
      <c r="B701" s="2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9">
        <f t="shared" si="7"/>
        <v>0</v>
      </c>
      <c r="W701" s="1"/>
      <c r="X701" s="1"/>
      <c r="Y701" s="1"/>
      <c r="Z701" s="1"/>
      <c r="AA701" s="1"/>
    </row>
    <row r="702">
      <c r="A702" s="2"/>
      <c r="B702" s="2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9">
        <f t="shared" si="7"/>
        <v>0</v>
      </c>
      <c r="W702" s="1"/>
      <c r="X702" s="1"/>
      <c r="Y702" s="1"/>
      <c r="Z702" s="1"/>
      <c r="AA702" s="1"/>
    </row>
    <row r="703">
      <c r="A703" s="2"/>
      <c r="B703" s="2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9">
        <f t="shared" si="7"/>
        <v>0</v>
      </c>
      <c r="W703" s="1"/>
      <c r="X703" s="1"/>
      <c r="Y703" s="1"/>
      <c r="Z703" s="1"/>
      <c r="AA703" s="1"/>
    </row>
    <row r="704">
      <c r="A704" s="2"/>
      <c r="B704" s="2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9">
        <f t="shared" si="7"/>
        <v>0</v>
      </c>
      <c r="W704" s="1"/>
      <c r="X704" s="1"/>
      <c r="Y704" s="1"/>
      <c r="Z704" s="1"/>
      <c r="AA704" s="1"/>
    </row>
    <row r="705">
      <c r="A705" s="2"/>
      <c r="B705" s="2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9">
        <f t="shared" si="7"/>
        <v>0</v>
      </c>
      <c r="W705" s="1"/>
      <c r="X705" s="1"/>
      <c r="Y705" s="1"/>
      <c r="Z705" s="1"/>
      <c r="AA705" s="1"/>
    </row>
    <row r="706">
      <c r="A706" s="2"/>
      <c r="B706" s="2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9">
        <f t="shared" si="7"/>
        <v>0</v>
      </c>
      <c r="W706" s="1"/>
      <c r="X706" s="1"/>
      <c r="Y706" s="1"/>
      <c r="Z706" s="1"/>
      <c r="AA706" s="1"/>
    </row>
    <row r="707">
      <c r="A707" s="2"/>
      <c r="B707" s="2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9">
        <f t="shared" si="7"/>
        <v>0</v>
      </c>
      <c r="W707" s="1"/>
      <c r="X707" s="1"/>
      <c r="Y707" s="1"/>
      <c r="Z707" s="1"/>
      <c r="AA707" s="1"/>
    </row>
    <row r="708">
      <c r="A708" s="2"/>
      <c r="B708" s="2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9">
        <f t="shared" si="7"/>
        <v>0</v>
      </c>
      <c r="W708" s="1"/>
      <c r="X708" s="1"/>
      <c r="Y708" s="1"/>
      <c r="Z708" s="1"/>
      <c r="AA708" s="1"/>
    </row>
    <row r="709">
      <c r="A709" s="2"/>
      <c r="B709" s="2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9">
        <f t="shared" si="7"/>
        <v>0</v>
      </c>
      <c r="W709" s="1"/>
      <c r="X709" s="1"/>
      <c r="Y709" s="1"/>
      <c r="Z709" s="1"/>
      <c r="AA709" s="1"/>
    </row>
    <row r="710">
      <c r="A710" s="2"/>
      <c r="B710" s="2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9">
        <f t="shared" si="7"/>
        <v>0</v>
      </c>
      <c r="W710" s="1"/>
      <c r="X710" s="1"/>
      <c r="Y710" s="1"/>
      <c r="Z710" s="1"/>
      <c r="AA710" s="1"/>
    </row>
    <row r="711">
      <c r="A711" s="2"/>
      <c r="B711" s="2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9">
        <f t="shared" si="7"/>
        <v>0</v>
      </c>
      <c r="W711" s="1"/>
      <c r="X711" s="1"/>
      <c r="Y711" s="1"/>
      <c r="Z711" s="1"/>
      <c r="AA711" s="1"/>
    </row>
    <row r="712">
      <c r="A712" s="2"/>
      <c r="B712" s="2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9">
        <f t="shared" si="7"/>
        <v>0</v>
      </c>
      <c r="W712" s="1"/>
      <c r="X712" s="1"/>
      <c r="Y712" s="1"/>
      <c r="Z712" s="1"/>
      <c r="AA712" s="1"/>
    </row>
    <row r="713">
      <c r="A713" s="2"/>
      <c r="B713" s="2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9">
        <f t="shared" si="7"/>
        <v>0</v>
      </c>
      <c r="W713" s="1"/>
      <c r="X713" s="1"/>
      <c r="Y713" s="1"/>
      <c r="Z713" s="1"/>
      <c r="AA713" s="1"/>
    </row>
    <row r="714">
      <c r="A714" s="2"/>
      <c r="B714" s="2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9">
        <f t="shared" si="7"/>
        <v>0</v>
      </c>
      <c r="W714" s="1"/>
      <c r="X714" s="1"/>
      <c r="Y714" s="1"/>
      <c r="Z714" s="1"/>
      <c r="AA714" s="1"/>
    </row>
    <row r="715">
      <c r="A715" s="2"/>
      <c r="B715" s="2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9">
        <f t="shared" si="7"/>
        <v>0</v>
      </c>
      <c r="W715" s="1"/>
      <c r="X715" s="1"/>
      <c r="Y715" s="1"/>
      <c r="Z715" s="1"/>
      <c r="AA715" s="1"/>
    </row>
    <row r="716">
      <c r="A716" s="2"/>
      <c r="B716" s="2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9">
        <f t="shared" si="7"/>
        <v>0</v>
      </c>
      <c r="W716" s="1"/>
      <c r="X716" s="1"/>
      <c r="Y716" s="1"/>
      <c r="Z716" s="1"/>
      <c r="AA716" s="1"/>
    </row>
    <row r="717">
      <c r="A717" s="2"/>
      <c r="B717" s="2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9">
        <f t="shared" si="7"/>
        <v>0</v>
      </c>
      <c r="W717" s="1"/>
      <c r="X717" s="1"/>
      <c r="Y717" s="1"/>
      <c r="Z717" s="1"/>
      <c r="AA717" s="1"/>
    </row>
    <row r="718">
      <c r="A718" s="2"/>
      <c r="B718" s="2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9">
        <f t="shared" si="7"/>
        <v>0</v>
      </c>
      <c r="W718" s="1"/>
      <c r="X718" s="1"/>
      <c r="Y718" s="1"/>
      <c r="Z718" s="1"/>
      <c r="AA718" s="1"/>
    </row>
    <row r="719">
      <c r="A719" s="2"/>
      <c r="B719" s="2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9">
        <f t="shared" si="7"/>
        <v>0</v>
      </c>
      <c r="W719" s="1"/>
      <c r="X719" s="1"/>
      <c r="Y719" s="1"/>
      <c r="Z719" s="1"/>
      <c r="AA719" s="1"/>
    </row>
    <row r="720">
      <c r="A720" s="2"/>
      <c r="B720" s="2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9">
        <f t="shared" si="7"/>
        <v>0</v>
      </c>
      <c r="W720" s="1"/>
      <c r="X720" s="1"/>
      <c r="Y720" s="1"/>
      <c r="Z720" s="1"/>
      <c r="AA720" s="1"/>
    </row>
    <row r="721">
      <c r="A721" s="2"/>
      <c r="B721" s="2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9">
        <f t="shared" si="7"/>
        <v>0</v>
      </c>
      <c r="W721" s="1"/>
      <c r="X721" s="1"/>
      <c r="Y721" s="1"/>
      <c r="Z721" s="1"/>
      <c r="AA721" s="1"/>
    </row>
    <row r="722">
      <c r="A722" s="2"/>
      <c r="B722" s="2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9">
        <f t="shared" si="7"/>
        <v>0</v>
      </c>
      <c r="W722" s="1"/>
      <c r="X722" s="1"/>
      <c r="Y722" s="1"/>
      <c r="Z722" s="1"/>
      <c r="AA722" s="1"/>
    </row>
    <row r="723">
      <c r="A723" s="2"/>
      <c r="B723" s="2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9">
        <f t="shared" si="7"/>
        <v>0</v>
      </c>
      <c r="W723" s="1"/>
      <c r="X723" s="1"/>
      <c r="Y723" s="1"/>
      <c r="Z723" s="1"/>
      <c r="AA723" s="1"/>
    </row>
    <row r="724">
      <c r="A724" s="2"/>
      <c r="B724" s="2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9">
        <f t="shared" si="7"/>
        <v>0</v>
      </c>
      <c r="W724" s="1"/>
      <c r="X724" s="1"/>
      <c r="Y724" s="1"/>
      <c r="Z724" s="1"/>
      <c r="AA724" s="1"/>
    </row>
    <row r="725">
      <c r="A725" s="2"/>
      <c r="B725" s="2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9">
        <f t="shared" si="7"/>
        <v>0</v>
      </c>
      <c r="W725" s="1"/>
      <c r="X725" s="1"/>
      <c r="Y725" s="1"/>
      <c r="Z725" s="1"/>
      <c r="AA725" s="1"/>
    </row>
    <row r="726">
      <c r="A726" s="2"/>
      <c r="B726" s="2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9">
        <f t="shared" si="7"/>
        <v>0</v>
      </c>
      <c r="W726" s="1"/>
      <c r="X726" s="1"/>
      <c r="Y726" s="1"/>
      <c r="Z726" s="1"/>
      <c r="AA726" s="1"/>
    </row>
    <row r="727">
      <c r="A727" s="2"/>
      <c r="B727" s="2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9">
        <f t="shared" si="7"/>
        <v>0</v>
      </c>
      <c r="W727" s="1"/>
      <c r="X727" s="1"/>
      <c r="Y727" s="1"/>
      <c r="Z727" s="1"/>
      <c r="AA727" s="1"/>
    </row>
    <row r="728">
      <c r="A728" s="2"/>
      <c r="B728" s="2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9">
        <f t="shared" si="7"/>
        <v>0</v>
      </c>
      <c r="W728" s="1"/>
      <c r="X728" s="1"/>
      <c r="Y728" s="1"/>
      <c r="Z728" s="1"/>
      <c r="AA728" s="1"/>
    </row>
    <row r="729">
      <c r="A729" s="2"/>
      <c r="B729" s="2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9">
        <f t="shared" si="7"/>
        <v>0</v>
      </c>
      <c r="W729" s="1"/>
      <c r="X729" s="1"/>
      <c r="Y729" s="1"/>
      <c r="Z729" s="1"/>
      <c r="AA729" s="1"/>
    </row>
    <row r="730">
      <c r="A730" s="2"/>
      <c r="B730" s="2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9">
        <f t="shared" si="7"/>
        <v>0</v>
      </c>
      <c r="W730" s="1"/>
      <c r="X730" s="1"/>
      <c r="Y730" s="1"/>
      <c r="Z730" s="1"/>
      <c r="AA730" s="1"/>
    </row>
    <row r="731">
      <c r="A731" s="2"/>
      <c r="B731" s="2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9">
        <f t="shared" si="7"/>
        <v>0</v>
      </c>
      <c r="W731" s="1"/>
      <c r="X731" s="1"/>
      <c r="Y731" s="1"/>
      <c r="Z731" s="1"/>
      <c r="AA731" s="1"/>
    </row>
    <row r="732">
      <c r="A732" s="2"/>
      <c r="B732" s="2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9">
        <f t="shared" si="7"/>
        <v>0</v>
      </c>
      <c r="W732" s="1"/>
      <c r="X732" s="1"/>
      <c r="Y732" s="1"/>
      <c r="Z732" s="1"/>
      <c r="AA732" s="1"/>
    </row>
    <row r="733">
      <c r="A733" s="2"/>
      <c r="B733" s="2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9">
        <f t="shared" si="7"/>
        <v>0</v>
      </c>
      <c r="W733" s="1"/>
      <c r="X733" s="1"/>
      <c r="Y733" s="1"/>
      <c r="Z733" s="1"/>
      <c r="AA733" s="1"/>
    </row>
    <row r="734">
      <c r="A734" s="2"/>
      <c r="B734" s="2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9">
        <f t="shared" si="7"/>
        <v>0</v>
      </c>
      <c r="W734" s="1"/>
      <c r="X734" s="1"/>
      <c r="Y734" s="1"/>
      <c r="Z734" s="1"/>
      <c r="AA734" s="1"/>
    </row>
    <row r="735">
      <c r="A735" s="2"/>
      <c r="B735" s="2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9">
        <f t="shared" si="7"/>
        <v>0</v>
      </c>
      <c r="W735" s="1"/>
      <c r="X735" s="1"/>
      <c r="Y735" s="1"/>
      <c r="Z735" s="1"/>
      <c r="AA735" s="1"/>
    </row>
    <row r="736">
      <c r="A736" s="2"/>
      <c r="B736" s="2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9">
        <f t="shared" si="7"/>
        <v>0</v>
      </c>
      <c r="W736" s="1"/>
      <c r="X736" s="1"/>
      <c r="Y736" s="1"/>
      <c r="Z736" s="1"/>
      <c r="AA736" s="1"/>
    </row>
    <row r="737">
      <c r="A737" s="2"/>
      <c r="B737" s="2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9">
        <f t="shared" si="7"/>
        <v>0</v>
      </c>
      <c r="W737" s="1"/>
      <c r="X737" s="1"/>
      <c r="Y737" s="1"/>
      <c r="Z737" s="1"/>
      <c r="AA737" s="1"/>
    </row>
    <row r="738">
      <c r="A738" s="2"/>
      <c r="B738" s="2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9">
        <f t="shared" si="7"/>
        <v>0</v>
      </c>
      <c r="W738" s="1"/>
      <c r="X738" s="1"/>
      <c r="Y738" s="1"/>
      <c r="Z738" s="1"/>
      <c r="AA738" s="1"/>
    </row>
    <row r="739">
      <c r="A739" s="2"/>
      <c r="B739" s="2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9">
        <f t="shared" si="7"/>
        <v>0</v>
      </c>
      <c r="W739" s="1"/>
      <c r="X739" s="1"/>
      <c r="Y739" s="1"/>
      <c r="Z739" s="1"/>
      <c r="AA739" s="1"/>
    </row>
    <row r="740">
      <c r="A740" s="2"/>
      <c r="B740" s="2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9">
        <f t="shared" si="7"/>
        <v>0</v>
      </c>
      <c r="W740" s="1"/>
      <c r="X740" s="1"/>
      <c r="Y740" s="1"/>
      <c r="Z740" s="1"/>
      <c r="AA740" s="1"/>
    </row>
    <row r="741">
      <c r="A741" s="2"/>
      <c r="B741" s="2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9">
        <f t="shared" si="7"/>
        <v>0</v>
      </c>
      <c r="W741" s="1"/>
      <c r="X741" s="1"/>
      <c r="Y741" s="1"/>
      <c r="Z741" s="1"/>
      <c r="AA741" s="1"/>
    </row>
    <row r="742">
      <c r="A742" s="2"/>
      <c r="B742" s="2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9">
        <f t="shared" si="7"/>
        <v>0</v>
      </c>
      <c r="W742" s="1"/>
      <c r="X742" s="1"/>
      <c r="Y742" s="1"/>
      <c r="Z742" s="1"/>
      <c r="AA742" s="1"/>
    </row>
    <row r="743">
      <c r="A743" s="2"/>
      <c r="B743" s="2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9">
        <f t="shared" si="7"/>
        <v>0</v>
      </c>
      <c r="W743" s="1"/>
      <c r="X743" s="1"/>
      <c r="Y743" s="1"/>
      <c r="Z743" s="1"/>
      <c r="AA743" s="1"/>
    </row>
    <row r="744">
      <c r="A744" s="2"/>
      <c r="B744" s="2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9">
        <f t="shared" si="7"/>
        <v>0</v>
      </c>
      <c r="W744" s="1"/>
      <c r="X744" s="1"/>
      <c r="Y744" s="1"/>
      <c r="Z744" s="1"/>
      <c r="AA744" s="1"/>
    </row>
    <row r="745">
      <c r="A745" s="2"/>
      <c r="B745" s="2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9">
        <f t="shared" si="7"/>
        <v>0</v>
      </c>
      <c r="W745" s="1"/>
      <c r="X745" s="1"/>
      <c r="Y745" s="1"/>
      <c r="Z745" s="1"/>
      <c r="AA745" s="1"/>
    </row>
    <row r="746">
      <c r="A746" s="2"/>
      <c r="B746" s="2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9">
        <f t="shared" si="7"/>
        <v>0</v>
      </c>
      <c r="W746" s="1"/>
      <c r="X746" s="1"/>
      <c r="Y746" s="1"/>
      <c r="Z746" s="1"/>
      <c r="AA746" s="1"/>
    </row>
    <row r="747">
      <c r="A747" s="2"/>
      <c r="B747" s="2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9">
        <f t="shared" si="7"/>
        <v>0</v>
      </c>
      <c r="W747" s="1"/>
      <c r="X747" s="1"/>
      <c r="Y747" s="1"/>
      <c r="Z747" s="1"/>
      <c r="AA747" s="1"/>
    </row>
    <row r="748">
      <c r="A748" s="2"/>
      <c r="B748" s="2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9">
        <f t="shared" si="7"/>
        <v>0</v>
      </c>
      <c r="W748" s="1"/>
      <c r="X748" s="1"/>
      <c r="Y748" s="1"/>
      <c r="Z748" s="1"/>
      <c r="AA748" s="1"/>
    </row>
    <row r="749">
      <c r="A749" s="2"/>
      <c r="B749" s="2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9">
        <f t="shared" si="7"/>
        <v>0</v>
      </c>
      <c r="W749" s="1"/>
      <c r="X749" s="1"/>
      <c r="Y749" s="1"/>
      <c r="Z749" s="1"/>
      <c r="AA749" s="1"/>
    </row>
    <row r="750">
      <c r="A750" s="2"/>
      <c r="B750" s="2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9">
        <f t="shared" si="7"/>
        <v>0</v>
      </c>
      <c r="W750" s="1"/>
      <c r="X750" s="1"/>
      <c r="Y750" s="1"/>
      <c r="Z750" s="1"/>
      <c r="AA750" s="1"/>
    </row>
    <row r="751">
      <c r="A751" s="2"/>
      <c r="B751" s="2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9">
        <f t="shared" si="7"/>
        <v>0</v>
      </c>
      <c r="W751" s="1"/>
      <c r="X751" s="1"/>
      <c r="Y751" s="1"/>
      <c r="Z751" s="1"/>
      <c r="AA751" s="1"/>
    </row>
    <row r="752">
      <c r="A752" s="2"/>
      <c r="B752" s="2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9">
        <f t="shared" si="7"/>
        <v>0</v>
      </c>
      <c r="W752" s="1"/>
      <c r="X752" s="1"/>
      <c r="Y752" s="1"/>
      <c r="Z752" s="1"/>
      <c r="AA752" s="1"/>
    </row>
    <row r="753">
      <c r="A753" s="2"/>
      <c r="B753" s="2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9">
        <f t="shared" si="7"/>
        <v>0</v>
      </c>
      <c r="W753" s="1"/>
      <c r="X753" s="1"/>
      <c r="Y753" s="1"/>
      <c r="Z753" s="1"/>
      <c r="AA753" s="1"/>
    </row>
    <row r="754">
      <c r="A754" s="2"/>
      <c r="B754" s="2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9">
        <f t="shared" si="7"/>
        <v>0</v>
      </c>
      <c r="W754" s="1"/>
      <c r="X754" s="1"/>
      <c r="Y754" s="1"/>
      <c r="Z754" s="1"/>
      <c r="AA754" s="1"/>
    </row>
    <row r="755">
      <c r="A755" s="2"/>
      <c r="B755" s="2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9">
        <f t="shared" si="7"/>
        <v>0</v>
      </c>
      <c r="W755" s="1"/>
      <c r="X755" s="1"/>
      <c r="Y755" s="1"/>
      <c r="Z755" s="1"/>
      <c r="AA755" s="1"/>
    </row>
    <row r="756">
      <c r="A756" s="2"/>
      <c r="B756" s="2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9">
        <f t="shared" si="7"/>
        <v>0</v>
      </c>
      <c r="W756" s="1"/>
      <c r="X756" s="1"/>
      <c r="Y756" s="1"/>
      <c r="Z756" s="1"/>
      <c r="AA756" s="1"/>
    </row>
    <row r="757">
      <c r="A757" s="2"/>
      <c r="B757" s="2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9">
        <f t="shared" si="7"/>
        <v>0</v>
      </c>
      <c r="W757" s="1"/>
      <c r="X757" s="1"/>
      <c r="Y757" s="1"/>
      <c r="Z757" s="1"/>
      <c r="AA757" s="1"/>
    </row>
    <row r="758">
      <c r="A758" s="2"/>
      <c r="B758" s="2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9">
        <f t="shared" si="7"/>
        <v>0</v>
      </c>
      <c r="W758" s="1"/>
      <c r="X758" s="1"/>
      <c r="Y758" s="1"/>
      <c r="Z758" s="1"/>
      <c r="AA758" s="1"/>
    </row>
    <row r="759">
      <c r="A759" s="2"/>
      <c r="B759" s="2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9">
        <f t="shared" si="7"/>
        <v>0</v>
      </c>
      <c r="W759" s="1"/>
      <c r="X759" s="1"/>
      <c r="Y759" s="1"/>
      <c r="Z759" s="1"/>
      <c r="AA759" s="1"/>
    </row>
    <row r="760">
      <c r="A760" s="2"/>
      <c r="B760" s="2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9">
        <f t="shared" si="7"/>
        <v>0</v>
      </c>
      <c r="W760" s="1"/>
      <c r="X760" s="1"/>
      <c r="Y760" s="1"/>
      <c r="Z760" s="1"/>
      <c r="AA760" s="1"/>
    </row>
    <row r="761">
      <c r="A761" s="2"/>
      <c r="B761" s="2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9">
        <f t="shared" si="7"/>
        <v>0</v>
      </c>
      <c r="W761" s="1"/>
      <c r="X761" s="1"/>
      <c r="Y761" s="1"/>
      <c r="Z761" s="1"/>
      <c r="AA761" s="1"/>
    </row>
    <row r="762">
      <c r="A762" s="2"/>
      <c r="B762" s="2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9">
        <f t="shared" si="7"/>
        <v>0</v>
      </c>
      <c r="W762" s="1"/>
      <c r="X762" s="1"/>
      <c r="Y762" s="1"/>
      <c r="Z762" s="1"/>
      <c r="AA762" s="1"/>
    </row>
    <row r="763">
      <c r="A763" s="2"/>
      <c r="B763" s="2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9">
        <f t="shared" si="7"/>
        <v>0</v>
      </c>
      <c r="W763" s="1"/>
      <c r="X763" s="1"/>
      <c r="Y763" s="1"/>
      <c r="Z763" s="1"/>
      <c r="AA763" s="1"/>
    </row>
    <row r="764">
      <c r="A764" s="2"/>
      <c r="B764" s="2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9">
        <f t="shared" si="7"/>
        <v>0</v>
      </c>
      <c r="W764" s="1"/>
      <c r="X764" s="1"/>
      <c r="Y764" s="1"/>
      <c r="Z764" s="1"/>
      <c r="AA764" s="1"/>
    </row>
    <row r="765">
      <c r="A765" s="2"/>
      <c r="B765" s="2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9">
        <f t="shared" si="7"/>
        <v>0</v>
      </c>
      <c r="W765" s="1"/>
      <c r="X765" s="1"/>
      <c r="Y765" s="1"/>
      <c r="Z765" s="1"/>
      <c r="AA765" s="1"/>
    </row>
    <row r="766">
      <c r="A766" s="2"/>
      <c r="B766" s="2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9">
        <f t="shared" si="7"/>
        <v>0</v>
      </c>
      <c r="W766" s="1"/>
      <c r="X766" s="1"/>
      <c r="Y766" s="1"/>
      <c r="Z766" s="1"/>
      <c r="AA766" s="1"/>
    </row>
    <row r="767">
      <c r="A767" s="2"/>
      <c r="B767" s="2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9">
        <f t="shared" si="7"/>
        <v>0</v>
      </c>
      <c r="W767" s="1"/>
      <c r="X767" s="1"/>
      <c r="Y767" s="1"/>
      <c r="Z767" s="1"/>
      <c r="AA767" s="1"/>
    </row>
    <row r="768">
      <c r="A768" s="2"/>
      <c r="B768" s="2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9">
        <f t="shared" si="7"/>
        <v>0</v>
      </c>
      <c r="W768" s="1"/>
      <c r="X768" s="1"/>
      <c r="Y768" s="1"/>
      <c r="Z768" s="1"/>
      <c r="AA768" s="1"/>
    </row>
    <row r="769">
      <c r="A769" s="2"/>
      <c r="B769" s="2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9">
        <f t="shared" si="7"/>
        <v>0</v>
      </c>
      <c r="W769" s="1"/>
      <c r="X769" s="1"/>
      <c r="Y769" s="1"/>
      <c r="Z769" s="1"/>
      <c r="AA769" s="1"/>
    </row>
    <row r="770">
      <c r="A770" s="2"/>
      <c r="B770" s="2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9">
        <f t="shared" si="7"/>
        <v>0</v>
      </c>
      <c r="W770" s="1"/>
      <c r="X770" s="1"/>
      <c r="Y770" s="1"/>
      <c r="Z770" s="1"/>
      <c r="AA770" s="1"/>
    </row>
    <row r="771">
      <c r="A771" s="2"/>
      <c r="B771" s="2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9">
        <f t="shared" si="7"/>
        <v>0</v>
      </c>
      <c r="W771" s="1"/>
      <c r="X771" s="1"/>
      <c r="Y771" s="1"/>
      <c r="Z771" s="1"/>
      <c r="AA771" s="1"/>
    </row>
    <row r="772">
      <c r="A772" s="2"/>
      <c r="B772" s="2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9">
        <f t="shared" si="7"/>
        <v>0</v>
      </c>
      <c r="W772" s="1"/>
      <c r="X772" s="1"/>
      <c r="Y772" s="1"/>
      <c r="Z772" s="1"/>
      <c r="AA772" s="1"/>
    </row>
    <row r="773">
      <c r="A773" s="2"/>
      <c r="B773" s="2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9">
        <f t="shared" si="7"/>
        <v>0</v>
      </c>
      <c r="W773" s="1"/>
      <c r="X773" s="1"/>
      <c r="Y773" s="1"/>
      <c r="Z773" s="1"/>
      <c r="AA773" s="1"/>
    </row>
    <row r="774">
      <c r="A774" s="2"/>
      <c r="B774" s="2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9">
        <f t="shared" si="7"/>
        <v>0</v>
      </c>
      <c r="W774" s="1"/>
      <c r="X774" s="1"/>
      <c r="Y774" s="1"/>
      <c r="Z774" s="1"/>
      <c r="AA774" s="1"/>
    </row>
    <row r="775">
      <c r="A775" s="2"/>
      <c r="B775" s="2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9">
        <f t="shared" si="7"/>
        <v>0</v>
      </c>
      <c r="W775" s="1"/>
      <c r="X775" s="1"/>
      <c r="Y775" s="1"/>
      <c r="Z775" s="1"/>
      <c r="AA775" s="1"/>
    </row>
    <row r="776">
      <c r="A776" s="2"/>
      <c r="B776" s="2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9">
        <f t="shared" si="7"/>
        <v>0</v>
      </c>
      <c r="W776" s="1"/>
      <c r="X776" s="1"/>
      <c r="Y776" s="1"/>
      <c r="Z776" s="1"/>
      <c r="AA776" s="1"/>
    </row>
    <row r="777">
      <c r="A777" s="2"/>
      <c r="B777" s="2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9">
        <f t="shared" si="7"/>
        <v>0</v>
      </c>
      <c r="W777" s="1"/>
      <c r="X777" s="1"/>
      <c r="Y777" s="1"/>
      <c r="Z777" s="1"/>
      <c r="AA777" s="1"/>
    </row>
    <row r="778">
      <c r="A778" s="2"/>
      <c r="B778" s="2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9">
        <f t="shared" si="7"/>
        <v>0</v>
      </c>
      <c r="W778" s="1"/>
      <c r="X778" s="1"/>
      <c r="Y778" s="1"/>
      <c r="Z778" s="1"/>
      <c r="AA778" s="1"/>
    </row>
    <row r="779">
      <c r="A779" s="2"/>
      <c r="B779" s="2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9">
        <f t="shared" si="7"/>
        <v>0</v>
      </c>
      <c r="W779" s="1"/>
      <c r="X779" s="1"/>
      <c r="Y779" s="1"/>
      <c r="Z779" s="1"/>
      <c r="AA779" s="1"/>
    </row>
    <row r="780">
      <c r="A780" s="2"/>
      <c r="B780" s="2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9">
        <f t="shared" si="7"/>
        <v>0</v>
      </c>
      <c r="W780" s="1"/>
      <c r="X780" s="1"/>
      <c r="Y780" s="1"/>
      <c r="Z780" s="1"/>
      <c r="AA780" s="1"/>
    </row>
    <row r="781">
      <c r="A781" s="2"/>
      <c r="B781" s="2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9">
        <f t="shared" si="7"/>
        <v>0</v>
      </c>
      <c r="W781" s="1"/>
      <c r="X781" s="1"/>
      <c r="Y781" s="1"/>
      <c r="Z781" s="1"/>
      <c r="AA781" s="1"/>
    </row>
    <row r="782">
      <c r="A782" s="2"/>
      <c r="B782" s="2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9">
        <f t="shared" si="7"/>
        <v>0</v>
      </c>
      <c r="W782" s="1"/>
      <c r="X782" s="1"/>
      <c r="Y782" s="1"/>
      <c r="Z782" s="1"/>
      <c r="AA782" s="1"/>
    </row>
    <row r="783">
      <c r="A783" s="2"/>
      <c r="B783" s="2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9">
        <f t="shared" si="7"/>
        <v>0</v>
      </c>
      <c r="W783" s="1"/>
      <c r="X783" s="1"/>
      <c r="Y783" s="1"/>
      <c r="Z783" s="1"/>
      <c r="AA783" s="1"/>
    </row>
    <row r="784">
      <c r="A784" s="2"/>
      <c r="B784" s="2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9">
        <f t="shared" si="7"/>
        <v>0</v>
      </c>
      <c r="W784" s="1"/>
      <c r="X784" s="1"/>
      <c r="Y784" s="1"/>
      <c r="Z784" s="1"/>
      <c r="AA784" s="1"/>
    </row>
    <row r="785">
      <c r="A785" s="2"/>
      <c r="B785" s="2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9">
        <f t="shared" si="7"/>
        <v>0</v>
      </c>
      <c r="W785" s="1"/>
      <c r="X785" s="1"/>
      <c r="Y785" s="1"/>
      <c r="Z785" s="1"/>
      <c r="AA785" s="1"/>
    </row>
    <row r="786">
      <c r="A786" s="2"/>
      <c r="B786" s="2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9">
        <f t="shared" si="7"/>
        <v>0</v>
      </c>
      <c r="W786" s="1"/>
      <c r="X786" s="1"/>
      <c r="Y786" s="1"/>
      <c r="Z786" s="1"/>
      <c r="AA786" s="1"/>
    </row>
    <row r="787">
      <c r="A787" s="2"/>
      <c r="B787" s="2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9">
        <f t="shared" si="7"/>
        <v>0</v>
      </c>
      <c r="W787" s="1"/>
      <c r="X787" s="1"/>
      <c r="Y787" s="1"/>
      <c r="Z787" s="1"/>
      <c r="AA787" s="1"/>
    </row>
    <row r="788">
      <c r="A788" s="2"/>
      <c r="B788" s="2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9">
        <f t="shared" si="7"/>
        <v>0</v>
      </c>
      <c r="W788" s="1"/>
      <c r="X788" s="1"/>
      <c r="Y788" s="1"/>
      <c r="Z788" s="1"/>
      <c r="AA788" s="1"/>
    </row>
    <row r="789">
      <c r="A789" s="2"/>
      <c r="B789" s="2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9">
        <f t="shared" si="7"/>
        <v>0</v>
      </c>
      <c r="W789" s="1"/>
      <c r="X789" s="1"/>
      <c r="Y789" s="1"/>
      <c r="Z789" s="1"/>
      <c r="AA789" s="1"/>
    </row>
    <row r="790">
      <c r="A790" s="2"/>
      <c r="B790" s="2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9">
        <f t="shared" si="7"/>
        <v>0</v>
      </c>
      <c r="W790" s="1"/>
      <c r="X790" s="1"/>
      <c r="Y790" s="1"/>
      <c r="Z790" s="1"/>
      <c r="AA790" s="1"/>
    </row>
    <row r="791">
      <c r="A791" s="2"/>
      <c r="B791" s="2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9">
        <f t="shared" si="7"/>
        <v>0</v>
      </c>
      <c r="W791" s="1"/>
      <c r="X791" s="1"/>
      <c r="Y791" s="1"/>
      <c r="Z791" s="1"/>
      <c r="AA791" s="1"/>
    </row>
    <row r="792">
      <c r="A792" s="2"/>
      <c r="B792" s="2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9">
        <f t="shared" si="7"/>
        <v>0</v>
      </c>
      <c r="W792" s="1"/>
      <c r="X792" s="1"/>
      <c r="Y792" s="1"/>
      <c r="Z792" s="1"/>
      <c r="AA792" s="1"/>
    </row>
    <row r="793">
      <c r="A793" s="2"/>
      <c r="B793" s="2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9">
        <f t="shared" si="7"/>
        <v>0</v>
      </c>
      <c r="W793" s="1"/>
      <c r="X793" s="1"/>
      <c r="Y793" s="1"/>
      <c r="Z793" s="1"/>
      <c r="AA793" s="1"/>
    </row>
    <row r="794">
      <c r="A794" s="2"/>
      <c r="B794" s="2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9">
        <f t="shared" si="7"/>
        <v>0</v>
      </c>
      <c r="W794" s="1"/>
      <c r="X794" s="1"/>
      <c r="Y794" s="1"/>
      <c r="Z794" s="1"/>
      <c r="AA794" s="1"/>
    </row>
    <row r="795">
      <c r="A795" s="2"/>
      <c r="B795" s="2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9">
        <f t="shared" si="7"/>
        <v>0</v>
      </c>
      <c r="W795" s="1"/>
      <c r="X795" s="1"/>
      <c r="Y795" s="1"/>
      <c r="Z795" s="1"/>
      <c r="AA795" s="1"/>
    </row>
    <row r="796">
      <c r="A796" s="2"/>
      <c r="B796" s="2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9">
        <f t="shared" si="7"/>
        <v>0</v>
      </c>
      <c r="W796" s="1"/>
      <c r="X796" s="1"/>
      <c r="Y796" s="1"/>
      <c r="Z796" s="1"/>
      <c r="AA796" s="1"/>
    </row>
    <row r="797">
      <c r="A797" s="2"/>
      <c r="B797" s="2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9">
        <f t="shared" si="7"/>
        <v>0</v>
      </c>
      <c r="W797" s="1"/>
      <c r="X797" s="1"/>
      <c r="Y797" s="1"/>
      <c r="Z797" s="1"/>
      <c r="AA797" s="1"/>
    </row>
    <row r="798">
      <c r="A798" s="2"/>
      <c r="B798" s="2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9">
        <f t="shared" si="7"/>
        <v>0</v>
      </c>
      <c r="W798" s="1"/>
      <c r="X798" s="1"/>
      <c r="Y798" s="1"/>
      <c r="Z798" s="1"/>
      <c r="AA798" s="1"/>
    </row>
    <row r="799">
      <c r="A799" s="2"/>
      <c r="B799" s="2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9">
        <f t="shared" si="7"/>
        <v>0</v>
      </c>
      <c r="W799" s="1"/>
      <c r="X799" s="1"/>
      <c r="Y799" s="1"/>
      <c r="Z799" s="1"/>
      <c r="AA799" s="1"/>
    </row>
    <row r="800">
      <c r="A800" s="2"/>
      <c r="B800" s="2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9">
        <f t="shared" si="7"/>
        <v>0</v>
      </c>
      <c r="W800" s="1"/>
      <c r="X800" s="1"/>
      <c r="Y800" s="1"/>
      <c r="Z800" s="1"/>
      <c r="AA800" s="1"/>
    </row>
    <row r="801">
      <c r="A801" s="2"/>
      <c r="B801" s="2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9">
        <f t="shared" si="7"/>
        <v>0</v>
      </c>
      <c r="W801" s="1"/>
      <c r="X801" s="1"/>
      <c r="Y801" s="1"/>
      <c r="Z801" s="1"/>
      <c r="AA801" s="1"/>
    </row>
    <row r="802">
      <c r="A802" s="2"/>
      <c r="B802" s="2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9">
        <f t="shared" si="7"/>
        <v>0</v>
      </c>
      <c r="W802" s="1"/>
      <c r="X802" s="1"/>
      <c r="Y802" s="1"/>
      <c r="Z802" s="1"/>
      <c r="AA802" s="1"/>
    </row>
    <row r="803">
      <c r="A803" s="2"/>
      <c r="B803" s="2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9">
        <f t="shared" si="7"/>
        <v>0</v>
      </c>
      <c r="W803" s="1"/>
      <c r="X803" s="1"/>
      <c r="Y803" s="1"/>
      <c r="Z803" s="1"/>
      <c r="AA803" s="1"/>
    </row>
    <row r="804">
      <c r="A804" s="2"/>
      <c r="B804" s="2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9">
        <f t="shared" si="7"/>
        <v>0</v>
      </c>
      <c r="W804" s="1"/>
      <c r="X804" s="1"/>
      <c r="Y804" s="1"/>
      <c r="Z804" s="1"/>
      <c r="AA804" s="1"/>
    </row>
    <row r="805">
      <c r="A805" s="2"/>
      <c r="B805" s="2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9">
        <f t="shared" si="7"/>
        <v>0</v>
      </c>
      <c r="W805" s="1"/>
      <c r="X805" s="1"/>
      <c r="Y805" s="1"/>
      <c r="Z805" s="1"/>
      <c r="AA805" s="1"/>
    </row>
    <row r="806">
      <c r="A806" s="2"/>
      <c r="B806" s="2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9">
        <f t="shared" si="7"/>
        <v>0</v>
      </c>
      <c r="W806" s="1"/>
      <c r="X806" s="1"/>
      <c r="Y806" s="1"/>
      <c r="Z806" s="1"/>
      <c r="AA806" s="1"/>
    </row>
    <row r="807">
      <c r="A807" s="2"/>
      <c r="B807" s="2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9">
        <f t="shared" si="7"/>
        <v>0</v>
      </c>
      <c r="W807" s="1"/>
      <c r="X807" s="1"/>
      <c r="Y807" s="1"/>
      <c r="Z807" s="1"/>
      <c r="AA807" s="1"/>
    </row>
    <row r="808">
      <c r="A808" s="2"/>
      <c r="B808" s="2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9">
        <f t="shared" si="7"/>
        <v>0</v>
      </c>
      <c r="W808" s="1"/>
      <c r="X808" s="1"/>
      <c r="Y808" s="1"/>
      <c r="Z808" s="1"/>
      <c r="AA808" s="1"/>
    </row>
    <row r="809">
      <c r="A809" s="2"/>
      <c r="B809" s="2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9">
        <f t="shared" si="7"/>
        <v>0</v>
      </c>
      <c r="W809" s="1"/>
      <c r="X809" s="1"/>
      <c r="Y809" s="1"/>
      <c r="Z809" s="1"/>
      <c r="AA809" s="1"/>
    </row>
    <row r="810">
      <c r="A810" s="2"/>
      <c r="B810" s="2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9">
        <f t="shared" si="7"/>
        <v>0</v>
      </c>
      <c r="W810" s="1"/>
      <c r="X810" s="1"/>
      <c r="Y810" s="1"/>
      <c r="Z810" s="1"/>
      <c r="AA810" s="1"/>
    </row>
    <row r="811">
      <c r="A811" s="2"/>
      <c r="B811" s="2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9">
        <f t="shared" si="7"/>
        <v>0</v>
      </c>
      <c r="W811" s="1"/>
      <c r="X811" s="1"/>
      <c r="Y811" s="1"/>
      <c r="Z811" s="1"/>
      <c r="AA811" s="1"/>
    </row>
    <row r="812">
      <c r="A812" s="2"/>
      <c r="B812" s="2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9">
        <f t="shared" si="7"/>
        <v>0</v>
      </c>
      <c r="W812" s="1"/>
      <c r="X812" s="1"/>
      <c r="Y812" s="1"/>
      <c r="Z812" s="1"/>
      <c r="AA812" s="1"/>
    </row>
    <row r="813">
      <c r="A813" s="2"/>
      <c r="B813" s="2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9">
        <f t="shared" si="7"/>
        <v>0</v>
      </c>
      <c r="W813" s="1"/>
      <c r="X813" s="1"/>
      <c r="Y813" s="1"/>
      <c r="Z813" s="1"/>
      <c r="AA813" s="1"/>
    </row>
    <row r="814">
      <c r="A814" s="2"/>
      <c r="B814" s="2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9">
        <f t="shared" si="7"/>
        <v>0</v>
      </c>
      <c r="W814" s="1"/>
      <c r="X814" s="1"/>
      <c r="Y814" s="1"/>
      <c r="Z814" s="1"/>
      <c r="AA814" s="1"/>
    </row>
    <row r="815">
      <c r="A815" s="2"/>
      <c r="B815" s="2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9">
        <f t="shared" si="7"/>
        <v>0</v>
      </c>
      <c r="W815" s="1"/>
      <c r="X815" s="1"/>
      <c r="Y815" s="1"/>
      <c r="Z815" s="1"/>
      <c r="AA815" s="1"/>
    </row>
    <row r="816">
      <c r="A816" s="2"/>
      <c r="B816" s="2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9">
        <f t="shared" si="7"/>
        <v>0</v>
      </c>
      <c r="W816" s="1"/>
      <c r="X816" s="1"/>
      <c r="Y816" s="1"/>
      <c r="Z816" s="1"/>
      <c r="AA816" s="1"/>
    </row>
    <row r="817">
      <c r="A817" s="2"/>
      <c r="B817" s="2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9">
        <f t="shared" si="7"/>
        <v>0</v>
      </c>
      <c r="W817" s="1"/>
      <c r="X817" s="1"/>
      <c r="Y817" s="1"/>
      <c r="Z817" s="1"/>
      <c r="AA817" s="1"/>
    </row>
    <row r="818">
      <c r="A818" s="2"/>
      <c r="B818" s="2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9">
        <f t="shared" si="7"/>
        <v>0</v>
      </c>
      <c r="W818" s="1"/>
      <c r="X818" s="1"/>
      <c r="Y818" s="1"/>
      <c r="Z818" s="1"/>
      <c r="AA818" s="1"/>
    </row>
    <row r="819">
      <c r="A819" s="2"/>
      <c r="B819" s="2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9">
        <f t="shared" si="7"/>
        <v>0</v>
      </c>
      <c r="W819" s="1"/>
      <c r="X819" s="1"/>
      <c r="Y819" s="1"/>
      <c r="Z819" s="1"/>
      <c r="AA819" s="1"/>
    </row>
    <row r="820">
      <c r="A820" s="2"/>
      <c r="B820" s="2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9">
        <f t="shared" si="7"/>
        <v>0</v>
      </c>
      <c r="W820" s="1"/>
      <c r="X820" s="1"/>
      <c r="Y820" s="1"/>
      <c r="Z820" s="1"/>
      <c r="AA820" s="1"/>
    </row>
    <row r="821">
      <c r="A821" s="2"/>
      <c r="B821" s="2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9">
        <f t="shared" si="7"/>
        <v>0</v>
      </c>
      <c r="W821" s="1"/>
      <c r="X821" s="1"/>
      <c r="Y821" s="1"/>
      <c r="Z821" s="1"/>
      <c r="AA821" s="1"/>
    </row>
    <row r="822">
      <c r="A822" s="2"/>
      <c r="B822" s="2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9">
        <f t="shared" si="7"/>
        <v>0</v>
      </c>
      <c r="W822" s="1"/>
      <c r="X822" s="1"/>
      <c r="Y822" s="1"/>
      <c r="Z822" s="1"/>
      <c r="AA822" s="1"/>
    </row>
    <row r="823">
      <c r="A823" s="2"/>
      <c r="B823" s="2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9">
        <f t="shared" si="7"/>
        <v>0</v>
      </c>
      <c r="W823" s="1"/>
      <c r="X823" s="1"/>
      <c r="Y823" s="1"/>
      <c r="Z823" s="1"/>
      <c r="AA823" s="1"/>
    </row>
    <row r="824">
      <c r="A824" s="2"/>
      <c r="B824" s="2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9">
        <f t="shared" si="7"/>
        <v>0</v>
      </c>
      <c r="W824" s="1"/>
      <c r="X824" s="1"/>
      <c r="Y824" s="1"/>
      <c r="Z824" s="1"/>
      <c r="AA824" s="1"/>
    </row>
    <row r="825">
      <c r="A825" s="2"/>
      <c r="B825" s="2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9">
        <f t="shared" si="7"/>
        <v>0</v>
      </c>
      <c r="W825" s="1"/>
      <c r="X825" s="1"/>
      <c r="Y825" s="1"/>
      <c r="Z825" s="1"/>
      <c r="AA825" s="1"/>
    </row>
    <row r="826">
      <c r="A826" s="2"/>
      <c r="B826" s="2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9">
        <f t="shared" si="7"/>
        <v>0</v>
      </c>
      <c r="W826" s="1"/>
      <c r="X826" s="1"/>
      <c r="Y826" s="1"/>
      <c r="Z826" s="1"/>
      <c r="AA826" s="1"/>
    </row>
    <row r="827">
      <c r="A827" s="2"/>
      <c r="B827" s="2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9">
        <f t="shared" si="7"/>
        <v>0</v>
      </c>
      <c r="W827" s="1"/>
      <c r="X827" s="1"/>
      <c r="Y827" s="1"/>
      <c r="Z827" s="1"/>
      <c r="AA827" s="1"/>
    </row>
    <row r="828">
      <c r="A828" s="2"/>
      <c r="B828" s="2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9">
        <f t="shared" si="7"/>
        <v>0</v>
      </c>
      <c r="W828" s="1"/>
      <c r="X828" s="1"/>
      <c r="Y828" s="1"/>
      <c r="Z828" s="1"/>
      <c r="AA828" s="1"/>
    </row>
    <row r="829">
      <c r="A829" s="2"/>
      <c r="B829" s="2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9">
        <f t="shared" si="7"/>
        <v>0</v>
      </c>
      <c r="W829" s="1"/>
      <c r="X829" s="1"/>
      <c r="Y829" s="1"/>
      <c r="Z829" s="1"/>
      <c r="AA829" s="1"/>
    </row>
    <row r="830">
      <c r="A830" s="2"/>
      <c r="B830" s="2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9">
        <f t="shared" si="7"/>
        <v>0</v>
      </c>
      <c r="W830" s="1"/>
      <c r="X830" s="1"/>
      <c r="Y830" s="1"/>
      <c r="Z830" s="1"/>
      <c r="AA830" s="1"/>
    </row>
    <row r="831">
      <c r="A831" s="2"/>
      <c r="B831" s="2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9">
        <f t="shared" si="7"/>
        <v>0</v>
      </c>
      <c r="W831" s="1"/>
      <c r="X831" s="1"/>
      <c r="Y831" s="1"/>
      <c r="Z831" s="1"/>
      <c r="AA831" s="1"/>
    </row>
    <row r="832">
      <c r="A832" s="2"/>
      <c r="B832" s="2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9">
        <f t="shared" si="7"/>
        <v>0</v>
      </c>
      <c r="W832" s="1"/>
      <c r="X832" s="1"/>
      <c r="Y832" s="1"/>
      <c r="Z832" s="1"/>
      <c r="AA832" s="1"/>
    </row>
    <row r="833">
      <c r="A833" s="2"/>
      <c r="B833" s="2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9">
        <f t="shared" si="7"/>
        <v>0</v>
      </c>
      <c r="W833" s="1"/>
      <c r="X833" s="1"/>
      <c r="Y833" s="1"/>
      <c r="Z833" s="1"/>
      <c r="AA833" s="1"/>
    </row>
    <row r="834">
      <c r="A834" s="2"/>
      <c r="B834" s="2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9">
        <f t="shared" si="7"/>
        <v>0</v>
      </c>
      <c r="W834" s="1"/>
      <c r="X834" s="1"/>
      <c r="Y834" s="1"/>
      <c r="Z834" s="1"/>
      <c r="AA834" s="1"/>
    </row>
    <row r="835">
      <c r="A835" s="2"/>
      <c r="B835" s="2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9">
        <f t="shared" si="7"/>
        <v>0</v>
      </c>
      <c r="W835" s="1"/>
      <c r="X835" s="1"/>
      <c r="Y835" s="1"/>
      <c r="Z835" s="1"/>
      <c r="AA835" s="1"/>
    </row>
    <row r="836">
      <c r="A836" s="2"/>
      <c r="B836" s="2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9">
        <f t="shared" si="7"/>
        <v>0</v>
      </c>
      <c r="W836" s="1"/>
      <c r="X836" s="1"/>
      <c r="Y836" s="1"/>
      <c r="Z836" s="1"/>
      <c r="AA836" s="1"/>
    </row>
    <row r="837">
      <c r="A837" s="2"/>
      <c r="B837" s="2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9">
        <f t="shared" si="7"/>
        <v>0</v>
      </c>
      <c r="W837" s="1"/>
      <c r="X837" s="1"/>
      <c r="Y837" s="1"/>
      <c r="Z837" s="1"/>
      <c r="AA837" s="1"/>
    </row>
    <row r="838">
      <c r="A838" s="2"/>
      <c r="B838" s="2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9">
        <f t="shared" si="7"/>
        <v>0</v>
      </c>
      <c r="W838" s="1"/>
      <c r="X838" s="1"/>
      <c r="Y838" s="1"/>
      <c r="Z838" s="1"/>
      <c r="AA838" s="1"/>
    </row>
    <row r="839">
      <c r="A839" s="2"/>
      <c r="B839" s="2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9">
        <f t="shared" si="7"/>
        <v>0</v>
      </c>
      <c r="W839" s="1"/>
      <c r="X839" s="1"/>
      <c r="Y839" s="1"/>
      <c r="Z839" s="1"/>
      <c r="AA839" s="1"/>
    </row>
    <row r="840">
      <c r="A840" s="2"/>
      <c r="B840" s="2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9">
        <f t="shared" si="7"/>
        <v>0</v>
      </c>
      <c r="W840" s="1"/>
      <c r="X840" s="1"/>
      <c r="Y840" s="1"/>
      <c r="Z840" s="1"/>
      <c r="AA840" s="1"/>
    </row>
    <row r="841">
      <c r="A841" s="2"/>
      <c r="B841" s="2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9">
        <f t="shared" si="7"/>
        <v>0</v>
      </c>
      <c r="W841" s="1"/>
      <c r="X841" s="1"/>
      <c r="Y841" s="1"/>
      <c r="Z841" s="1"/>
      <c r="AA841" s="1"/>
    </row>
    <row r="842">
      <c r="A842" s="2"/>
      <c r="B842" s="2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9">
        <f t="shared" si="7"/>
        <v>0</v>
      </c>
      <c r="W842" s="1"/>
      <c r="X842" s="1"/>
      <c r="Y842" s="1"/>
      <c r="Z842" s="1"/>
      <c r="AA842" s="1"/>
    </row>
    <row r="843">
      <c r="A843" s="2"/>
      <c r="B843" s="2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9">
        <f t="shared" si="7"/>
        <v>0</v>
      </c>
      <c r="W843" s="1"/>
      <c r="X843" s="1"/>
      <c r="Y843" s="1"/>
      <c r="Z843" s="1"/>
      <c r="AA843" s="1"/>
    </row>
    <row r="844">
      <c r="A844" s="2"/>
      <c r="B844" s="2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9">
        <f t="shared" si="7"/>
        <v>0</v>
      </c>
      <c r="W844" s="1"/>
      <c r="X844" s="1"/>
      <c r="Y844" s="1"/>
      <c r="Z844" s="1"/>
      <c r="AA844" s="1"/>
    </row>
    <row r="845">
      <c r="A845" s="2"/>
      <c r="B845" s="2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9">
        <f t="shared" si="7"/>
        <v>0</v>
      </c>
      <c r="W845" s="1"/>
      <c r="X845" s="1"/>
      <c r="Y845" s="1"/>
      <c r="Z845" s="1"/>
      <c r="AA845" s="1"/>
    </row>
    <row r="846">
      <c r="A846" s="2"/>
      <c r="B846" s="2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9">
        <f t="shared" si="7"/>
        <v>0</v>
      </c>
      <c r="W846" s="1"/>
      <c r="X846" s="1"/>
      <c r="Y846" s="1"/>
      <c r="Z846" s="1"/>
      <c r="AA846" s="1"/>
    </row>
    <row r="847">
      <c r="A847" s="2"/>
      <c r="B847" s="2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9">
        <f t="shared" si="7"/>
        <v>0</v>
      </c>
      <c r="W847" s="1"/>
      <c r="X847" s="1"/>
      <c r="Y847" s="1"/>
      <c r="Z847" s="1"/>
      <c r="AA847" s="1"/>
    </row>
    <row r="848">
      <c r="A848" s="2"/>
      <c r="B848" s="2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9">
        <f t="shared" si="7"/>
        <v>0</v>
      </c>
      <c r="W848" s="1"/>
      <c r="X848" s="1"/>
      <c r="Y848" s="1"/>
      <c r="Z848" s="1"/>
      <c r="AA848" s="1"/>
    </row>
    <row r="849">
      <c r="A849" s="2"/>
      <c r="B849" s="2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9">
        <f t="shared" si="7"/>
        <v>0</v>
      </c>
      <c r="W849" s="1"/>
      <c r="X849" s="1"/>
      <c r="Y849" s="1"/>
      <c r="Z849" s="1"/>
      <c r="AA849" s="1"/>
    </row>
    <row r="850">
      <c r="A850" s="2"/>
      <c r="B850" s="2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9">
        <f t="shared" si="7"/>
        <v>0</v>
      </c>
      <c r="W850" s="1"/>
      <c r="X850" s="1"/>
      <c r="Y850" s="1"/>
      <c r="Z850" s="1"/>
      <c r="AA850" s="1"/>
    </row>
    <row r="851">
      <c r="A851" s="2"/>
      <c r="B851" s="2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9">
        <f t="shared" si="7"/>
        <v>0</v>
      </c>
      <c r="W851" s="1"/>
      <c r="X851" s="1"/>
      <c r="Y851" s="1"/>
      <c r="Z851" s="1"/>
      <c r="AA851" s="1"/>
    </row>
    <row r="852">
      <c r="A852" s="2"/>
      <c r="B852" s="2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9">
        <f t="shared" si="7"/>
        <v>0</v>
      </c>
      <c r="W852" s="1"/>
      <c r="X852" s="1"/>
      <c r="Y852" s="1"/>
      <c r="Z852" s="1"/>
      <c r="AA852" s="1"/>
    </row>
    <row r="853">
      <c r="A853" s="2"/>
      <c r="B853" s="2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9">
        <f t="shared" si="7"/>
        <v>0</v>
      </c>
      <c r="W853" s="1"/>
      <c r="X853" s="1"/>
      <c r="Y853" s="1"/>
      <c r="Z853" s="1"/>
      <c r="AA853" s="1"/>
    </row>
    <row r="854">
      <c r="A854" s="2"/>
      <c r="B854" s="2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9">
        <f t="shared" si="7"/>
        <v>0</v>
      </c>
      <c r="W854" s="1"/>
      <c r="X854" s="1"/>
      <c r="Y854" s="1"/>
      <c r="Z854" s="1"/>
      <c r="AA854" s="1"/>
    </row>
    <row r="855">
      <c r="A855" s="2"/>
      <c r="B855" s="2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9">
        <f t="shared" si="7"/>
        <v>0</v>
      </c>
      <c r="W855" s="1"/>
      <c r="X855" s="1"/>
      <c r="Y855" s="1"/>
      <c r="Z855" s="1"/>
      <c r="AA855" s="1"/>
    </row>
    <row r="856">
      <c r="A856" s="2"/>
      <c r="B856" s="2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9">
        <f t="shared" si="7"/>
        <v>0</v>
      </c>
      <c r="W856" s="1"/>
      <c r="X856" s="1"/>
      <c r="Y856" s="1"/>
      <c r="Z856" s="1"/>
      <c r="AA856" s="1"/>
    </row>
    <row r="857">
      <c r="A857" s="2"/>
      <c r="B857" s="2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9">
        <f t="shared" si="7"/>
        <v>0</v>
      </c>
      <c r="W857" s="1"/>
      <c r="X857" s="1"/>
      <c r="Y857" s="1"/>
      <c r="Z857" s="1"/>
      <c r="AA857" s="1"/>
    </row>
    <row r="858">
      <c r="A858" s="2"/>
      <c r="B858" s="2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9">
        <f t="shared" si="7"/>
        <v>0</v>
      </c>
      <c r="W858" s="1"/>
      <c r="X858" s="1"/>
      <c r="Y858" s="1"/>
      <c r="Z858" s="1"/>
      <c r="AA858" s="1"/>
    </row>
    <row r="859">
      <c r="A859" s="2"/>
      <c r="B859" s="2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9">
        <f t="shared" si="7"/>
        <v>0</v>
      </c>
      <c r="W859" s="1"/>
      <c r="X859" s="1"/>
      <c r="Y859" s="1"/>
      <c r="Z859" s="1"/>
      <c r="AA859" s="1"/>
    </row>
    <row r="860">
      <c r="A860" s="2"/>
      <c r="B860" s="2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9">
        <f t="shared" si="7"/>
        <v>0</v>
      </c>
      <c r="W860" s="1"/>
      <c r="X860" s="1"/>
      <c r="Y860" s="1"/>
      <c r="Z860" s="1"/>
      <c r="AA860" s="1"/>
    </row>
    <row r="861">
      <c r="A861" s="2"/>
      <c r="B861" s="2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9">
        <f t="shared" si="7"/>
        <v>0</v>
      </c>
      <c r="W861" s="1"/>
      <c r="X861" s="1"/>
      <c r="Y861" s="1"/>
      <c r="Z861" s="1"/>
      <c r="AA861" s="1"/>
    </row>
    <row r="862">
      <c r="A862" s="2"/>
      <c r="B862" s="2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9">
        <f t="shared" si="7"/>
        <v>0</v>
      </c>
      <c r="W862" s="1"/>
      <c r="X862" s="1"/>
      <c r="Y862" s="1"/>
      <c r="Z862" s="1"/>
      <c r="AA862" s="1"/>
    </row>
    <row r="863">
      <c r="A863" s="2"/>
      <c r="B863" s="2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9">
        <f t="shared" si="7"/>
        <v>0</v>
      </c>
      <c r="W863" s="1"/>
      <c r="X863" s="1"/>
      <c r="Y863" s="1"/>
      <c r="Z863" s="1"/>
      <c r="AA863" s="1"/>
    </row>
    <row r="864">
      <c r="A864" s="2"/>
      <c r="B864" s="2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9">
        <f t="shared" si="7"/>
        <v>0</v>
      </c>
      <c r="W864" s="1"/>
      <c r="X864" s="1"/>
      <c r="Y864" s="1"/>
      <c r="Z864" s="1"/>
      <c r="AA864" s="1"/>
    </row>
    <row r="865">
      <c r="A865" s="2"/>
      <c r="B865" s="2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9">
        <f t="shared" si="7"/>
        <v>0</v>
      </c>
      <c r="W865" s="1"/>
      <c r="X865" s="1"/>
      <c r="Y865" s="1"/>
      <c r="Z865" s="1"/>
      <c r="AA865" s="1"/>
    </row>
    <row r="866">
      <c r="A866" s="2"/>
      <c r="B866" s="2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9">
        <f t="shared" si="7"/>
        <v>0</v>
      </c>
      <c r="W866" s="1"/>
      <c r="X866" s="1"/>
      <c r="Y866" s="1"/>
      <c r="Z866" s="1"/>
      <c r="AA866" s="1"/>
    </row>
    <row r="867">
      <c r="A867" s="2"/>
      <c r="B867" s="2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9">
        <f t="shared" si="7"/>
        <v>0</v>
      </c>
      <c r="W867" s="1"/>
      <c r="X867" s="1"/>
      <c r="Y867" s="1"/>
      <c r="Z867" s="1"/>
      <c r="AA867" s="1"/>
    </row>
    <row r="868">
      <c r="A868" s="2"/>
      <c r="B868" s="2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9">
        <f t="shared" si="7"/>
        <v>0</v>
      </c>
      <c r="W868" s="1"/>
      <c r="X868" s="1"/>
      <c r="Y868" s="1"/>
      <c r="Z868" s="1"/>
      <c r="AA868" s="1"/>
    </row>
    <row r="869">
      <c r="A869" s="2"/>
      <c r="B869" s="2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9">
        <f t="shared" si="7"/>
        <v>0</v>
      </c>
      <c r="W869" s="1"/>
      <c r="X869" s="1"/>
      <c r="Y869" s="1"/>
      <c r="Z869" s="1"/>
      <c r="AA869" s="1"/>
    </row>
    <row r="870">
      <c r="A870" s="2"/>
      <c r="B870" s="2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9">
        <f t="shared" si="7"/>
        <v>0</v>
      </c>
      <c r="W870" s="1"/>
      <c r="X870" s="1"/>
      <c r="Y870" s="1"/>
      <c r="Z870" s="1"/>
      <c r="AA870" s="1"/>
    </row>
    <row r="871">
      <c r="A871" s="2"/>
      <c r="B871" s="2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9">
        <f t="shared" si="7"/>
        <v>0</v>
      </c>
      <c r="W871" s="1"/>
      <c r="X871" s="1"/>
      <c r="Y871" s="1"/>
      <c r="Z871" s="1"/>
      <c r="AA871" s="1"/>
    </row>
    <row r="872">
      <c r="A872" s="2"/>
      <c r="B872" s="2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9">
        <f t="shared" si="7"/>
        <v>0</v>
      </c>
      <c r="W872" s="1"/>
      <c r="X872" s="1"/>
      <c r="Y872" s="1"/>
      <c r="Z872" s="1"/>
      <c r="AA872" s="1"/>
    </row>
    <row r="873">
      <c r="A873" s="2"/>
      <c r="B873" s="2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9">
        <f t="shared" si="7"/>
        <v>0</v>
      </c>
      <c r="W873" s="1"/>
      <c r="X873" s="1"/>
      <c r="Y873" s="1"/>
      <c r="Z873" s="1"/>
      <c r="AA873" s="1"/>
    </row>
    <row r="874">
      <c r="A874" s="2"/>
      <c r="B874" s="2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9">
        <f t="shared" si="7"/>
        <v>0</v>
      </c>
      <c r="W874" s="1"/>
      <c r="X874" s="1"/>
      <c r="Y874" s="1"/>
      <c r="Z874" s="1"/>
      <c r="AA874" s="1"/>
    </row>
    <row r="875">
      <c r="A875" s="2"/>
      <c r="B875" s="2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9">
        <f t="shared" si="7"/>
        <v>0</v>
      </c>
      <c r="W875" s="1"/>
      <c r="X875" s="1"/>
      <c r="Y875" s="1"/>
      <c r="Z875" s="1"/>
      <c r="AA875" s="1"/>
    </row>
    <row r="876">
      <c r="A876" s="2"/>
      <c r="B876" s="2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9">
        <f t="shared" si="7"/>
        <v>0</v>
      </c>
      <c r="W876" s="1"/>
      <c r="X876" s="1"/>
      <c r="Y876" s="1"/>
      <c r="Z876" s="1"/>
      <c r="AA876" s="1"/>
    </row>
    <row r="877">
      <c r="A877" s="2"/>
      <c r="B877" s="2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9">
        <f t="shared" si="7"/>
        <v>0</v>
      </c>
      <c r="W877" s="1"/>
      <c r="X877" s="1"/>
      <c r="Y877" s="1"/>
      <c r="Z877" s="1"/>
      <c r="AA877" s="1"/>
    </row>
    <row r="878">
      <c r="A878" s="2"/>
      <c r="B878" s="2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9">
        <f t="shared" si="7"/>
        <v>0</v>
      </c>
      <c r="W878" s="1"/>
      <c r="X878" s="1"/>
      <c r="Y878" s="1"/>
      <c r="Z878" s="1"/>
      <c r="AA878" s="1"/>
    </row>
    <row r="879">
      <c r="A879" s="2"/>
      <c r="B879" s="2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9">
        <f t="shared" si="7"/>
        <v>0</v>
      </c>
      <c r="W879" s="1"/>
      <c r="X879" s="1"/>
      <c r="Y879" s="1"/>
      <c r="Z879" s="1"/>
      <c r="AA879" s="1"/>
    </row>
    <row r="880">
      <c r="A880" s="2"/>
      <c r="B880" s="2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9">
        <f t="shared" si="7"/>
        <v>0</v>
      </c>
      <c r="W880" s="1"/>
      <c r="X880" s="1"/>
      <c r="Y880" s="1"/>
      <c r="Z880" s="1"/>
      <c r="AA880" s="1"/>
    </row>
    <row r="881">
      <c r="A881" s="2"/>
      <c r="B881" s="2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9">
        <f t="shared" si="7"/>
        <v>0</v>
      </c>
      <c r="W881" s="1"/>
      <c r="X881" s="1"/>
      <c r="Y881" s="1"/>
      <c r="Z881" s="1"/>
      <c r="AA881" s="1"/>
    </row>
    <row r="882">
      <c r="A882" s="2"/>
      <c r="B882" s="2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9">
        <f t="shared" si="7"/>
        <v>0</v>
      </c>
      <c r="W882" s="1"/>
      <c r="X882" s="1"/>
      <c r="Y882" s="1"/>
      <c r="Z882" s="1"/>
      <c r="AA882" s="1"/>
    </row>
    <row r="883">
      <c r="A883" s="2"/>
      <c r="B883" s="2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9">
        <f t="shared" si="7"/>
        <v>0</v>
      </c>
      <c r="W883" s="1"/>
      <c r="X883" s="1"/>
      <c r="Y883" s="1"/>
      <c r="Z883" s="1"/>
      <c r="AA883" s="1"/>
    </row>
    <row r="884">
      <c r="A884" s="2"/>
      <c r="B884" s="2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9">
        <f t="shared" si="7"/>
        <v>0</v>
      </c>
      <c r="W884" s="1"/>
      <c r="X884" s="1"/>
      <c r="Y884" s="1"/>
      <c r="Z884" s="1"/>
      <c r="AA884" s="1"/>
    </row>
    <row r="885">
      <c r="A885" s="2"/>
      <c r="B885" s="2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9">
        <f t="shared" si="7"/>
        <v>0</v>
      </c>
      <c r="W885" s="1"/>
      <c r="X885" s="1"/>
      <c r="Y885" s="1"/>
      <c r="Z885" s="1"/>
      <c r="AA885" s="1"/>
    </row>
    <row r="886">
      <c r="A886" s="2"/>
      <c r="B886" s="2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9">
        <f t="shared" si="7"/>
        <v>0</v>
      </c>
      <c r="W886" s="1"/>
      <c r="X886" s="1"/>
      <c r="Y886" s="1"/>
      <c r="Z886" s="1"/>
      <c r="AA886" s="1"/>
    </row>
    <row r="887">
      <c r="A887" s="2"/>
      <c r="B887" s="2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9">
        <f t="shared" si="7"/>
        <v>0</v>
      </c>
      <c r="W887" s="1"/>
      <c r="X887" s="1"/>
      <c r="Y887" s="1"/>
      <c r="Z887" s="1"/>
      <c r="AA887" s="1"/>
    </row>
    <row r="888">
      <c r="A888" s="2"/>
      <c r="B888" s="2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9">
        <f t="shared" si="7"/>
        <v>0</v>
      </c>
      <c r="W888" s="1"/>
      <c r="X888" s="1"/>
      <c r="Y888" s="1"/>
      <c r="Z888" s="1"/>
      <c r="AA888" s="1"/>
    </row>
    <row r="889">
      <c r="A889" s="2"/>
      <c r="B889" s="2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9">
        <f t="shared" si="7"/>
        <v>0</v>
      </c>
      <c r="W889" s="1"/>
      <c r="X889" s="1"/>
      <c r="Y889" s="1"/>
      <c r="Z889" s="1"/>
      <c r="AA889" s="1"/>
    </row>
    <row r="890">
      <c r="A890" s="2"/>
      <c r="B890" s="2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9">
        <f t="shared" si="7"/>
        <v>0</v>
      </c>
      <c r="W890" s="1"/>
      <c r="X890" s="1"/>
      <c r="Y890" s="1"/>
      <c r="Z890" s="1"/>
      <c r="AA890" s="1"/>
    </row>
    <row r="891">
      <c r="A891" s="2"/>
      <c r="B891" s="2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9">
        <f t="shared" si="7"/>
        <v>0</v>
      </c>
      <c r="W891" s="1"/>
      <c r="X891" s="1"/>
      <c r="Y891" s="1"/>
      <c r="Z891" s="1"/>
      <c r="AA891" s="1"/>
    </row>
    <row r="892">
      <c r="A892" s="2"/>
      <c r="B892" s="2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9">
        <f t="shared" si="7"/>
        <v>0</v>
      </c>
      <c r="W892" s="1"/>
      <c r="X892" s="1"/>
      <c r="Y892" s="1"/>
      <c r="Z892" s="1"/>
      <c r="AA892" s="1"/>
    </row>
    <row r="893">
      <c r="A893" s="2"/>
      <c r="B893" s="2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9">
        <f t="shared" si="7"/>
        <v>0</v>
      </c>
      <c r="W893" s="1"/>
      <c r="X893" s="1"/>
      <c r="Y893" s="1"/>
      <c r="Z893" s="1"/>
      <c r="AA893" s="1"/>
    </row>
    <row r="894">
      <c r="A894" s="2"/>
      <c r="B894" s="2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9">
        <f t="shared" si="7"/>
        <v>0</v>
      </c>
      <c r="W894" s="1"/>
      <c r="X894" s="1"/>
      <c r="Y894" s="1"/>
      <c r="Z894" s="1"/>
      <c r="AA894" s="1"/>
    </row>
    <row r="895">
      <c r="A895" s="2"/>
      <c r="B895" s="2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9">
        <f t="shared" si="7"/>
        <v>0</v>
      </c>
      <c r="W895" s="1"/>
      <c r="X895" s="1"/>
      <c r="Y895" s="1"/>
      <c r="Z895" s="1"/>
      <c r="AA895" s="1"/>
    </row>
    <row r="896">
      <c r="A896" s="2"/>
      <c r="B896" s="2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9">
        <f t="shared" si="7"/>
        <v>0</v>
      </c>
      <c r="W896" s="1"/>
      <c r="X896" s="1"/>
      <c r="Y896" s="1"/>
      <c r="Z896" s="1"/>
      <c r="AA896" s="1"/>
    </row>
    <row r="897">
      <c r="A897" s="2"/>
      <c r="B897" s="2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9">
        <f t="shared" si="7"/>
        <v>0</v>
      </c>
      <c r="W897" s="1"/>
      <c r="X897" s="1"/>
      <c r="Y897" s="1"/>
      <c r="Z897" s="1"/>
      <c r="AA897" s="1"/>
    </row>
    <row r="898">
      <c r="A898" s="2"/>
      <c r="B898" s="2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9">
        <f t="shared" si="7"/>
        <v>0</v>
      </c>
      <c r="W898" s="1"/>
      <c r="X898" s="1"/>
      <c r="Y898" s="1"/>
      <c r="Z898" s="1"/>
      <c r="AA898" s="1"/>
    </row>
    <row r="899">
      <c r="A899" s="2"/>
      <c r="B899" s="2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9">
        <f t="shared" si="7"/>
        <v>0</v>
      </c>
      <c r="W899" s="1"/>
      <c r="X899" s="1"/>
      <c r="Y899" s="1"/>
      <c r="Z899" s="1"/>
      <c r="AA899" s="1"/>
    </row>
    <row r="900">
      <c r="A900" s="2"/>
      <c r="B900" s="2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9">
        <f t="shared" si="7"/>
        <v>0</v>
      </c>
      <c r="W900" s="1"/>
      <c r="X900" s="1"/>
      <c r="Y900" s="1"/>
      <c r="Z900" s="1"/>
      <c r="AA900" s="1"/>
    </row>
    <row r="901">
      <c r="A901" s="2"/>
      <c r="B901" s="2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9">
        <f t="shared" si="7"/>
        <v>0</v>
      </c>
      <c r="W901" s="1"/>
      <c r="X901" s="1"/>
      <c r="Y901" s="1"/>
      <c r="Z901" s="1"/>
      <c r="AA901" s="1"/>
    </row>
    <row r="902">
      <c r="A902" s="2"/>
      <c r="B902" s="2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9">
        <f t="shared" si="7"/>
        <v>0</v>
      </c>
      <c r="W902" s="1"/>
      <c r="X902" s="1"/>
      <c r="Y902" s="1"/>
      <c r="Z902" s="1"/>
      <c r="AA902" s="1"/>
    </row>
    <row r="903">
      <c r="A903" s="2"/>
      <c r="B903" s="2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9">
        <f t="shared" si="7"/>
        <v>0</v>
      </c>
      <c r="W903" s="1"/>
      <c r="X903" s="1"/>
      <c r="Y903" s="1"/>
      <c r="Z903" s="1"/>
      <c r="AA903" s="1"/>
    </row>
    <row r="904">
      <c r="A904" s="2"/>
      <c r="B904" s="2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9">
        <f t="shared" si="7"/>
        <v>0</v>
      </c>
      <c r="W904" s="1"/>
      <c r="X904" s="1"/>
      <c r="Y904" s="1"/>
      <c r="Z904" s="1"/>
      <c r="AA904" s="1"/>
    </row>
    <row r="905">
      <c r="A905" s="2"/>
      <c r="B905" s="2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9">
        <f t="shared" si="7"/>
        <v>0</v>
      </c>
      <c r="W905" s="1"/>
      <c r="X905" s="1"/>
      <c r="Y905" s="1"/>
      <c r="Z905" s="1"/>
      <c r="AA905" s="1"/>
    </row>
    <row r="906">
      <c r="A906" s="2"/>
      <c r="B906" s="2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9">
        <f t="shared" si="7"/>
        <v>0</v>
      </c>
      <c r="W906" s="1"/>
      <c r="X906" s="1"/>
      <c r="Y906" s="1"/>
      <c r="Z906" s="1"/>
      <c r="AA906" s="1"/>
    </row>
    <row r="907">
      <c r="A907" s="2"/>
      <c r="B907" s="2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9">
        <f t="shared" si="7"/>
        <v>0</v>
      </c>
      <c r="W907" s="1"/>
      <c r="X907" s="1"/>
      <c r="Y907" s="1"/>
      <c r="Z907" s="1"/>
      <c r="AA907" s="1"/>
    </row>
    <row r="908">
      <c r="A908" s="2"/>
      <c r="B908" s="2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9">
        <f t="shared" si="7"/>
        <v>0</v>
      </c>
      <c r="W908" s="1"/>
      <c r="X908" s="1"/>
      <c r="Y908" s="1"/>
      <c r="Z908" s="1"/>
      <c r="AA908" s="1"/>
    </row>
    <row r="909">
      <c r="A909" s="2"/>
      <c r="B909" s="2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9">
        <f t="shared" si="7"/>
        <v>0</v>
      </c>
      <c r="W909" s="1"/>
      <c r="X909" s="1"/>
      <c r="Y909" s="1"/>
      <c r="Z909" s="1"/>
      <c r="AA909" s="1"/>
    </row>
    <row r="910">
      <c r="A910" s="2"/>
      <c r="B910" s="2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9">
        <f t="shared" si="7"/>
        <v>0</v>
      </c>
      <c r="W910" s="1"/>
      <c r="X910" s="1"/>
      <c r="Y910" s="1"/>
      <c r="Z910" s="1"/>
      <c r="AA910" s="1"/>
    </row>
    <row r="911">
      <c r="A911" s="2"/>
      <c r="B911" s="2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9">
        <f t="shared" si="7"/>
        <v>0</v>
      </c>
      <c r="W911" s="1"/>
      <c r="X911" s="1"/>
      <c r="Y911" s="1"/>
      <c r="Z911" s="1"/>
      <c r="AA911" s="1"/>
    </row>
    <row r="912">
      <c r="A912" s="2"/>
      <c r="B912" s="2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9">
        <f t="shared" si="7"/>
        <v>0</v>
      </c>
      <c r="W912" s="1"/>
      <c r="X912" s="1"/>
      <c r="Y912" s="1"/>
      <c r="Z912" s="1"/>
      <c r="AA912" s="1"/>
    </row>
    <row r="913">
      <c r="A913" s="2"/>
      <c r="B913" s="2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9">
        <f t="shared" si="7"/>
        <v>0</v>
      </c>
      <c r="W913" s="1"/>
      <c r="X913" s="1"/>
      <c r="Y913" s="1"/>
      <c r="Z913" s="1"/>
      <c r="AA913" s="1"/>
    </row>
    <row r="914">
      <c r="A914" s="2"/>
      <c r="B914" s="2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9">
        <f t="shared" si="7"/>
        <v>0</v>
      </c>
      <c r="W914" s="1"/>
      <c r="X914" s="1"/>
      <c r="Y914" s="1"/>
      <c r="Z914" s="1"/>
      <c r="AA914" s="1"/>
    </row>
    <row r="915">
      <c r="A915" s="2"/>
      <c r="B915" s="2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9">
        <f t="shared" si="7"/>
        <v>0</v>
      </c>
      <c r="W915" s="1"/>
      <c r="X915" s="1"/>
      <c r="Y915" s="1"/>
      <c r="Z915" s="1"/>
      <c r="AA915" s="1"/>
    </row>
    <row r="916">
      <c r="A916" s="2"/>
      <c r="B916" s="2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9">
        <f t="shared" si="7"/>
        <v>0</v>
      </c>
      <c r="W916" s="1"/>
      <c r="X916" s="1"/>
      <c r="Y916" s="1"/>
      <c r="Z916" s="1"/>
      <c r="AA916" s="1"/>
    </row>
    <row r="917">
      <c r="A917" s="2"/>
      <c r="B917" s="2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9">
        <f t="shared" si="7"/>
        <v>0</v>
      </c>
      <c r="W917" s="1"/>
      <c r="X917" s="1"/>
      <c r="Y917" s="1"/>
      <c r="Z917" s="1"/>
      <c r="AA917" s="1"/>
    </row>
    <row r="918">
      <c r="A918" s="2"/>
      <c r="B918" s="2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9">
        <f t="shared" si="7"/>
        <v>0</v>
      </c>
      <c r="W918" s="1"/>
      <c r="X918" s="1"/>
      <c r="Y918" s="1"/>
      <c r="Z918" s="1"/>
      <c r="AA918" s="1"/>
    </row>
    <row r="919">
      <c r="A919" s="2"/>
      <c r="B919" s="2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9">
        <f t="shared" si="7"/>
        <v>0</v>
      </c>
      <c r="W919" s="1"/>
      <c r="X919" s="1"/>
      <c r="Y919" s="1"/>
      <c r="Z919" s="1"/>
      <c r="AA919" s="1"/>
    </row>
    <row r="920">
      <c r="A920" s="2"/>
      <c r="B920" s="2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9">
        <f t="shared" si="7"/>
        <v>0</v>
      </c>
      <c r="W920" s="1"/>
      <c r="X920" s="1"/>
      <c r="Y920" s="1"/>
      <c r="Z920" s="1"/>
      <c r="AA920" s="1"/>
    </row>
    <row r="921">
      <c r="A921" s="2"/>
      <c r="B921" s="2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9">
        <f t="shared" si="7"/>
        <v>0</v>
      </c>
      <c r="W921" s="1"/>
      <c r="X921" s="1"/>
      <c r="Y921" s="1"/>
      <c r="Z921" s="1"/>
      <c r="AA921" s="1"/>
    </row>
    <row r="922">
      <c r="A922" s="2"/>
      <c r="B922" s="2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9">
        <f t="shared" si="7"/>
        <v>0</v>
      </c>
      <c r="W922" s="1"/>
      <c r="X922" s="1"/>
      <c r="Y922" s="1"/>
      <c r="Z922" s="1"/>
      <c r="AA922" s="1"/>
    </row>
    <row r="923">
      <c r="A923" s="2"/>
      <c r="B923" s="2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9">
        <f t="shared" si="7"/>
        <v>0</v>
      </c>
      <c r="W923" s="1"/>
      <c r="X923" s="1"/>
      <c r="Y923" s="1"/>
      <c r="Z923" s="1"/>
      <c r="AA923" s="1"/>
    </row>
    <row r="924">
      <c r="A924" s="2"/>
      <c r="B924" s="2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9">
        <f t="shared" si="7"/>
        <v>0</v>
      </c>
      <c r="W924" s="1"/>
      <c r="X924" s="1"/>
      <c r="Y924" s="1"/>
      <c r="Z924" s="1"/>
      <c r="AA924" s="1"/>
    </row>
    <row r="925">
      <c r="A925" s="2"/>
      <c r="B925" s="2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9">
        <f t="shared" si="7"/>
        <v>0</v>
      </c>
      <c r="W925" s="1"/>
      <c r="X925" s="1"/>
      <c r="Y925" s="1"/>
      <c r="Z925" s="1"/>
      <c r="AA925" s="1"/>
    </row>
    <row r="926">
      <c r="A926" s="2"/>
      <c r="B926" s="2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9">
        <f t="shared" si="7"/>
        <v>0</v>
      </c>
      <c r="W926" s="1"/>
      <c r="X926" s="1"/>
      <c r="Y926" s="1"/>
      <c r="Z926" s="1"/>
      <c r="AA926" s="1"/>
    </row>
    <row r="927">
      <c r="A927" s="2"/>
      <c r="B927" s="2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9">
        <f t="shared" si="7"/>
        <v>0</v>
      </c>
      <c r="W927" s="1"/>
      <c r="X927" s="1"/>
      <c r="Y927" s="1"/>
      <c r="Z927" s="1"/>
      <c r="AA927" s="1"/>
    </row>
    <row r="928">
      <c r="A928" s="2"/>
      <c r="B928" s="2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9">
        <f t="shared" si="7"/>
        <v>0</v>
      </c>
      <c r="W928" s="1"/>
      <c r="X928" s="1"/>
      <c r="Y928" s="1"/>
      <c r="Z928" s="1"/>
      <c r="AA928" s="1"/>
    </row>
    <row r="929">
      <c r="A929" s="2"/>
      <c r="B929" s="2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9">
        <f t="shared" si="7"/>
        <v>0</v>
      </c>
      <c r="W929" s="1"/>
      <c r="X929" s="1"/>
      <c r="Y929" s="1"/>
      <c r="Z929" s="1"/>
      <c r="AA929" s="1"/>
    </row>
    <row r="930">
      <c r="A930" s="2"/>
      <c r="B930" s="2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9">
        <f t="shared" si="7"/>
        <v>0</v>
      </c>
      <c r="W930" s="1"/>
      <c r="X930" s="1"/>
      <c r="Y930" s="1"/>
      <c r="Z930" s="1"/>
      <c r="AA930" s="1"/>
    </row>
    <row r="931">
      <c r="A931" s="2"/>
      <c r="B931" s="2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9">
        <f t="shared" si="7"/>
        <v>0</v>
      </c>
      <c r="W931" s="1"/>
      <c r="X931" s="1"/>
      <c r="Y931" s="1"/>
      <c r="Z931" s="1"/>
      <c r="AA931" s="1"/>
    </row>
    <row r="932">
      <c r="A932" s="2"/>
      <c r="B932" s="2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9">
        <f t="shared" si="7"/>
        <v>0</v>
      </c>
      <c r="W932" s="1"/>
      <c r="X932" s="1"/>
      <c r="Y932" s="1"/>
      <c r="Z932" s="1"/>
      <c r="AA932" s="1"/>
    </row>
    <row r="933">
      <c r="A933" s="2"/>
      <c r="B933" s="2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9">
        <f t="shared" si="7"/>
        <v>0</v>
      </c>
      <c r="W933" s="1"/>
      <c r="X933" s="1"/>
      <c r="Y933" s="1"/>
      <c r="Z933" s="1"/>
      <c r="AA933" s="1"/>
    </row>
    <row r="934">
      <c r="A934" s="2"/>
      <c r="B934" s="2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9">
        <f t="shared" si="7"/>
        <v>0</v>
      </c>
      <c r="W934" s="1"/>
      <c r="X934" s="1"/>
      <c r="Y934" s="1"/>
      <c r="Z934" s="1"/>
      <c r="AA934" s="1"/>
    </row>
    <row r="935">
      <c r="A935" s="2"/>
      <c r="B935" s="2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9">
        <f t="shared" si="7"/>
        <v>0</v>
      </c>
      <c r="W935" s="1"/>
      <c r="X935" s="1"/>
      <c r="Y935" s="1"/>
      <c r="Z935" s="1"/>
      <c r="AA935" s="1"/>
    </row>
    <row r="936">
      <c r="A936" s="2"/>
      <c r="B936" s="2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9">
        <f t="shared" si="7"/>
        <v>0</v>
      </c>
      <c r="W936" s="1"/>
      <c r="X936" s="1"/>
      <c r="Y936" s="1"/>
      <c r="Z936" s="1"/>
      <c r="AA936" s="1"/>
    </row>
    <row r="937">
      <c r="A937" s="2"/>
      <c r="B937" s="2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9">
        <f t="shared" si="7"/>
        <v>0</v>
      </c>
      <c r="W937" s="1"/>
      <c r="X937" s="1"/>
      <c r="Y937" s="1"/>
      <c r="Z937" s="1"/>
      <c r="AA937" s="1"/>
    </row>
    <row r="938">
      <c r="A938" s="2"/>
      <c r="B938" s="2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9">
        <f t="shared" si="7"/>
        <v>0</v>
      </c>
      <c r="W938" s="1"/>
      <c r="X938" s="1"/>
      <c r="Y938" s="1"/>
      <c r="Z938" s="1"/>
      <c r="AA938" s="1"/>
    </row>
    <row r="939">
      <c r="A939" s="2"/>
      <c r="B939" s="2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9">
        <f t="shared" si="7"/>
        <v>0</v>
      </c>
      <c r="W939" s="1"/>
      <c r="X939" s="1"/>
      <c r="Y939" s="1"/>
      <c r="Z939" s="1"/>
      <c r="AA939" s="1"/>
    </row>
    <row r="940">
      <c r="A940" s="2"/>
      <c r="B940" s="2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9">
        <f t="shared" si="7"/>
        <v>0</v>
      </c>
      <c r="W940" s="1"/>
      <c r="X940" s="1"/>
      <c r="Y940" s="1"/>
      <c r="Z940" s="1"/>
      <c r="AA940" s="1"/>
    </row>
    <row r="941">
      <c r="A941" s="2"/>
      <c r="B941" s="2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9">
        <f t="shared" si="7"/>
        <v>0</v>
      </c>
      <c r="W941" s="1"/>
      <c r="X941" s="1"/>
      <c r="Y941" s="1"/>
      <c r="Z941" s="1"/>
      <c r="AA941" s="1"/>
    </row>
    <row r="942">
      <c r="A942" s="2"/>
      <c r="B942" s="2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9">
        <f t="shared" si="7"/>
        <v>0</v>
      </c>
      <c r="W942" s="1"/>
      <c r="X942" s="1"/>
      <c r="Y942" s="1"/>
      <c r="Z942" s="1"/>
      <c r="AA942" s="1"/>
    </row>
    <row r="943">
      <c r="A943" s="2"/>
      <c r="B943" s="2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9">
        <f t="shared" si="7"/>
        <v>0</v>
      </c>
      <c r="W943" s="1"/>
      <c r="X943" s="1"/>
      <c r="Y943" s="1"/>
      <c r="Z943" s="1"/>
      <c r="AA943" s="1"/>
    </row>
    <row r="944">
      <c r="A944" s="2"/>
      <c r="B944" s="2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9">
        <f t="shared" si="7"/>
        <v>0</v>
      </c>
      <c r="W944" s="1"/>
      <c r="X944" s="1"/>
      <c r="Y944" s="1"/>
      <c r="Z944" s="1"/>
      <c r="AA944" s="1"/>
    </row>
    <row r="945">
      <c r="A945" s="2"/>
      <c r="B945" s="2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9">
        <f t="shared" si="7"/>
        <v>0</v>
      </c>
      <c r="W945" s="1"/>
      <c r="X945" s="1"/>
      <c r="Y945" s="1"/>
      <c r="Z945" s="1"/>
      <c r="AA945" s="1"/>
    </row>
    <row r="946">
      <c r="A946" s="2"/>
      <c r="B946" s="2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9">
        <f t="shared" si="7"/>
        <v>0</v>
      </c>
      <c r="W946" s="1"/>
      <c r="X946" s="1"/>
      <c r="Y946" s="1"/>
      <c r="Z946" s="1"/>
      <c r="AA946" s="1"/>
    </row>
    <row r="947">
      <c r="A947" s="2"/>
      <c r="B947" s="2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9">
        <f t="shared" si="7"/>
        <v>0</v>
      </c>
      <c r="W947" s="1"/>
      <c r="X947" s="1"/>
      <c r="Y947" s="1"/>
      <c r="Z947" s="1"/>
      <c r="AA947" s="1"/>
    </row>
    <row r="948">
      <c r="A948" s="2"/>
      <c r="B948" s="2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9">
        <f t="shared" si="7"/>
        <v>0</v>
      </c>
      <c r="W948" s="1"/>
      <c r="X948" s="1"/>
      <c r="Y948" s="1"/>
      <c r="Z948" s="1"/>
      <c r="AA948" s="1"/>
    </row>
    <row r="949">
      <c r="A949" s="2"/>
      <c r="B949" s="2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9">
        <f t="shared" si="7"/>
        <v>0</v>
      </c>
      <c r="W949" s="1"/>
      <c r="X949" s="1"/>
      <c r="Y949" s="1"/>
      <c r="Z949" s="1"/>
      <c r="AA949" s="1"/>
    </row>
    <row r="950">
      <c r="A950" s="2"/>
      <c r="B950" s="2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9">
        <f t="shared" si="7"/>
        <v>0</v>
      </c>
      <c r="W950" s="1"/>
      <c r="X950" s="1"/>
      <c r="Y950" s="1"/>
      <c r="Z950" s="1"/>
      <c r="AA950" s="1"/>
    </row>
    <row r="951">
      <c r="A951" s="2"/>
      <c r="B951" s="2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9">
        <f t="shared" si="7"/>
        <v>0</v>
      </c>
      <c r="W951" s="1"/>
      <c r="X951" s="1"/>
      <c r="Y951" s="1"/>
      <c r="Z951" s="1"/>
      <c r="AA951" s="1"/>
    </row>
    <row r="952">
      <c r="A952" s="2"/>
      <c r="B952" s="2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9">
        <f t="shared" si="7"/>
        <v>0</v>
      </c>
      <c r="W952" s="1"/>
      <c r="X952" s="1"/>
      <c r="Y952" s="1"/>
      <c r="Z952" s="1"/>
      <c r="AA952" s="1"/>
    </row>
    <row r="953">
      <c r="A953" s="2"/>
      <c r="B953" s="2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9">
        <f t="shared" si="7"/>
        <v>0</v>
      </c>
      <c r="W953" s="1"/>
      <c r="X953" s="1"/>
      <c r="Y953" s="1"/>
      <c r="Z953" s="1"/>
      <c r="AA953" s="1"/>
    </row>
    <row r="954">
      <c r="A954" s="2"/>
      <c r="B954" s="2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9">
        <f t="shared" si="7"/>
        <v>0</v>
      </c>
      <c r="W954" s="1"/>
      <c r="X954" s="1"/>
      <c r="Y954" s="1"/>
      <c r="Z954" s="1"/>
      <c r="AA954" s="1"/>
    </row>
    <row r="955">
      <c r="A955" s="2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9">
        <f t="shared" si="7"/>
        <v>0</v>
      </c>
      <c r="W955" s="1"/>
      <c r="X955" s="1"/>
      <c r="Y955" s="1"/>
      <c r="Z955" s="1"/>
      <c r="AA955" s="1"/>
    </row>
    <row r="956">
      <c r="A956" s="2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9">
        <f t="shared" si="7"/>
        <v>0</v>
      </c>
      <c r="W956" s="1"/>
      <c r="X956" s="1"/>
      <c r="Y956" s="1"/>
      <c r="Z956" s="1"/>
      <c r="AA956" s="1"/>
    </row>
    <row r="957">
      <c r="A957" s="2"/>
      <c r="B957" s="2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9">
        <f t="shared" si="7"/>
        <v>0</v>
      </c>
      <c r="W957" s="1"/>
      <c r="X957" s="1"/>
      <c r="Y957" s="1"/>
      <c r="Z957" s="1"/>
      <c r="AA957" s="1"/>
    </row>
    <row r="958">
      <c r="A958" s="2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9">
        <f t="shared" si="7"/>
        <v>0</v>
      </c>
      <c r="W958" s="1"/>
      <c r="X958" s="1"/>
      <c r="Y958" s="1"/>
      <c r="Z958" s="1"/>
      <c r="AA958" s="1"/>
    </row>
    <row r="959">
      <c r="A959" s="2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9">
        <f t="shared" si="7"/>
        <v>0</v>
      </c>
      <c r="W959" s="1"/>
      <c r="X959" s="1"/>
      <c r="Y959" s="1"/>
      <c r="Z959" s="1"/>
      <c r="AA959" s="1"/>
    </row>
    <row r="960">
      <c r="A960" s="2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9">
        <f t="shared" si="7"/>
        <v>0</v>
      </c>
      <c r="W960" s="1"/>
      <c r="X960" s="1"/>
      <c r="Y960" s="1"/>
      <c r="Z960" s="1"/>
      <c r="AA960" s="1"/>
    </row>
    <row r="961">
      <c r="A961" s="2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9">
        <f t="shared" si="7"/>
        <v>0</v>
      </c>
      <c r="W961" s="1"/>
      <c r="X961" s="1"/>
      <c r="Y961" s="1"/>
      <c r="Z961" s="1"/>
      <c r="AA961" s="1"/>
    </row>
    <row r="962">
      <c r="A962" s="2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9">
        <f t="shared" si="7"/>
        <v>0</v>
      </c>
      <c r="W962" s="1"/>
      <c r="X962" s="1"/>
      <c r="Y962" s="1"/>
      <c r="Z962" s="1"/>
      <c r="AA962" s="1"/>
    </row>
    <row r="963">
      <c r="A963" s="2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9">
        <f t="shared" si="7"/>
        <v>0</v>
      </c>
      <c r="W963" s="1"/>
      <c r="X963" s="1"/>
      <c r="Y963" s="1"/>
      <c r="Z963" s="1"/>
      <c r="AA963" s="1"/>
    </row>
    <row r="964">
      <c r="A964" s="2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9">
        <f t="shared" si="7"/>
        <v>0</v>
      </c>
      <c r="W964" s="1"/>
      <c r="X964" s="1"/>
      <c r="Y964" s="1"/>
      <c r="Z964" s="1"/>
      <c r="AA964" s="1"/>
    </row>
    <row r="965">
      <c r="A965" s="2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9">
        <f t="shared" si="7"/>
        <v>0</v>
      </c>
      <c r="W965" s="1"/>
      <c r="X965" s="1"/>
      <c r="Y965" s="1"/>
      <c r="Z965" s="1"/>
      <c r="AA965" s="1"/>
    </row>
    <row r="966">
      <c r="A966" s="2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9">
        <f t="shared" si="7"/>
        <v>0</v>
      </c>
      <c r="W966" s="1"/>
      <c r="X966" s="1"/>
      <c r="Y966" s="1"/>
      <c r="Z966" s="1"/>
      <c r="AA966" s="1"/>
    </row>
    <row r="967">
      <c r="A967" s="2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9">
        <f t="shared" si="7"/>
        <v>0</v>
      </c>
      <c r="W967" s="1"/>
      <c r="X967" s="1"/>
      <c r="Y967" s="1"/>
      <c r="Z967" s="1"/>
      <c r="AA967" s="1"/>
    </row>
    <row r="968">
      <c r="A968" s="2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9">
        <f t="shared" si="7"/>
        <v>0</v>
      </c>
      <c r="W968" s="1"/>
      <c r="X968" s="1"/>
      <c r="Y968" s="1"/>
      <c r="Z968" s="1"/>
      <c r="AA968" s="1"/>
    </row>
    <row r="969">
      <c r="A969" s="2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9">
        <f t="shared" si="7"/>
        <v>0</v>
      </c>
      <c r="W969" s="1"/>
      <c r="X969" s="1"/>
      <c r="Y969" s="1"/>
      <c r="Z969" s="1"/>
      <c r="AA969" s="1"/>
    </row>
    <row r="970">
      <c r="A970" s="2"/>
      <c r="B970" s="2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9">
        <f t="shared" si="7"/>
        <v>0</v>
      </c>
      <c r="W970" s="1"/>
      <c r="X970" s="1"/>
      <c r="Y970" s="1"/>
      <c r="Z970" s="1"/>
      <c r="AA970" s="1"/>
    </row>
    <row r="971">
      <c r="A971" s="2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9">
        <f t="shared" si="7"/>
        <v>0</v>
      </c>
      <c r="W971" s="1"/>
      <c r="X971" s="1"/>
      <c r="Y971" s="1"/>
      <c r="Z971" s="1"/>
      <c r="AA971" s="1"/>
    </row>
    <row r="972">
      <c r="A972" s="2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9">
        <f t="shared" si="7"/>
        <v>0</v>
      </c>
      <c r="W972" s="1"/>
      <c r="X972" s="1"/>
      <c r="Y972" s="1"/>
      <c r="Z972" s="1"/>
      <c r="AA972" s="1"/>
    </row>
    <row r="973">
      <c r="A973" s="2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9">
        <f t="shared" si="7"/>
        <v>0</v>
      </c>
      <c r="W973" s="1"/>
      <c r="X973" s="1"/>
      <c r="Y973" s="1"/>
      <c r="Z973" s="1"/>
      <c r="AA973" s="1"/>
    </row>
    <row r="974">
      <c r="A974" s="2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9">
        <f t="shared" si="7"/>
        <v>0</v>
      </c>
      <c r="W974" s="1"/>
      <c r="X974" s="1"/>
      <c r="Y974" s="1"/>
      <c r="Z974" s="1"/>
      <c r="AA974" s="1"/>
    </row>
    <row r="975">
      <c r="A975" s="2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9">
        <f t="shared" si="7"/>
        <v>0</v>
      </c>
      <c r="W975" s="1"/>
      <c r="X975" s="1"/>
      <c r="Y975" s="1"/>
      <c r="Z975" s="1"/>
      <c r="AA975" s="1"/>
    </row>
    <row r="976">
      <c r="A976" s="2"/>
      <c r="B976" s="2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9">
        <f t="shared" si="7"/>
        <v>0</v>
      </c>
      <c r="W976" s="1"/>
      <c r="X976" s="1"/>
      <c r="Y976" s="1"/>
      <c r="Z976" s="1"/>
      <c r="AA976" s="1"/>
    </row>
    <row r="977">
      <c r="A977" s="2"/>
      <c r="B977" s="2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9">
        <f t="shared" si="7"/>
        <v>0</v>
      </c>
      <c r="W977" s="1"/>
      <c r="X977" s="1"/>
      <c r="Y977" s="1"/>
      <c r="Z977" s="1"/>
      <c r="AA977" s="1"/>
    </row>
    <row r="978">
      <c r="A978" s="2"/>
      <c r="B978" s="2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9">
        <f t="shared" si="7"/>
        <v>0</v>
      </c>
      <c r="W978" s="1"/>
      <c r="X978" s="1"/>
      <c r="Y978" s="1"/>
      <c r="Z978" s="1"/>
      <c r="AA978" s="1"/>
    </row>
    <row r="979">
      <c r="A979" s="2"/>
      <c r="B979" s="2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9">
        <f t="shared" si="7"/>
        <v>0</v>
      </c>
      <c r="W979" s="1"/>
      <c r="X979" s="1"/>
      <c r="Y979" s="1"/>
      <c r="Z979" s="1"/>
      <c r="AA979" s="1"/>
    </row>
    <row r="980">
      <c r="A980" s="2"/>
      <c r="B980" s="2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9">
        <f t="shared" si="7"/>
        <v>0</v>
      </c>
      <c r="W980" s="1"/>
      <c r="X980" s="1"/>
      <c r="Y980" s="1"/>
      <c r="Z980" s="1"/>
      <c r="AA980" s="1"/>
    </row>
    <row r="981">
      <c r="A981" s="2"/>
      <c r="B981" s="2"/>
      <c r="C981" s="2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9">
        <f t="shared" si="7"/>
        <v>0</v>
      </c>
      <c r="W981" s="1"/>
      <c r="X981" s="1"/>
      <c r="Y981" s="1"/>
      <c r="Z981" s="1"/>
      <c r="AA981" s="1"/>
    </row>
    <row r="982">
      <c r="A982" s="2"/>
      <c r="B982" s="2"/>
      <c r="C982" s="2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9">
        <f t="shared" si="7"/>
        <v>0</v>
      </c>
      <c r="W982" s="1"/>
      <c r="X982" s="1"/>
      <c r="Y982" s="1"/>
      <c r="Z982" s="1"/>
      <c r="AA982" s="1"/>
    </row>
    <row r="983">
      <c r="A983" s="2"/>
      <c r="B983" s="2"/>
      <c r="C983" s="2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9">
        <f t="shared" si="7"/>
        <v>0</v>
      </c>
      <c r="W983" s="1"/>
      <c r="X983" s="1"/>
      <c r="Y983" s="1"/>
      <c r="Z983" s="1"/>
      <c r="AA983" s="1"/>
    </row>
    <row r="984">
      <c r="A984" s="2"/>
      <c r="B984" s="2"/>
      <c r="C984" s="2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9">
        <f t="shared" si="7"/>
        <v>0</v>
      </c>
      <c r="W984" s="1"/>
      <c r="X984" s="1"/>
      <c r="Y984" s="1"/>
      <c r="Z984" s="1"/>
      <c r="AA984" s="1"/>
    </row>
    <row r="985">
      <c r="A985" s="2"/>
      <c r="B985" s="2"/>
      <c r="C985" s="2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9">
        <f t="shared" si="7"/>
        <v>0</v>
      </c>
      <c r="W985" s="1"/>
      <c r="X985" s="1"/>
      <c r="Y985" s="1"/>
      <c r="Z985" s="1"/>
      <c r="AA985" s="1"/>
    </row>
    <row r="986">
      <c r="A986" s="2"/>
      <c r="B986" s="2"/>
      <c r="C986" s="2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9">
        <f t="shared" si="7"/>
        <v>0</v>
      </c>
      <c r="W986" s="1"/>
      <c r="X986" s="1"/>
      <c r="Y986" s="1"/>
      <c r="Z986" s="1"/>
      <c r="AA986" s="1"/>
    </row>
    <row r="987">
      <c r="A987" s="2"/>
      <c r="B987" s="2"/>
      <c r="C987" s="2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9">
        <f t="shared" si="7"/>
        <v>0</v>
      </c>
      <c r="W987" s="1"/>
      <c r="X987" s="1"/>
      <c r="Y987" s="1"/>
      <c r="Z987" s="1"/>
      <c r="AA987" s="1"/>
    </row>
    <row r="988">
      <c r="A988" s="2"/>
      <c r="B988" s="2"/>
      <c r="C988" s="2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9">
        <f t="shared" si="7"/>
        <v>0</v>
      </c>
      <c r="W988" s="1"/>
      <c r="X988" s="1"/>
      <c r="Y988" s="1"/>
      <c r="Z988" s="1"/>
      <c r="AA988" s="1"/>
    </row>
    <row r="989">
      <c r="A989" s="2"/>
      <c r="B989" s="2"/>
      <c r="C989" s="2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9">
        <f t="shared" si="7"/>
        <v>0</v>
      </c>
      <c r="W989" s="1"/>
      <c r="X989" s="1"/>
      <c r="Y989" s="1"/>
      <c r="Z989" s="1"/>
      <c r="AA989" s="1"/>
    </row>
    <row r="990">
      <c r="A990" s="2"/>
      <c r="B990" s="2"/>
      <c r="C990" s="2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9">
        <f t="shared" si="7"/>
        <v>0</v>
      </c>
      <c r="W990" s="1"/>
      <c r="X990" s="1"/>
      <c r="Y990" s="1"/>
      <c r="Z990" s="1"/>
      <c r="AA990" s="1"/>
    </row>
    <row r="991">
      <c r="A991" s="2"/>
      <c r="B991" s="2"/>
      <c r="C991" s="2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9">
        <f t="shared" si="7"/>
        <v>0</v>
      </c>
      <c r="W991" s="1"/>
      <c r="X991" s="1"/>
      <c r="Y991" s="1"/>
      <c r="Z991" s="1"/>
      <c r="AA991" s="1"/>
    </row>
    <row r="992">
      <c r="A992" s="2"/>
      <c r="B992" s="2"/>
      <c r="C992" s="2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9">
        <f t="shared" si="7"/>
        <v>0</v>
      </c>
      <c r="W992" s="1"/>
      <c r="X992" s="1"/>
      <c r="Y992" s="1"/>
      <c r="Z992" s="1"/>
      <c r="AA992" s="1"/>
    </row>
    <row r="993">
      <c r="A993" s="2"/>
      <c r="B993" s="2"/>
      <c r="C993" s="2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9">
        <f t="shared" si="7"/>
        <v>0</v>
      </c>
      <c r="W993" s="1"/>
      <c r="X993" s="1"/>
      <c r="Y993" s="1"/>
      <c r="Z993" s="1"/>
      <c r="AA993" s="1"/>
    </row>
    <row r="994">
      <c r="A994" s="2"/>
      <c r="B994" s="2"/>
      <c r="C994" s="2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9">
        <f t="shared" si="7"/>
        <v>0</v>
      </c>
      <c r="W994" s="1"/>
      <c r="X994" s="1"/>
      <c r="Y994" s="1"/>
      <c r="Z994" s="1"/>
      <c r="AA994" s="1"/>
    </row>
    <row r="995">
      <c r="A995" s="2"/>
      <c r="B995" s="2"/>
      <c r="C995" s="2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9">
        <f t="shared" si="7"/>
        <v>0</v>
      </c>
      <c r="W995" s="1"/>
      <c r="X995" s="1"/>
      <c r="Y995" s="1"/>
      <c r="Z995" s="1"/>
      <c r="AA995" s="1"/>
    </row>
    <row r="996">
      <c r="A996" s="2"/>
      <c r="B996" s="2"/>
      <c r="C996" s="2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9">
        <f t="shared" si="7"/>
        <v>0</v>
      </c>
      <c r="W996" s="1"/>
      <c r="X996" s="1"/>
      <c r="Y996" s="1"/>
      <c r="Z996" s="1"/>
      <c r="AA996" s="1"/>
    </row>
    <row r="997">
      <c r="A997" s="2"/>
      <c r="B997" s="2"/>
      <c r="C997" s="2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9">
        <f t="shared" si="7"/>
        <v>0</v>
      </c>
      <c r="W997" s="1"/>
      <c r="X997" s="1"/>
      <c r="Y997" s="1"/>
      <c r="Z997" s="1"/>
      <c r="AA997" s="1"/>
    </row>
    <row r="998">
      <c r="A998" s="2"/>
      <c r="B998" s="2"/>
      <c r="C998" s="2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9">
        <f t="shared" si="7"/>
        <v>0</v>
      </c>
      <c r="W998" s="1"/>
      <c r="X998" s="1"/>
      <c r="Y998" s="1"/>
      <c r="Z998" s="1"/>
      <c r="AA998" s="1"/>
    </row>
    <row r="999">
      <c r="A999" s="2"/>
      <c r="B999" s="2"/>
      <c r="C999" s="2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9">
        <f t="shared" si="7"/>
        <v>0</v>
      </c>
      <c r="W999" s="1"/>
      <c r="X999" s="1"/>
      <c r="Y999" s="1"/>
      <c r="Z999" s="1"/>
      <c r="AA999" s="1"/>
    </row>
    <row r="1000">
      <c r="A1000" s="2"/>
      <c r="B1000" s="2"/>
      <c r="C1000" s="2"/>
      <c r="D1000" s="2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9">
        <f t="shared" si="7"/>
        <v>0</v>
      </c>
      <c r="W1000" s="1"/>
      <c r="X1000" s="1"/>
      <c r="Y1000" s="1"/>
      <c r="Z1000" s="1"/>
      <c r="AA1000" s="1"/>
    </row>
  </sheetData>
  <dataValidations>
    <dataValidation type="list" allowBlank="1" showErrorMessage="1" sqref="B2:B1000">
      <formula1>'預算欄位參數表'!$B$2:$B$22</formula1>
    </dataValidation>
    <dataValidation type="list" allowBlank="1" showErrorMessage="1" sqref="D2:D1000">
      <formula1>'預算欄位參數表'!$E$2:E1000</formula1>
    </dataValidation>
    <dataValidation type="list" allowBlank="1" showErrorMessage="1" sqref="E2:E1000">
      <formula1>"NA"</formula1>
    </dataValidation>
    <dataValidation type="list" allowBlank="1" showErrorMessage="1" sqref="G2:G1000">
      <formula1>'預算欄位參數表'!$G$2:G1000</formula1>
    </dataValidation>
    <dataValidation type="list" allowBlank="1" showErrorMessage="1" sqref="C2:C1000">
      <formula1>'預算欄位參數表'!$C$2:C1000</formula1>
    </dataValidation>
    <dataValidation type="list" allowBlank="1" showErrorMessage="1" sqref="A2:A1000">
      <formula1>'預算欄位參數表'!$A$2:$A1000</formula1>
    </dataValidation>
    <dataValidation type="list" allowBlank="1" showErrorMessage="1" sqref="F2:F1000">
      <formula1>'預算欄位參數表'!$H$2:$H1000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4" max="4" width="14.0"/>
    <col customWidth="1" min="5" max="5" width="16.0"/>
    <col customWidth="1" min="6" max="6" width="44.0"/>
    <col customWidth="1" min="7" max="7" width="12.5"/>
    <col customWidth="1" min="8" max="8" width="16.0"/>
    <col customWidth="1" min="9" max="9" width="21.75"/>
    <col customWidth="1" min="10" max="18" width="12.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5">
        <v>46023.0</v>
      </c>
      <c r="K1" s="55">
        <v>46054.0</v>
      </c>
      <c r="L1" s="55">
        <v>46082.0</v>
      </c>
      <c r="M1" s="55">
        <v>46113.0</v>
      </c>
      <c r="N1" s="55">
        <v>46143.0</v>
      </c>
      <c r="O1" s="55">
        <v>46174.0</v>
      </c>
      <c r="P1" s="55">
        <v>46204.0</v>
      </c>
      <c r="Q1" s="55">
        <v>46235.0</v>
      </c>
      <c r="R1" s="55">
        <v>46266.0</v>
      </c>
      <c r="S1" s="55">
        <v>46296.0</v>
      </c>
      <c r="T1" s="55">
        <v>46327.0</v>
      </c>
      <c r="U1" s="55">
        <v>46357.0</v>
      </c>
      <c r="V1" s="7" t="s">
        <v>9</v>
      </c>
      <c r="W1" s="1"/>
      <c r="X1" s="1"/>
      <c r="Y1" s="1"/>
      <c r="Z1" s="1"/>
    </row>
    <row r="2">
      <c r="A2" s="5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57"/>
      <c r="J2" s="58">
        <v>0.2</v>
      </c>
      <c r="K2" s="58">
        <v>0.2</v>
      </c>
      <c r="L2" s="58">
        <v>0.2</v>
      </c>
      <c r="M2" s="58">
        <v>0.2</v>
      </c>
      <c r="N2" s="58">
        <v>0.2</v>
      </c>
      <c r="O2" s="58">
        <v>0.2</v>
      </c>
      <c r="P2" s="58">
        <v>0.2</v>
      </c>
      <c r="Q2" s="58">
        <v>0.2</v>
      </c>
      <c r="R2" s="56">
        <v>0.2</v>
      </c>
      <c r="S2" s="56">
        <v>0.2</v>
      </c>
      <c r="T2" s="56">
        <v>0.2</v>
      </c>
      <c r="U2" s="56">
        <v>0.2</v>
      </c>
      <c r="V2" s="56">
        <v>2.4</v>
      </c>
      <c r="W2" s="59"/>
      <c r="X2" s="59"/>
      <c r="Y2" s="59"/>
      <c r="Z2" s="59"/>
    </row>
    <row r="3">
      <c r="A3" s="7" t="s">
        <v>10</v>
      </c>
      <c r="B3" s="7" t="s">
        <v>18</v>
      </c>
      <c r="C3" s="7" t="s">
        <v>19</v>
      </c>
      <c r="D3" s="7" t="s">
        <v>20</v>
      </c>
      <c r="E3" s="7" t="s">
        <v>14</v>
      </c>
      <c r="F3" s="7" t="s">
        <v>15</v>
      </c>
      <c r="G3" s="7" t="s">
        <v>16</v>
      </c>
      <c r="H3" s="7" t="s">
        <v>17</v>
      </c>
      <c r="I3" s="2"/>
      <c r="J3" s="7">
        <v>0.4</v>
      </c>
      <c r="K3" s="7">
        <v>0.4</v>
      </c>
      <c r="L3" s="7">
        <v>0.4</v>
      </c>
      <c r="M3" s="7">
        <v>0.4</v>
      </c>
      <c r="N3" s="7">
        <v>0.4</v>
      </c>
      <c r="O3" s="7">
        <v>0.4</v>
      </c>
      <c r="P3" s="7">
        <v>0.4</v>
      </c>
      <c r="Q3" s="7">
        <v>0.4</v>
      </c>
      <c r="R3" s="15">
        <v>0.4</v>
      </c>
      <c r="S3" s="15">
        <v>0.4</v>
      </c>
      <c r="T3" s="15">
        <v>0.4</v>
      </c>
      <c r="U3" s="15">
        <v>0.4</v>
      </c>
      <c r="V3" s="7">
        <v>4.8</v>
      </c>
      <c r="W3" s="1"/>
      <c r="X3" s="1"/>
      <c r="Y3" s="1"/>
      <c r="Z3" s="1"/>
    </row>
    <row r="4">
      <c r="A4" s="7" t="s">
        <v>10</v>
      </c>
      <c r="B4" s="7" t="s">
        <v>18</v>
      </c>
      <c r="C4" s="7" t="s">
        <v>21</v>
      </c>
      <c r="D4" s="7" t="s">
        <v>22</v>
      </c>
      <c r="E4" s="7" t="s">
        <v>14</v>
      </c>
      <c r="F4" s="7" t="s">
        <v>15</v>
      </c>
      <c r="G4" s="7" t="s">
        <v>16</v>
      </c>
      <c r="H4" s="7" t="s">
        <v>17</v>
      </c>
      <c r="I4" s="1"/>
      <c r="J4" s="15">
        <v>0.4</v>
      </c>
      <c r="K4" s="15">
        <v>0.4</v>
      </c>
      <c r="L4" s="15">
        <v>0.4</v>
      </c>
      <c r="M4" s="15">
        <v>0.4</v>
      </c>
      <c r="N4" s="15">
        <v>0.4</v>
      </c>
      <c r="O4" s="15">
        <v>0.4</v>
      </c>
      <c r="P4" s="15">
        <v>0.4</v>
      </c>
      <c r="Q4" s="15">
        <v>0.4</v>
      </c>
      <c r="R4" s="15">
        <v>0.4</v>
      </c>
      <c r="S4" s="15">
        <v>0.4</v>
      </c>
      <c r="T4" s="15">
        <v>0.4</v>
      </c>
      <c r="U4" s="15">
        <v>0.4</v>
      </c>
      <c r="V4" s="7">
        <v>4.8</v>
      </c>
      <c r="W4" s="1"/>
      <c r="X4" s="1"/>
      <c r="Y4" s="1"/>
      <c r="Z4" s="1"/>
    </row>
    <row r="5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23</v>
      </c>
      <c r="I5" s="1"/>
      <c r="J5" s="15">
        <v>0.2</v>
      </c>
      <c r="K5" s="15">
        <v>0.2</v>
      </c>
      <c r="L5" s="15">
        <v>0.2</v>
      </c>
      <c r="M5" s="15">
        <v>0.2</v>
      </c>
      <c r="N5" s="15">
        <v>0.2</v>
      </c>
      <c r="O5" s="15">
        <v>0.2</v>
      </c>
      <c r="P5" s="15">
        <v>0.2</v>
      </c>
      <c r="Q5" s="15">
        <v>0.2</v>
      </c>
      <c r="R5" s="15">
        <v>0.2</v>
      </c>
      <c r="S5" s="15">
        <v>0.2</v>
      </c>
      <c r="T5" s="15">
        <v>0.2</v>
      </c>
      <c r="U5" s="15">
        <v>0.2</v>
      </c>
      <c r="V5" s="7">
        <v>2.4</v>
      </c>
      <c r="W5" s="1"/>
      <c r="X5" s="1"/>
      <c r="Y5" s="1"/>
      <c r="Z5" s="1"/>
    </row>
    <row r="6">
      <c r="A6" s="7" t="s">
        <v>10</v>
      </c>
      <c r="B6" s="7" t="s">
        <v>18</v>
      </c>
      <c r="C6" s="7" t="s">
        <v>19</v>
      </c>
      <c r="D6" s="7" t="s">
        <v>20</v>
      </c>
      <c r="E6" s="7" t="s">
        <v>14</v>
      </c>
      <c r="F6" s="7" t="s">
        <v>15</v>
      </c>
      <c r="G6" s="7" t="s">
        <v>16</v>
      </c>
      <c r="H6" s="7" t="s">
        <v>23</v>
      </c>
      <c r="I6" s="1"/>
      <c r="J6" s="15">
        <v>0.4</v>
      </c>
      <c r="K6" s="15">
        <v>0.4</v>
      </c>
      <c r="L6" s="15">
        <v>0.4</v>
      </c>
      <c r="M6" s="15">
        <v>0.4</v>
      </c>
      <c r="N6" s="15">
        <v>0.4</v>
      </c>
      <c r="O6" s="15">
        <v>0.4</v>
      </c>
      <c r="P6" s="15">
        <v>0.4</v>
      </c>
      <c r="Q6" s="15">
        <v>0.4</v>
      </c>
      <c r="R6" s="15">
        <v>0.4</v>
      </c>
      <c r="S6" s="15">
        <v>0.4</v>
      </c>
      <c r="T6" s="15">
        <v>0.4</v>
      </c>
      <c r="U6" s="15">
        <v>0.4</v>
      </c>
      <c r="V6" s="15">
        <v>2.4</v>
      </c>
      <c r="W6" s="1"/>
      <c r="X6" s="1"/>
      <c r="Y6" s="1"/>
      <c r="Z6" s="1"/>
    </row>
    <row r="7">
      <c r="A7" s="7" t="s">
        <v>10</v>
      </c>
      <c r="B7" s="7" t="s">
        <v>18</v>
      </c>
      <c r="C7" s="7" t="s">
        <v>21</v>
      </c>
      <c r="D7" s="7" t="s">
        <v>22</v>
      </c>
      <c r="E7" s="7" t="s">
        <v>14</v>
      </c>
      <c r="F7" s="7" t="s">
        <v>15</v>
      </c>
      <c r="G7" s="7" t="s">
        <v>16</v>
      </c>
      <c r="H7" s="7" t="s">
        <v>23</v>
      </c>
      <c r="I7" s="1"/>
      <c r="J7" s="15">
        <v>0.4</v>
      </c>
      <c r="K7" s="15">
        <v>0.4</v>
      </c>
      <c r="L7" s="15">
        <v>0.4</v>
      </c>
      <c r="M7" s="15">
        <v>0.4</v>
      </c>
      <c r="N7" s="15">
        <v>0.4</v>
      </c>
      <c r="O7" s="15">
        <v>0.4</v>
      </c>
      <c r="P7" s="15">
        <v>0.4</v>
      </c>
      <c r="Q7" s="15">
        <v>0.4</v>
      </c>
      <c r="R7" s="15">
        <v>0.4</v>
      </c>
      <c r="S7" s="15">
        <v>0.4</v>
      </c>
      <c r="T7" s="15">
        <v>0.4</v>
      </c>
      <c r="U7" s="15">
        <v>0.4</v>
      </c>
      <c r="V7" s="15">
        <v>4.8</v>
      </c>
      <c r="W7" s="1"/>
      <c r="X7" s="1"/>
      <c r="Y7" s="1"/>
      <c r="Z7" s="1"/>
    </row>
    <row r="8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222</v>
      </c>
      <c r="I8" s="7" t="s">
        <v>223</v>
      </c>
      <c r="J8" s="15">
        <v>0.2</v>
      </c>
      <c r="K8" s="15">
        <v>0.2</v>
      </c>
      <c r="L8" s="15">
        <v>0.2</v>
      </c>
      <c r="M8" s="15">
        <v>0.2</v>
      </c>
      <c r="N8" s="15">
        <v>0.2</v>
      </c>
      <c r="O8" s="15">
        <v>0.2</v>
      </c>
      <c r="P8" s="15">
        <v>0.2</v>
      </c>
      <c r="Q8" s="15">
        <v>0.2</v>
      </c>
      <c r="R8" s="15">
        <v>0.2</v>
      </c>
      <c r="S8" s="15">
        <v>0.2</v>
      </c>
      <c r="T8" s="15">
        <v>0.2</v>
      </c>
      <c r="U8" s="15">
        <v>0.2</v>
      </c>
      <c r="V8" s="15">
        <v>4.8</v>
      </c>
      <c r="W8" s="1"/>
      <c r="X8" s="1"/>
      <c r="Y8" s="1"/>
      <c r="Z8" s="1"/>
    </row>
    <row r="9">
      <c r="A9" s="7" t="s">
        <v>10</v>
      </c>
      <c r="B9" s="7" t="s">
        <v>18</v>
      </c>
      <c r="C9" s="7" t="s">
        <v>19</v>
      </c>
      <c r="D9" s="7" t="s">
        <v>20</v>
      </c>
      <c r="E9" s="7" t="s">
        <v>14</v>
      </c>
      <c r="F9" s="7" t="s">
        <v>15</v>
      </c>
      <c r="G9" s="7" t="s">
        <v>16</v>
      </c>
      <c r="H9" s="7" t="s">
        <v>222</v>
      </c>
      <c r="I9" s="7" t="s">
        <v>223</v>
      </c>
      <c r="J9" s="15">
        <v>0.4</v>
      </c>
      <c r="K9" s="15">
        <v>0.4</v>
      </c>
      <c r="L9" s="15">
        <v>0.4</v>
      </c>
      <c r="M9" s="15">
        <v>0.4</v>
      </c>
      <c r="N9" s="15">
        <v>0.4</v>
      </c>
      <c r="O9" s="15">
        <v>0.4</v>
      </c>
      <c r="P9" s="15">
        <v>0.4</v>
      </c>
      <c r="Q9" s="15">
        <v>0.4</v>
      </c>
      <c r="R9" s="15">
        <v>0.4</v>
      </c>
      <c r="S9" s="15">
        <v>0.4</v>
      </c>
      <c r="T9" s="15">
        <v>0.4</v>
      </c>
      <c r="U9" s="15">
        <v>0.4</v>
      </c>
      <c r="V9" s="15">
        <v>2.4</v>
      </c>
      <c r="W9" s="1"/>
      <c r="X9" s="1"/>
      <c r="Y9" s="1"/>
      <c r="Z9" s="1"/>
    </row>
    <row r="10">
      <c r="A10" s="7" t="s">
        <v>10</v>
      </c>
      <c r="B10" s="7" t="s">
        <v>18</v>
      </c>
      <c r="C10" s="7" t="s">
        <v>21</v>
      </c>
      <c r="D10" s="7" t="s">
        <v>22</v>
      </c>
      <c r="E10" s="7" t="s">
        <v>14</v>
      </c>
      <c r="F10" s="7" t="s">
        <v>15</v>
      </c>
      <c r="G10" s="7" t="s">
        <v>16</v>
      </c>
      <c r="H10" s="7" t="s">
        <v>222</v>
      </c>
      <c r="I10" s="7" t="s">
        <v>223</v>
      </c>
      <c r="J10" s="15">
        <v>0.4</v>
      </c>
      <c r="K10" s="15">
        <v>0.4</v>
      </c>
      <c r="L10" s="15">
        <v>0.4</v>
      </c>
      <c r="M10" s="15">
        <v>0.4</v>
      </c>
      <c r="N10" s="15">
        <v>0.4</v>
      </c>
      <c r="O10" s="15">
        <v>0.4</v>
      </c>
      <c r="P10" s="15">
        <v>0.4</v>
      </c>
      <c r="Q10" s="15">
        <v>0.4</v>
      </c>
      <c r="R10" s="15">
        <v>0.4</v>
      </c>
      <c r="S10" s="15">
        <v>0.4</v>
      </c>
      <c r="T10" s="15">
        <v>0.4</v>
      </c>
      <c r="U10" s="15">
        <v>0.4</v>
      </c>
      <c r="V10" s="15">
        <v>4.8</v>
      </c>
      <c r="W10" s="1"/>
      <c r="X10" s="1"/>
      <c r="Y10" s="1"/>
      <c r="Z10" s="1"/>
    </row>
    <row r="11">
      <c r="A11" s="7" t="s">
        <v>10</v>
      </c>
      <c r="B11" s="7" t="s">
        <v>11</v>
      </c>
      <c r="C11" s="7" t="s">
        <v>12</v>
      </c>
      <c r="D11" s="7" t="s">
        <v>13</v>
      </c>
      <c r="E11" s="7" t="s">
        <v>14</v>
      </c>
      <c r="F11" s="7" t="s">
        <v>26</v>
      </c>
      <c r="G11" s="7" t="s">
        <v>16</v>
      </c>
      <c r="H11" s="7" t="s">
        <v>27</v>
      </c>
      <c r="I11" s="7" t="s">
        <v>28</v>
      </c>
      <c r="J11" s="15">
        <v>0.6</v>
      </c>
      <c r="K11" s="15">
        <v>0.6</v>
      </c>
      <c r="L11" s="15">
        <v>0.6</v>
      </c>
      <c r="M11" s="15">
        <v>0.6</v>
      </c>
      <c r="N11" s="15">
        <v>0.6</v>
      </c>
      <c r="O11" s="15">
        <v>0.9</v>
      </c>
      <c r="P11" s="15">
        <v>0.9</v>
      </c>
      <c r="Q11" s="15">
        <v>0.9</v>
      </c>
      <c r="R11" s="15">
        <v>0.9</v>
      </c>
      <c r="S11" s="15">
        <v>0.9</v>
      </c>
      <c r="T11" s="15">
        <v>0.9</v>
      </c>
      <c r="U11" s="15">
        <v>0.9</v>
      </c>
      <c r="V11" s="15">
        <v>4.8</v>
      </c>
      <c r="W11" s="1"/>
      <c r="X11" s="1"/>
      <c r="Y11" s="1"/>
      <c r="Z11" s="1"/>
    </row>
    <row r="12">
      <c r="A12" s="7" t="s">
        <v>10</v>
      </c>
      <c r="B12" s="7" t="s">
        <v>11</v>
      </c>
      <c r="C12" s="7" t="s">
        <v>29</v>
      </c>
      <c r="D12" s="7" t="s">
        <v>30</v>
      </c>
      <c r="E12" s="7" t="s">
        <v>14</v>
      </c>
      <c r="F12" s="7" t="s">
        <v>26</v>
      </c>
      <c r="G12" s="7" t="s">
        <v>16</v>
      </c>
      <c r="H12" s="7" t="s">
        <v>31</v>
      </c>
      <c r="I12" s="7" t="s">
        <v>32</v>
      </c>
      <c r="J12" s="15">
        <v>0.5</v>
      </c>
      <c r="K12" s="15">
        <v>0.5</v>
      </c>
      <c r="L12" s="15">
        <v>0.5</v>
      </c>
      <c r="M12" s="15">
        <v>0.5</v>
      </c>
      <c r="N12" s="15">
        <v>0.5</v>
      </c>
      <c r="O12" s="15">
        <v>0.5</v>
      </c>
      <c r="P12" s="15">
        <v>0.5</v>
      </c>
      <c r="Q12" s="15">
        <v>0.5</v>
      </c>
      <c r="R12" s="15">
        <v>0.5</v>
      </c>
      <c r="S12" s="15">
        <v>0.5</v>
      </c>
      <c r="T12" s="15">
        <v>0.5</v>
      </c>
      <c r="U12" s="15">
        <v>0.5</v>
      </c>
      <c r="V12" s="15">
        <v>2.4</v>
      </c>
      <c r="W12" s="1"/>
      <c r="X12" s="1"/>
      <c r="Y12" s="1"/>
      <c r="Z12" s="1"/>
    </row>
    <row r="13">
      <c r="A13" s="7" t="s">
        <v>10</v>
      </c>
      <c r="B13" s="7" t="s">
        <v>18</v>
      </c>
      <c r="C13" s="7" t="s">
        <v>19</v>
      </c>
      <c r="D13" s="7" t="s">
        <v>33</v>
      </c>
      <c r="E13" s="7" t="s">
        <v>14</v>
      </c>
      <c r="F13" s="7" t="s">
        <v>26</v>
      </c>
      <c r="G13" s="7" t="s">
        <v>16</v>
      </c>
      <c r="H13" s="7" t="s">
        <v>31</v>
      </c>
      <c r="I13" s="7" t="s">
        <v>32</v>
      </c>
      <c r="J13" s="15">
        <v>0.3</v>
      </c>
      <c r="K13" s="15">
        <v>0.3</v>
      </c>
      <c r="L13" s="15">
        <v>0.3</v>
      </c>
      <c r="M13" s="15">
        <v>0.3</v>
      </c>
      <c r="N13" s="15">
        <v>0.3</v>
      </c>
      <c r="O13" s="15">
        <v>0.3</v>
      </c>
      <c r="P13" s="15">
        <v>0.3</v>
      </c>
      <c r="Q13" s="15">
        <v>0.3</v>
      </c>
      <c r="R13" s="15">
        <v>0.3</v>
      </c>
      <c r="S13" s="15">
        <v>0.3</v>
      </c>
      <c r="T13" s="15">
        <v>0.3</v>
      </c>
      <c r="U13" s="15">
        <v>0.3</v>
      </c>
      <c r="V13" s="15">
        <v>4.8</v>
      </c>
      <c r="W13" s="1"/>
      <c r="X13" s="1"/>
      <c r="Y13" s="1"/>
      <c r="Z13" s="1"/>
    </row>
    <row r="14">
      <c r="A14" s="7" t="s">
        <v>10</v>
      </c>
      <c r="B14" s="7" t="s">
        <v>18</v>
      </c>
      <c r="C14" s="7" t="s">
        <v>21</v>
      </c>
      <c r="D14" s="7" t="s">
        <v>34</v>
      </c>
      <c r="E14" s="7" t="s">
        <v>14</v>
      </c>
      <c r="F14" s="7" t="s">
        <v>26</v>
      </c>
      <c r="G14" s="7" t="s">
        <v>16</v>
      </c>
      <c r="H14" s="7" t="s">
        <v>31</v>
      </c>
      <c r="I14" s="7" t="s">
        <v>32</v>
      </c>
      <c r="J14" s="15">
        <v>0.2</v>
      </c>
      <c r="K14" s="15">
        <v>0.2</v>
      </c>
      <c r="L14" s="15">
        <v>0.2</v>
      </c>
      <c r="M14" s="15">
        <v>0.2</v>
      </c>
      <c r="N14" s="15">
        <v>0.2</v>
      </c>
      <c r="O14" s="15">
        <v>0.2</v>
      </c>
      <c r="P14" s="15">
        <v>0.2</v>
      </c>
      <c r="Q14" s="15">
        <v>0.2</v>
      </c>
      <c r="R14" s="15">
        <v>0.2</v>
      </c>
      <c r="S14" s="15">
        <v>0.2</v>
      </c>
      <c r="T14" s="15">
        <v>0.2</v>
      </c>
      <c r="U14" s="15">
        <v>0.2</v>
      </c>
      <c r="V14" s="15">
        <v>4.8</v>
      </c>
      <c r="W14" s="1"/>
      <c r="X14" s="1"/>
      <c r="Y14" s="1"/>
      <c r="Z14" s="1"/>
    </row>
    <row r="15">
      <c r="A15" s="7" t="s">
        <v>10</v>
      </c>
      <c r="B15" s="7" t="s">
        <v>11</v>
      </c>
      <c r="C15" s="7" t="s">
        <v>35</v>
      </c>
      <c r="D15" s="7" t="s">
        <v>13</v>
      </c>
      <c r="E15" s="7" t="s">
        <v>36</v>
      </c>
      <c r="F15" s="7" t="s">
        <v>37</v>
      </c>
      <c r="G15" s="7" t="s">
        <v>16</v>
      </c>
      <c r="H15" s="7" t="s">
        <v>38</v>
      </c>
      <c r="I15" s="7" t="s">
        <v>39</v>
      </c>
      <c r="J15" s="15">
        <v>0.1</v>
      </c>
      <c r="K15" s="15">
        <v>0.1</v>
      </c>
      <c r="L15" s="15">
        <v>0.1</v>
      </c>
      <c r="M15" s="15">
        <v>0.1</v>
      </c>
      <c r="N15" s="15">
        <v>0.1</v>
      </c>
      <c r="O15" s="15">
        <v>0.2</v>
      </c>
      <c r="P15" s="15">
        <v>0.2</v>
      </c>
      <c r="Q15" s="15">
        <v>0.1</v>
      </c>
      <c r="R15" s="15">
        <v>0.1</v>
      </c>
      <c r="S15" s="15">
        <v>0.1</v>
      </c>
      <c r="T15" s="15">
        <v>0.1</v>
      </c>
      <c r="U15" s="15">
        <v>0.1</v>
      </c>
      <c r="V15" s="15">
        <v>1.4000000000000001</v>
      </c>
      <c r="W15" s="1"/>
      <c r="X15" s="1"/>
      <c r="Y15" s="1"/>
      <c r="Z15" s="1"/>
    </row>
    <row r="16">
      <c r="A16" s="7" t="s">
        <v>10</v>
      </c>
      <c r="B16" s="7" t="s">
        <v>11</v>
      </c>
      <c r="C16" s="7" t="s">
        <v>66</v>
      </c>
      <c r="D16" s="7" t="s">
        <v>67</v>
      </c>
      <c r="E16" s="7" t="s">
        <v>14</v>
      </c>
      <c r="F16" s="7" t="s">
        <v>68</v>
      </c>
      <c r="G16" s="7" t="s">
        <v>16</v>
      </c>
      <c r="H16" s="7" t="s">
        <v>69</v>
      </c>
      <c r="I16" s="1"/>
      <c r="J16" s="15">
        <v>0.5</v>
      </c>
      <c r="K16" s="15">
        <v>0.5</v>
      </c>
      <c r="L16" s="15">
        <v>0.5</v>
      </c>
      <c r="M16" s="15">
        <v>0.5</v>
      </c>
      <c r="N16" s="15">
        <v>0.5</v>
      </c>
      <c r="O16" s="15">
        <v>0.5</v>
      </c>
      <c r="P16" s="15">
        <v>0.5</v>
      </c>
      <c r="Q16" s="15">
        <v>0.5</v>
      </c>
      <c r="R16" s="15">
        <v>0.5</v>
      </c>
      <c r="S16" s="15">
        <v>0.5</v>
      </c>
      <c r="T16" s="15">
        <v>0.5</v>
      </c>
      <c r="U16" s="15">
        <v>0.5</v>
      </c>
      <c r="V16" s="15">
        <v>6.0</v>
      </c>
      <c r="W16" s="1"/>
      <c r="X16" s="1"/>
      <c r="Y16" s="1"/>
      <c r="Z16" s="1"/>
    </row>
    <row r="17">
      <c r="A17" s="7" t="s">
        <v>10</v>
      </c>
      <c r="B17" s="7" t="s">
        <v>18</v>
      </c>
      <c r="C17" s="7" t="s">
        <v>66</v>
      </c>
      <c r="D17" s="7" t="s">
        <v>67</v>
      </c>
      <c r="E17" s="7" t="s">
        <v>14</v>
      </c>
      <c r="F17" s="7" t="s">
        <v>68</v>
      </c>
      <c r="G17" s="7" t="s">
        <v>16</v>
      </c>
      <c r="H17" s="7" t="s">
        <v>69</v>
      </c>
      <c r="I17" s="1"/>
      <c r="J17" s="15">
        <v>0.5</v>
      </c>
      <c r="K17" s="15">
        <v>0.5</v>
      </c>
      <c r="L17" s="15">
        <v>0.5</v>
      </c>
      <c r="M17" s="15">
        <v>0.5</v>
      </c>
      <c r="N17" s="15">
        <v>0.5</v>
      </c>
      <c r="O17" s="15">
        <v>0.5</v>
      </c>
      <c r="P17" s="15">
        <v>0.5</v>
      </c>
      <c r="Q17" s="15">
        <v>0.5</v>
      </c>
      <c r="R17" s="15">
        <v>0.5</v>
      </c>
      <c r="S17" s="15">
        <v>0.5</v>
      </c>
      <c r="T17" s="15">
        <v>0.5</v>
      </c>
      <c r="U17" s="15">
        <v>0.5</v>
      </c>
      <c r="V17" s="15">
        <v>6.0</v>
      </c>
      <c r="W17" s="1"/>
      <c r="X17" s="1"/>
      <c r="Y17" s="1"/>
      <c r="Z17" s="1"/>
    </row>
    <row r="18">
      <c r="A18" s="7" t="s">
        <v>10</v>
      </c>
      <c r="B18" s="7" t="s">
        <v>11</v>
      </c>
      <c r="C18" s="7" t="s">
        <v>66</v>
      </c>
      <c r="D18" s="7" t="s">
        <v>67</v>
      </c>
      <c r="E18" s="7" t="s">
        <v>14</v>
      </c>
      <c r="F18" s="7" t="s">
        <v>68</v>
      </c>
      <c r="G18" s="7" t="s">
        <v>16</v>
      </c>
      <c r="H18" s="7" t="s">
        <v>70</v>
      </c>
      <c r="I18" s="1"/>
      <c r="J18" s="15">
        <v>0.5</v>
      </c>
      <c r="K18" s="15">
        <v>0.5</v>
      </c>
      <c r="L18" s="15">
        <v>0.5</v>
      </c>
      <c r="M18" s="15">
        <v>0.5</v>
      </c>
      <c r="N18" s="15">
        <v>0.5</v>
      </c>
      <c r="O18" s="15">
        <v>0.5</v>
      </c>
      <c r="P18" s="15">
        <v>0.5</v>
      </c>
      <c r="Q18" s="15">
        <v>0.5</v>
      </c>
      <c r="R18" s="15">
        <v>0.5</v>
      </c>
      <c r="S18" s="15">
        <v>0.5</v>
      </c>
      <c r="T18" s="15">
        <v>0.5</v>
      </c>
      <c r="U18" s="15">
        <v>0.5</v>
      </c>
      <c r="V18" s="15">
        <v>6.0</v>
      </c>
      <c r="W18" s="1"/>
      <c r="X18" s="1"/>
      <c r="Y18" s="1"/>
      <c r="Z18" s="1"/>
    </row>
    <row r="19">
      <c r="A19" s="7" t="s">
        <v>10</v>
      </c>
      <c r="B19" s="7" t="s">
        <v>18</v>
      </c>
      <c r="C19" s="7" t="s">
        <v>66</v>
      </c>
      <c r="D19" s="7" t="s">
        <v>67</v>
      </c>
      <c r="E19" s="7" t="s">
        <v>14</v>
      </c>
      <c r="F19" s="7" t="s">
        <v>68</v>
      </c>
      <c r="G19" s="7" t="s">
        <v>16</v>
      </c>
      <c r="H19" s="7" t="s">
        <v>70</v>
      </c>
      <c r="I19" s="1"/>
      <c r="J19" s="15">
        <v>0.5</v>
      </c>
      <c r="K19" s="15">
        <v>0.5</v>
      </c>
      <c r="L19" s="15">
        <v>0.5</v>
      </c>
      <c r="M19" s="15">
        <v>0.5</v>
      </c>
      <c r="N19" s="15">
        <v>0.5</v>
      </c>
      <c r="O19" s="15">
        <v>0.5</v>
      </c>
      <c r="P19" s="15">
        <v>0.5</v>
      </c>
      <c r="Q19" s="15">
        <v>0.5</v>
      </c>
      <c r="R19" s="15">
        <v>0.5</v>
      </c>
      <c r="S19" s="15">
        <v>0.5</v>
      </c>
      <c r="T19" s="15">
        <v>0.5</v>
      </c>
      <c r="U19" s="15">
        <v>0.5</v>
      </c>
      <c r="V19" s="15">
        <v>6.0</v>
      </c>
      <c r="W19" s="1"/>
      <c r="X19" s="1"/>
      <c r="Y19" s="1"/>
      <c r="Z19" s="1"/>
    </row>
    <row r="20">
      <c r="A20" s="7" t="s">
        <v>10</v>
      </c>
      <c r="B20" s="7" t="s">
        <v>11</v>
      </c>
      <c r="C20" s="7" t="s">
        <v>66</v>
      </c>
      <c r="D20" s="7" t="s">
        <v>67</v>
      </c>
      <c r="E20" s="7" t="s">
        <v>14</v>
      </c>
      <c r="F20" s="7" t="s">
        <v>71</v>
      </c>
      <c r="G20" s="7" t="s">
        <v>16</v>
      </c>
      <c r="H20" s="7" t="s">
        <v>72</v>
      </c>
      <c r="I20" s="1"/>
      <c r="J20" s="15">
        <v>0.7</v>
      </c>
      <c r="K20" s="15">
        <v>0.7</v>
      </c>
      <c r="L20" s="15">
        <v>0.7</v>
      </c>
      <c r="M20" s="15">
        <v>0.7</v>
      </c>
      <c r="N20" s="15">
        <v>0.7</v>
      </c>
      <c r="O20" s="15">
        <v>0.7</v>
      </c>
      <c r="P20" s="15">
        <v>0.7</v>
      </c>
      <c r="Q20" s="15">
        <v>0.7</v>
      </c>
      <c r="R20" s="15">
        <v>0.7</v>
      </c>
      <c r="S20" s="15">
        <v>0.7</v>
      </c>
      <c r="T20" s="15">
        <v>0.7</v>
      </c>
      <c r="U20" s="15">
        <v>0.7</v>
      </c>
      <c r="V20" s="15">
        <v>8.4</v>
      </c>
      <c r="W20" s="1"/>
      <c r="X20" s="1"/>
      <c r="Y20" s="1"/>
      <c r="Z20" s="1"/>
    </row>
    <row r="21">
      <c r="A21" s="7" t="s">
        <v>10</v>
      </c>
      <c r="B21" s="7" t="s">
        <v>18</v>
      </c>
      <c r="C21" s="7" t="s">
        <v>66</v>
      </c>
      <c r="D21" s="7" t="s">
        <v>67</v>
      </c>
      <c r="E21" s="7" t="s">
        <v>14</v>
      </c>
      <c r="F21" s="7" t="s">
        <v>71</v>
      </c>
      <c r="G21" s="7" t="s">
        <v>16</v>
      </c>
      <c r="H21" s="7" t="s">
        <v>72</v>
      </c>
      <c r="I21" s="1"/>
      <c r="J21" s="15">
        <v>0.3</v>
      </c>
      <c r="K21" s="15">
        <v>0.3</v>
      </c>
      <c r="L21" s="15">
        <v>0.3</v>
      </c>
      <c r="M21" s="15">
        <v>0.3</v>
      </c>
      <c r="N21" s="15">
        <v>0.3</v>
      </c>
      <c r="O21" s="15">
        <v>0.3</v>
      </c>
      <c r="P21" s="15">
        <v>0.3</v>
      </c>
      <c r="Q21" s="15">
        <v>0.3</v>
      </c>
      <c r="R21" s="15">
        <v>0.3</v>
      </c>
      <c r="S21" s="15">
        <v>0.3</v>
      </c>
      <c r="T21" s="15">
        <v>0.3</v>
      </c>
      <c r="U21" s="15">
        <v>0.3</v>
      </c>
      <c r="V21" s="15">
        <v>3.599999999999999</v>
      </c>
      <c r="W21" s="1"/>
      <c r="X21" s="1"/>
      <c r="Y21" s="1"/>
      <c r="Z21" s="1"/>
    </row>
    <row r="22">
      <c r="A22" s="7" t="s">
        <v>10</v>
      </c>
      <c r="B22" s="7" t="s">
        <v>11</v>
      </c>
      <c r="C22" s="7" t="s">
        <v>66</v>
      </c>
      <c r="D22" s="7" t="s">
        <v>67</v>
      </c>
      <c r="E22" s="7" t="s">
        <v>14</v>
      </c>
      <c r="F22" s="7" t="s">
        <v>71</v>
      </c>
      <c r="G22" s="7" t="s">
        <v>16</v>
      </c>
      <c r="H22" s="7" t="s">
        <v>73</v>
      </c>
      <c r="I22" s="1"/>
      <c r="J22" s="15">
        <v>0.7</v>
      </c>
      <c r="K22" s="15">
        <v>0.7</v>
      </c>
      <c r="L22" s="15">
        <v>0.7</v>
      </c>
      <c r="M22" s="15">
        <v>0.7</v>
      </c>
      <c r="N22" s="15">
        <v>0.7</v>
      </c>
      <c r="O22" s="15">
        <v>0.7</v>
      </c>
      <c r="P22" s="15">
        <v>0.7</v>
      </c>
      <c r="Q22" s="15">
        <v>0.7</v>
      </c>
      <c r="R22" s="15">
        <v>0.7</v>
      </c>
      <c r="S22" s="15">
        <v>0.7</v>
      </c>
      <c r="T22" s="15">
        <v>0.7</v>
      </c>
      <c r="U22" s="15">
        <v>0.7</v>
      </c>
      <c r="V22" s="15">
        <v>8.4</v>
      </c>
      <c r="W22" s="1"/>
      <c r="X22" s="1"/>
      <c r="Y22" s="1"/>
      <c r="Z22" s="1"/>
    </row>
    <row r="23">
      <c r="A23" s="7" t="s">
        <v>10</v>
      </c>
      <c r="B23" s="7" t="s">
        <v>18</v>
      </c>
      <c r="C23" s="7" t="s">
        <v>66</v>
      </c>
      <c r="D23" s="7" t="s">
        <v>67</v>
      </c>
      <c r="E23" s="7" t="s">
        <v>14</v>
      </c>
      <c r="F23" s="7" t="s">
        <v>71</v>
      </c>
      <c r="G23" s="7" t="s">
        <v>16</v>
      </c>
      <c r="H23" s="7" t="s">
        <v>73</v>
      </c>
      <c r="I23" s="1"/>
      <c r="J23" s="15">
        <v>0.3</v>
      </c>
      <c r="K23" s="15">
        <v>0.3</v>
      </c>
      <c r="L23" s="15">
        <v>0.3</v>
      </c>
      <c r="M23" s="15">
        <v>0.3</v>
      </c>
      <c r="N23" s="15">
        <v>0.3</v>
      </c>
      <c r="O23" s="15">
        <v>0.3</v>
      </c>
      <c r="P23" s="15">
        <v>0.3</v>
      </c>
      <c r="Q23" s="15">
        <v>0.3</v>
      </c>
      <c r="R23" s="15">
        <v>0.3</v>
      </c>
      <c r="S23" s="15">
        <v>0.3</v>
      </c>
      <c r="T23" s="15">
        <v>0.3</v>
      </c>
      <c r="U23" s="15">
        <v>0.3</v>
      </c>
      <c r="V23" s="15">
        <v>3.599999999999999</v>
      </c>
      <c r="W23" s="1"/>
      <c r="X23" s="1"/>
      <c r="Y23" s="1"/>
      <c r="Z23" s="1"/>
    </row>
    <row r="24">
      <c r="A24" s="7" t="s">
        <v>10</v>
      </c>
      <c r="B24" s="7" t="s">
        <v>11</v>
      </c>
      <c r="C24" s="7" t="s">
        <v>66</v>
      </c>
      <c r="D24" s="7" t="s">
        <v>67</v>
      </c>
      <c r="E24" s="7" t="s">
        <v>14</v>
      </c>
      <c r="F24" s="7" t="s">
        <v>74</v>
      </c>
      <c r="G24" s="7" t="s">
        <v>16</v>
      </c>
      <c r="H24" s="7" t="s">
        <v>75</v>
      </c>
      <c r="I24" s="1"/>
      <c r="J24" s="15">
        <v>0.8</v>
      </c>
      <c r="K24" s="15">
        <v>0.8</v>
      </c>
      <c r="L24" s="15">
        <v>0.8</v>
      </c>
      <c r="M24" s="15">
        <v>0.8</v>
      </c>
      <c r="N24" s="15">
        <v>0.8</v>
      </c>
      <c r="O24" s="15">
        <v>0.8</v>
      </c>
      <c r="P24" s="15">
        <v>0.8</v>
      </c>
      <c r="Q24" s="15">
        <v>0.8</v>
      </c>
      <c r="R24" s="15">
        <v>0.8</v>
      </c>
      <c r="S24" s="15">
        <v>0.8</v>
      </c>
      <c r="T24" s="15">
        <v>0.8</v>
      </c>
      <c r="U24" s="15">
        <v>0.8</v>
      </c>
      <c r="V24" s="15">
        <v>9.6</v>
      </c>
      <c r="W24" s="1"/>
      <c r="X24" s="1"/>
      <c r="Y24" s="1"/>
      <c r="Z24" s="1"/>
    </row>
    <row r="25">
      <c r="A25" s="7" t="s">
        <v>10</v>
      </c>
      <c r="B25" s="7" t="s">
        <v>18</v>
      </c>
      <c r="C25" s="7" t="s">
        <v>66</v>
      </c>
      <c r="D25" s="7" t="s">
        <v>67</v>
      </c>
      <c r="E25" s="7" t="s">
        <v>14</v>
      </c>
      <c r="F25" s="7" t="s">
        <v>74</v>
      </c>
      <c r="G25" s="7" t="s">
        <v>16</v>
      </c>
      <c r="H25" s="7" t="s">
        <v>75</v>
      </c>
      <c r="I25" s="1"/>
      <c r="J25" s="15">
        <v>0.2</v>
      </c>
      <c r="K25" s="15">
        <v>0.2</v>
      </c>
      <c r="L25" s="15">
        <v>0.2</v>
      </c>
      <c r="M25" s="15">
        <v>0.2</v>
      </c>
      <c r="N25" s="15">
        <v>0.2</v>
      </c>
      <c r="O25" s="15">
        <v>0.2</v>
      </c>
      <c r="P25" s="15">
        <v>0.2</v>
      </c>
      <c r="Q25" s="15">
        <v>0.2</v>
      </c>
      <c r="R25" s="15">
        <v>0.2</v>
      </c>
      <c r="S25" s="15">
        <v>0.2</v>
      </c>
      <c r="T25" s="15">
        <v>0.2</v>
      </c>
      <c r="U25" s="15">
        <v>0.2</v>
      </c>
      <c r="V25" s="15">
        <v>2.4</v>
      </c>
      <c r="W25" s="1"/>
      <c r="X25" s="1"/>
      <c r="Y25" s="1"/>
      <c r="Z25" s="1"/>
    </row>
    <row r="26">
      <c r="A26" s="7" t="s">
        <v>10</v>
      </c>
      <c r="B26" s="7" t="s">
        <v>11</v>
      </c>
      <c r="C26" s="7" t="s">
        <v>66</v>
      </c>
      <c r="D26" s="7" t="s">
        <v>67</v>
      </c>
      <c r="E26" s="7" t="s">
        <v>14</v>
      </c>
      <c r="F26" s="7" t="s">
        <v>74</v>
      </c>
      <c r="G26" s="7" t="s">
        <v>16</v>
      </c>
      <c r="H26" s="7" t="s">
        <v>76</v>
      </c>
      <c r="I26" s="1"/>
      <c r="J26" s="15">
        <v>0.8</v>
      </c>
      <c r="K26" s="15">
        <v>0.8</v>
      </c>
      <c r="L26" s="15">
        <v>0.8</v>
      </c>
      <c r="M26" s="15">
        <v>0.8</v>
      </c>
      <c r="N26" s="15">
        <v>0.8</v>
      </c>
      <c r="O26" s="15">
        <v>0.8</v>
      </c>
      <c r="P26" s="15">
        <v>0.8</v>
      </c>
      <c r="Q26" s="15">
        <v>0.8</v>
      </c>
      <c r="R26" s="15">
        <v>0.8</v>
      </c>
      <c r="S26" s="15">
        <v>0.8</v>
      </c>
      <c r="T26" s="15">
        <v>0.8</v>
      </c>
      <c r="U26" s="15">
        <v>0.8</v>
      </c>
      <c r="V26" s="15">
        <v>9.6</v>
      </c>
      <c r="W26" s="1"/>
      <c r="X26" s="1"/>
      <c r="Y26" s="1"/>
      <c r="Z26" s="1"/>
    </row>
    <row r="27">
      <c r="A27" s="7" t="s">
        <v>10</v>
      </c>
      <c r="B27" s="7" t="s">
        <v>18</v>
      </c>
      <c r="C27" s="7" t="s">
        <v>66</v>
      </c>
      <c r="D27" s="7" t="s">
        <v>67</v>
      </c>
      <c r="E27" s="7" t="s">
        <v>14</v>
      </c>
      <c r="F27" s="7" t="s">
        <v>74</v>
      </c>
      <c r="G27" s="7" t="s">
        <v>16</v>
      </c>
      <c r="H27" s="7" t="s">
        <v>76</v>
      </c>
      <c r="I27" s="1"/>
      <c r="J27" s="15">
        <v>0.2</v>
      </c>
      <c r="K27" s="15">
        <v>0.2</v>
      </c>
      <c r="L27" s="15">
        <v>0.2</v>
      </c>
      <c r="M27" s="15">
        <v>0.2</v>
      </c>
      <c r="N27" s="15">
        <v>0.2</v>
      </c>
      <c r="O27" s="15">
        <v>0.2</v>
      </c>
      <c r="P27" s="15">
        <v>0.2</v>
      </c>
      <c r="Q27" s="15">
        <v>0.2</v>
      </c>
      <c r="R27" s="15">
        <v>0.2</v>
      </c>
      <c r="S27" s="15">
        <v>0.2</v>
      </c>
      <c r="T27" s="15">
        <v>0.2</v>
      </c>
      <c r="U27" s="15">
        <v>0.2</v>
      </c>
      <c r="V27" s="15">
        <v>2.4</v>
      </c>
      <c r="W27" s="1"/>
      <c r="X27" s="1"/>
      <c r="Y27" s="1"/>
      <c r="Z27" s="1"/>
    </row>
    <row r="28">
      <c r="A28" s="7" t="s">
        <v>10</v>
      </c>
      <c r="B28" s="7" t="s">
        <v>11</v>
      </c>
      <c r="C28" s="7" t="s">
        <v>66</v>
      </c>
      <c r="D28" s="7" t="s">
        <v>67</v>
      </c>
      <c r="E28" s="7" t="s">
        <v>14</v>
      </c>
      <c r="F28" s="7" t="s">
        <v>74</v>
      </c>
      <c r="G28" s="7" t="s">
        <v>16</v>
      </c>
      <c r="H28" s="7" t="s">
        <v>77</v>
      </c>
      <c r="I28" s="1"/>
      <c r="J28" s="15">
        <v>0.8</v>
      </c>
      <c r="K28" s="15">
        <v>0.8</v>
      </c>
      <c r="L28" s="15">
        <v>0.8</v>
      </c>
      <c r="M28" s="15">
        <v>0.8</v>
      </c>
      <c r="N28" s="15">
        <v>0.8</v>
      </c>
      <c r="O28" s="15">
        <v>0.8</v>
      </c>
      <c r="P28" s="15">
        <v>0.8</v>
      </c>
      <c r="Q28" s="15">
        <v>0.8</v>
      </c>
      <c r="R28" s="15">
        <v>0.8</v>
      </c>
      <c r="S28" s="15">
        <v>0.8</v>
      </c>
      <c r="T28" s="15">
        <v>0.8</v>
      </c>
      <c r="U28" s="15">
        <v>0.8</v>
      </c>
      <c r="V28" s="15">
        <v>9.6</v>
      </c>
      <c r="W28" s="1"/>
      <c r="X28" s="1"/>
      <c r="Y28" s="1"/>
      <c r="Z28" s="1"/>
    </row>
    <row r="29">
      <c r="A29" s="7" t="s">
        <v>10</v>
      </c>
      <c r="B29" s="7" t="s">
        <v>18</v>
      </c>
      <c r="C29" s="7" t="s">
        <v>66</v>
      </c>
      <c r="D29" s="7" t="s">
        <v>67</v>
      </c>
      <c r="E29" s="7" t="s">
        <v>14</v>
      </c>
      <c r="F29" s="7" t="s">
        <v>74</v>
      </c>
      <c r="G29" s="7" t="s">
        <v>16</v>
      </c>
      <c r="H29" s="7" t="s">
        <v>77</v>
      </c>
      <c r="I29" s="1"/>
      <c r="J29" s="15">
        <v>0.2</v>
      </c>
      <c r="K29" s="15">
        <v>0.2</v>
      </c>
      <c r="L29" s="15">
        <v>0.2</v>
      </c>
      <c r="M29" s="15">
        <v>0.2</v>
      </c>
      <c r="N29" s="15">
        <v>0.2</v>
      </c>
      <c r="O29" s="15">
        <v>0.2</v>
      </c>
      <c r="P29" s="15">
        <v>0.2</v>
      </c>
      <c r="Q29" s="15">
        <v>0.2</v>
      </c>
      <c r="R29" s="15">
        <v>0.2</v>
      </c>
      <c r="S29" s="15">
        <v>0.2</v>
      </c>
      <c r="T29" s="15">
        <v>0.2</v>
      </c>
      <c r="U29" s="15">
        <v>0.2</v>
      </c>
      <c r="V29" s="15">
        <v>2.4</v>
      </c>
      <c r="W29" s="1"/>
      <c r="X29" s="1"/>
      <c r="Y29" s="1"/>
      <c r="Z29" s="1"/>
    </row>
    <row r="30">
      <c r="A30" s="7" t="s">
        <v>10</v>
      </c>
      <c r="B30" s="7" t="s">
        <v>11</v>
      </c>
      <c r="C30" s="7" t="s">
        <v>66</v>
      </c>
      <c r="D30" s="7" t="s">
        <v>67</v>
      </c>
      <c r="E30" s="7" t="s">
        <v>14</v>
      </c>
      <c r="F30" s="7" t="s">
        <v>74</v>
      </c>
      <c r="G30" s="7" t="s">
        <v>16</v>
      </c>
      <c r="H30" s="7" t="s">
        <v>78</v>
      </c>
      <c r="I30" s="1"/>
      <c r="J30" s="15">
        <v>0.8</v>
      </c>
      <c r="K30" s="15">
        <v>0.8</v>
      </c>
      <c r="L30" s="15">
        <v>0.8</v>
      </c>
      <c r="M30" s="15">
        <v>0.8</v>
      </c>
      <c r="N30" s="15">
        <v>0.8</v>
      </c>
      <c r="O30" s="15">
        <v>0.8</v>
      </c>
      <c r="P30" s="15">
        <v>0.8</v>
      </c>
      <c r="Q30" s="15">
        <v>0.8</v>
      </c>
      <c r="R30" s="15">
        <v>0.8</v>
      </c>
      <c r="S30" s="15">
        <v>0.8</v>
      </c>
      <c r="T30" s="15">
        <v>0.8</v>
      </c>
      <c r="U30" s="15">
        <v>0.8</v>
      </c>
      <c r="V30" s="15">
        <v>9.6</v>
      </c>
      <c r="W30" s="1"/>
      <c r="X30" s="1"/>
      <c r="Y30" s="1"/>
      <c r="Z30" s="1"/>
    </row>
    <row r="31">
      <c r="A31" s="7" t="s">
        <v>10</v>
      </c>
      <c r="B31" s="7" t="s">
        <v>18</v>
      </c>
      <c r="C31" s="7" t="s">
        <v>66</v>
      </c>
      <c r="D31" s="7" t="s">
        <v>67</v>
      </c>
      <c r="E31" s="7" t="s">
        <v>14</v>
      </c>
      <c r="F31" s="7" t="s">
        <v>74</v>
      </c>
      <c r="G31" s="7" t="s">
        <v>16</v>
      </c>
      <c r="H31" s="7" t="s">
        <v>78</v>
      </c>
      <c r="I31" s="1"/>
      <c r="J31" s="15">
        <v>0.2</v>
      </c>
      <c r="K31" s="15">
        <v>0.2</v>
      </c>
      <c r="L31" s="15">
        <v>0.2</v>
      </c>
      <c r="M31" s="15">
        <v>0.2</v>
      </c>
      <c r="N31" s="15">
        <v>0.2</v>
      </c>
      <c r="O31" s="15">
        <v>0.2</v>
      </c>
      <c r="P31" s="15">
        <v>0.2</v>
      </c>
      <c r="Q31" s="15">
        <v>0.2</v>
      </c>
      <c r="R31" s="15">
        <v>0.2</v>
      </c>
      <c r="S31" s="15">
        <v>0.2</v>
      </c>
      <c r="T31" s="15">
        <v>0.2</v>
      </c>
      <c r="U31" s="15">
        <v>0.2</v>
      </c>
      <c r="V31" s="15">
        <v>2.4</v>
      </c>
      <c r="W31" s="1"/>
      <c r="X31" s="1"/>
      <c r="Y31" s="1"/>
      <c r="Z31" s="1"/>
    </row>
    <row r="32">
      <c r="A32" s="7" t="s">
        <v>10</v>
      </c>
      <c r="B32" s="7" t="s">
        <v>11</v>
      </c>
      <c r="C32" s="7" t="s">
        <v>66</v>
      </c>
      <c r="D32" s="7" t="s">
        <v>67</v>
      </c>
      <c r="E32" s="7" t="s">
        <v>14</v>
      </c>
      <c r="F32" s="7" t="s">
        <v>74</v>
      </c>
      <c r="G32" s="7" t="s">
        <v>16</v>
      </c>
      <c r="H32" s="7" t="s">
        <v>79</v>
      </c>
      <c r="I32" s="1"/>
      <c r="J32" s="15">
        <v>0.8</v>
      </c>
      <c r="K32" s="15">
        <v>0.8</v>
      </c>
      <c r="L32" s="15">
        <v>0.8</v>
      </c>
      <c r="M32" s="15">
        <v>0.8</v>
      </c>
      <c r="N32" s="15">
        <v>0.8</v>
      </c>
      <c r="O32" s="15">
        <v>0.8</v>
      </c>
      <c r="P32" s="15">
        <v>0.8</v>
      </c>
      <c r="Q32" s="15">
        <v>0.8</v>
      </c>
      <c r="R32" s="15">
        <v>0.8</v>
      </c>
      <c r="S32" s="15">
        <v>0.8</v>
      </c>
      <c r="T32" s="15">
        <v>0.8</v>
      </c>
      <c r="U32" s="15">
        <v>0.8</v>
      </c>
      <c r="V32" s="15">
        <v>9.6</v>
      </c>
      <c r="W32" s="1"/>
      <c r="X32" s="1"/>
      <c r="Y32" s="1"/>
      <c r="Z32" s="1"/>
    </row>
    <row r="33">
      <c r="A33" s="7" t="s">
        <v>10</v>
      </c>
      <c r="B33" s="7" t="s">
        <v>18</v>
      </c>
      <c r="C33" s="7" t="s">
        <v>66</v>
      </c>
      <c r="D33" s="7" t="s">
        <v>67</v>
      </c>
      <c r="E33" s="7" t="s">
        <v>14</v>
      </c>
      <c r="F33" s="7" t="s">
        <v>74</v>
      </c>
      <c r="G33" s="7" t="s">
        <v>16</v>
      </c>
      <c r="H33" s="7" t="s">
        <v>79</v>
      </c>
      <c r="I33" s="1"/>
      <c r="J33" s="15">
        <v>0.2</v>
      </c>
      <c r="K33" s="15">
        <v>0.2</v>
      </c>
      <c r="L33" s="15">
        <v>0.2</v>
      </c>
      <c r="M33" s="15">
        <v>0.2</v>
      </c>
      <c r="N33" s="15">
        <v>0.2</v>
      </c>
      <c r="O33" s="15">
        <v>0.2</v>
      </c>
      <c r="P33" s="15">
        <v>0.2</v>
      </c>
      <c r="Q33" s="15">
        <v>0.2</v>
      </c>
      <c r="R33" s="15">
        <v>0.2</v>
      </c>
      <c r="S33" s="15">
        <v>0.2</v>
      </c>
      <c r="T33" s="15">
        <v>0.2</v>
      </c>
      <c r="U33" s="15">
        <v>0.2</v>
      </c>
      <c r="V33" s="15">
        <v>2.4</v>
      </c>
      <c r="W33" s="1"/>
      <c r="X33" s="1"/>
      <c r="Y33" s="1"/>
      <c r="Z33" s="1"/>
    </row>
    <row r="34">
      <c r="A34" s="7" t="s">
        <v>10</v>
      </c>
      <c r="B34" s="7" t="s">
        <v>11</v>
      </c>
      <c r="C34" s="7" t="s">
        <v>66</v>
      </c>
      <c r="D34" s="7" t="s">
        <v>67</v>
      </c>
      <c r="E34" s="7" t="s">
        <v>14</v>
      </c>
      <c r="F34" s="7" t="s">
        <v>74</v>
      </c>
      <c r="G34" s="7" t="s">
        <v>16</v>
      </c>
      <c r="H34" s="7" t="s">
        <v>80</v>
      </c>
      <c r="I34" s="1"/>
      <c r="J34" s="15">
        <v>0.8</v>
      </c>
      <c r="K34" s="15">
        <v>0.8</v>
      </c>
      <c r="L34" s="15">
        <v>0.8</v>
      </c>
      <c r="M34" s="15">
        <v>0.8</v>
      </c>
      <c r="N34" s="15">
        <v>0.8</v>
      </c>
      <c r="O34" s="15">
        <v>0.8</v>
      </c>
      <c r="P34" s="15">
        <v>0.8</v>
      </c>
      <c r="Q34" s="15">
        <v>0.8</v>
      </c>
      <c r="R34" s="15">
        <v>0.8</v>
      </c>
      <c r="S34" s="15">
        <v>0.8</v>
      </c>
      <c r="T34" s="15">
        <v>0.8</v>
      </c>
      <c r="U34" s="15">
        <v>0.8</v>
      </c>
      <c r="V34" s="15">
        <v>9.6</v>
      </c>
      <c r="W34" s="1"/>
      <c r="X34" s="1"/>
      <c r="Y34" s="1"/>
      <c r="Z34" s="1"/>
    </row>
    <row r="35">
      <c r="A35" s="7" t="s">
        <v>10</v>
      </c>
      <c r="B35" s="7" t="s">
        <v>18</v>
      </c>
      <c r="C35" s="7" t="s">
        <v>66</v>
      </c>
      <c r="D35" s="7" t="s">
        <v>67</v>
      </c>
      <c r="E35" s="7" t="s">
        <v>14</v>
      </c>
      <c r="F35" s="7" t="s">
        <v>74</v>
      </c>
      <c r="G35" s="7" t="s">
        <v>16</v>
      </c>
      <c r="H35" s="7" t="s">
        <v>80</v>
      </c>
      <c r="I35" s="1"/>
      <c r="J35" s="15">
        <v>0.2</v>
      </c>
      <c r="K35" s="15">
        <v>0.2</v>
      </c>
      <c r="L35" s="15">
        <v>0.2</v>
      </c>
      <c r="M35" s="15">
        <v>0.2</v>
      </c>
      <c r="N35" s="15">
        <v>0.2</v>
      </c>
      <c r="O35" s="15">
        <v>0.2</v>
      </c>
      <c r="P35" s="15">
        <v>0.2</v>
      </c>
      <c r="Q35" s="15">
        <v>0.2</v>
      </c>
      <c r="R35" s="15">
        <v>0.2</v>
      </c>
      <c r="S35" s="15">
        <v>0.2</v>
      </c>
      <c r="T35" s="15">
        <v>0.2</v>
      </c>
      <c r="U35" s="15">
        <v>0.2</v>
      </c>
      <c r="V35" s="15">
        <v>2.4</v>
      </c>
      <c r="W35" s="1"/>
      <c r="X35" s="1"/>
      <c r="Y35" s="1"/>
      <c r="Z35" s="1"/>
    </row>
    <row r="36">
      <c r="A36" s="7" t="s">
        <v>10</v>
      </c>
      <c r="B36" s="7" t="s">
        <v>11</v>
      </c>
      <c r="C36" s="7" t="s">
        <v>66</v>
      </c>
      <c r="D36" s="7" t="s">
        <v>67</v>
      </c>
      <c r="E36" s="7" t="s">
        <v>14</v>
      </c>
      <c r="F36" s="7" t="s">
        <v>74</v>
      </c>
      <c r="G36" s="7" t="s">
        <v>16</v>
      </c>
      <c r="H36" s="7" t="s">
        <v>81</v>
      </c>
      <c r="I36" s="1"/>
      <c r="J36" s="15">
        <v>0.8</v>
      </c>
      <c r="K36" s="15">
        <v>0.8</v>
      </c>
      <c r="L36" s="15">
        <v>0.8</v>
      </c>
      <c r="M36" s="15">
        <v>0.8</v>
      </c>
      <c r="N36" s="15">
        <v>0.8</v>
      </c>
      <c r="O36" s="15">
        <v>0.8</v>
      </c>
      <c r="P36" s="15">
        <v>0.8</v>
      </c>
      <c r="Q36" s="15">
        <v>0.8</v>
      </c>
      <c r="R36" s="15">
        <v>0.8</v>
      </c>
      <c r="S36" s="15">
        <v>0.8</v>
      </c>
      <c r="T36" s="15">
        <v>0.8</v>
      </c>
      <c r="U36" s="15">
        <v>0.8</v>
      </c>
      <c r="V36" s="15">
        <v>9.6</v>
      </c>
      <c r="W36" s="1"/>
      <c r="X36" s="1"/>
      <c r="Y36" s="1"/>
      <c r="Z36" s="1"/>
    </row>
    <row r="37">
      <c r="A37" s="7" t="s">
        <v>10</v>
      </c>
      <c r="B37" s="7" t="s">
        <v>18</v>
      </c>
      <c r="C37" s="7" t="s">
        <v>66</v>
      </c>
      <c r="D37" s="7" t="s">
        <v>67</v>
      </c>
      <c r="E37" s="7" t="s">
        <v>14</v>
      </c>
      <c r="F37" s="7" t="s">
        <v>74</v>
      </c>
      <c r="G37" s="7" t="s">
        <v>16</v>
      </c>
      <c r="H37" s="7" t="s">
        <v>81</v>
      </c>
      <c r="I37" s="1"/>
      <c r="J37" s="15">
        <v>0.2</v>
      </c>
      <c r="K37" s="15">
        <v>0.2</v>
      </c>
      <c r="L37" s="15">
        <v>0.2</v>
      </c>
      <c r="M37" s="15">
        <v>0.2</v>
      </c>
      <c r="N37" s="15">
        <v>0.2</v>
      </c>
      <c r="O37" s="15">
        <v>0.2</v>
      </c>
      <c r="P37" s="15">
        <v>0.2</v>
      </c>
      <c r="Q37" s="15">
        <v>0.2</v>
      </c>
      <c r="R37" s="15">
        <v>0.2</v>
      </c>
      <c r="S37" s="15">
        <v>0.2</v>
      </c>
      <c r="T37" s="15">
        <v>0.2</v>
      </c>
      <c r="U37" s="15">
        <v>0.2</v>
      </c>
      <c r="V37" s="15">
        <v>2.4</v>
      </c>
      <c r="W37" s="1"/>
      <c r="X37" s="1"/>
      <c r="Y37" s="1"/>
      <c r="Z37" s="1"/>
    </row>
    <row r="38">
      <c r="A38" s="7" t="s">
        <v>10</v>
      </c>
      <c r="B38" s="7" t="s">
        <v>11</v>
      </c>
      <c r="C38" s="7" t="s">
        <v>66</v>
      </c>
      <c r="D38" s="7" t="s">
        <v>67</v>
      </c>
      <c r="E38" s="7" t="s">
        <v>14</v>
      </c>
      <c r="F38" s="7" t="s">
        <v>74</v>
      </c>
      <c r="G38" s="7" t="s">
        <v>16</v>
      </c>
      <c r="H38" s="7" t="s">
        <v>82</v>
      </c>
      <c r="I38" s="1"/>
      <c r="J38" s="15">
        <v>0.8</v>
      </c>
      <c r="K38" s="15">
        <v>0.8</v>
      </c>
      <c r="L38" s="15">
        <v>0.8</v>
      </c>
      <c r="M38" s="15">
        <v>0.8</v>
      </c>
      <c r="N38" s="15">
        <v>0.8</v>
      </c>
      <c r="O38" s="15">
        <v>0.8</v>
      </c>
      <c r="P38" s="15">
        <v>0.8</v>
      </c>
      <c r="Q38" s="15">
        <v>0.8</v>
      </c>
      <c r="R38" s="15">
        <v>0.8</v>
      </c>
      <c r="S38" s="15">
        <v>0.8</v>
      </c>
      <c r="T38" s="15">
        <v>0.8</v>
      </c>
      <c r="U38" s="15">
        <v>0.8</v>
      </c>
      <c r="V38" s="15">
        <v>9.6</v>
      </c>
      <c r="W38" s="1"/>
      <c r="X38" s="1"/>
      <c r="Y38" s="1"/>
      <c r="Z38" s="1"/>
    </row>
    <row r="39">
      <c r="A39" s="7" t="s">
        <v>10</v>
      </c>
      <c r="B39" s="7" t="s">
        <v>18</v>
      </c>
      <c r="C39" s="7" t="s">
        <v>66</v>
      </c>
      <c r="D39" s="7" t="s">
        <v>67</v>
      </c>
      <c r="E39" s="7" t="s">
        <v>14</v>
      </c>
      <c r="F39" s="7" t="s">
        <v>74</v>
      </c>
      <c r="G39" s="7" t="s">
        <v>16</v>
      </c>
      <c r="H39" s="7" t="s">
        <v>82</v>
      </c>
      <c r="I39" s="7"/>
      <c r="J39" s="15">
        <v>0.2</v>
      </c>
      <c r="K39" s="15">
        <v>0.2</v>
      </c>
      <c r="L39" s="15">
        <v>0.2</v>
      </c>
      <c r="M39" s="15">
        <v>0.2</v>
      </c>
      <c r="N39" s="15">
        <v>0.2</v>
      </c>
      <c r="O39" s="15">
        <v>0.2</v>
      </c>
      <c r="P39" s="15">
        <v>0.2</v>
      </c>
      <c r="Q39" s="15">
        <v>0.2</v>
      </c>
      <c r="R39" s="15">
        <v>0.2</v>
      </c>
      <c r="S39" s="15">
        <v>0.2</v>
      </c>
      <c r="T39" s="15">
        <v>0.2</v>
      </c>
      <c r="U39" s="15">
        <v>0.2</v>
      </c>
      <c r="V39" s="15">
        <v>2.4</v>
      </c>
      <c r="W39" s="1"/>
      <c r="X39" s="1"/>
      <c r="Y39" s="1"/>
      <c r="Z39" s="1"/>
    </row>
    <row r="40">
      <c r="A40" s="7" t="s">
        <v>10</v>
      </c>
      <c r="B40" s="7" t="s">
        <v>11</v>
      </c>
      <c r="C40" s="7" t="s">
        <v>66</v>
      </c>
      <c r="D40" s="7" t="s">
        <v>67</v>
      </c>
      <c r="E40" s="7" t="s">
        <v>14</v>
      </c>
      <c r="F40" s="7" t="s">
        <v>74</v>
      </c>
      <c r="G40" s="7" t="s">
        <v>16</v>
      </c>
      <c r="H40" s="7" t="s">
        <v>83</v>
      </c>
      <c r="I40" s="7" t="s">
        <v>84</v>
      </c>
      <c r="J40" s="15">
        <v>1.0</v>
      </c>
      <c r="K40" s="15">
        <v>1.0</v>
      </c>
      <c r="L40" s="15">
        <v>1.0</v>
      </c>
      <c r="M40" s="15">
        <v>1.0</v>
      </c>
      <c r="N40" s="15">
        <v>1.0</v>
      </c>
      <c r="O40" s="15">
        <v>1.0</v>
      </c>
      <c r="P40" s="15">
        <v>1.0</v>
      </c>
      <c r="Q40" s="15">
        <v>1.0</v>
      </c>
      <c r="R40" s="15">
        <v>1.0</v>
      </c>
      <c r="S40" s="15">
        <v>1.0</v>
      </c>
      <c r="T40" s="15">
        <v>1.0</v>
      </c>
      <c r="U40" s="15">
        <v>1.0</v>
      </c>
      <c r="V40" s="15">
        <v>12.0</v>
      </c>
      <c r="W40" s="1"/>
      <c r="X40" s="1"/>
      <c r="Y40" s="1"/>
      <c r="Z40" s="1"/>
    </row>
    <row r="41">
      <c r="A41" s="7" t="s">
        <v>10</v>
      </c>
      <c r="B41" s="7" t="s">
        <v>11</v>
      </c>
      <c r="C41" s="7" t="s">
        <v>66</v>
      </c>
      <c r="D41" s="7" t="s">
        <v>67</v>
      </c>
      <c r="E41" s="7" t="s">
        <v>14</v>
      </c>
      <c r="F41" s="7" t="s">
        <v>74</v>
      </c>
      <c r="G41" s="7" t="s">
        <v>16</v>
      </c>
      <c r="H41" s="7" t="s">
        <v>85</v>
      </c>
      <c r="I41" s="7" t="s">
        <v>84</v>
      </c>
      <c r="J41" s="15">
        <v>1.0</v>
      </c>
      <c r="K41" s="15">
        <v>1.0</v>
      </c>
      <c r="L41" s="15">
        <v>1.0</v>
      </c>
      <c r="M41" s="15">
        <v>1.0</v>
      </c>
      <c r="N41" s="15">
        <v>1.0</v>
      </c>
      <c r="O41" s="15">
        <v>1.0</v>
      </c>
      <c r="P41" s="15">
        <v>1.0</v>
      </c>
      <c r="Q41" s="15">
        <v>1.0</v>
      </c>
      <c r="R41" s="15">
        <v>1.0</v>
      </c>
      <c r="S41" s="15">
        <v>1.0</v>
      </c>
      <c r="T41" s="15">
        <v>1.0</v>
      </c>
      <c r="U41" s="15">
        <v>1.0</v>
      </c>
      <c r="V41" s="15">
        <v>12.0</v>
      </c>
      <c r="W41" s="1"/>
      <c r="X41" s="1"/>
      <c r="Y41" s="1"/>
      <c r="Z41" s="1"/>
    </row>
    <row r="42">
      <c r="A42" s="7" t="s">
        <v>86</v>
      </c>
      <c r="B42" s="7" t="s">
        <v>11</v>
      </c>
      <c r="C42" s="7" t="s">
        <v>66</v>
      </c>
      <c r="D42" s="7" t="s">
        <v>67</v>
      </c>
      <c r="E42" s="7" t="s">
        <v>14</v>
      </c>
      <c r="F42" s="7" t="s">
        <v>74</v>
      </c>
      <c r="G42" s="7" t="s">
        <v>16</v>
      </c>
      <c r="H42" s="7" t="s">
        <v>87</v>
      </c>
      <c r="I42" s="7" t="s">
        <v>88</v>
      </c>
      <c r="J42" s="7">
        <v>1.0</v>
      </c>
      <c r="K42" s="7">
        <v>1.0</v>
      </c>
      <c r="L42" s="7">
        <v>1.0</v>
      </c>
      <c r="M42" s="7">
        <v>1.0</v>
      </c>
      <c r="N42" s="7">
        <v>1.0</v>
      </c>
      <c r="O42" s="15">
        <v>1.0</v>
      </c>
      <c r="P42" s="15">
        <v>1.0</v>
      </c>
      <c r="Q42" s="15">
        <v>1.0</v>
      </c>
      <c r="R42" s="15">
        <v>1.0</v>
      </c>
      <c r="S42" s="15">
        <v>1.0</v>
      </c>
      <c r="T42" s="15">
        <v>1.0</v>
      </c>
      <c r="U42" s="15">
        <v>1.0</v>
      </c>
      <c r="V42" s="15">
        <v>12.0</v>
      </c>
      <c r="W42" s="1"/>
      <c r="X42" s="1"/>
      <c r="Y42" s="1"/>
      <c r="Z42" s="1"/>
    </row>
    <row r="43">
      <c r="A43" s="7" t="s">
        <v>10</v>
      </c>
      <c r="B43" s="7" t="s">
        <v>11</v>
      </c>
      <c r="C43" s="7" t="s">
        <v>66</v>
      </c>
      <c r="D43" s="7" t="s">
        <v>67</v>
      </c>
      <c r="E43" s="7" t="s">
        <v>14</v>
      </c>
      <c r="F43" s="7" t="s">
        <v>26</v>
      </c>
      <c r="G43" s="7" t="s">
        <v>16</v>
      </c>
      <c r="H43" s="7" t="s">
        <v>89</v>
      </c>
      <c r="I43" s="7" t="s">
        <v>90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15">
        <v>1.0</v>
      </c>
      <c r="P43" s="15">
        <v>1.0</v>
      </c>
      <c r="Q43" s="15">
        <v>1.0</v>
      </c>
      <c r="R43" s="15">
        <v>1.0</v>
      </c>
      <c r="S43" s="15">
        <v>1.0</v>
      </c>
      <c r="T43" s="15">
        <v>1.0</v>
      </c>
      <c r="U43" s="15">
        <v>1.0</v>
      </c>
      <c r="V43" s="15">
        <v>7.0</v>
      </c>
      <c r="W43" s="1"/>
      <c r="X43" s="1"/>
      <c r="Y43" s="1"/>
      <c r="Z43" s="1"/>
    </row>
    <row r="44">
      <c r="A44" s="7" t="s">
        <v>10</v>
      </c>
      <c r="B44" s="7" t="s">
        <v>11</v>
      </c>
      <c r="C44" s="7" t="s">
        <v>66</v>
      </c>
      <c r="D44" s="7" t="s">
        <v>67</v>
      </c>
      <c r="E44" s="7" t="s">
        <v>14</v>
      </c>
      <c r="F44" s="7" t="s">
        <v>26</v>
      </c>
      <c r="G44" s="7" t="s">
        <v>16</v>
      </c>
      <c r="H44" s="7" t="s">
        <v>27</v>
      </c>
      <c r="I44" s="7" t="s">
        <v>28</v>
      </c>
      <c r="J44" s="15">
        <v>0.4</v>
      </c>
      <c r="K44" s="15">
        <v>0.4</v>
      </c>
      <c r="L44" s="15">
        <v>0.4</v>
      </c>
      <c r="M44" s="15">
        <v>0.4</v>
      </c>
      <c r="N44" s="15">
        <v>0.4</v>
      </c>
      <c r="O44" s="15">
        <v>0.2</v>
      </c>
      <c r="P44" s="15">
        <v>0.2</v>
      </c>
      <c r="Q44" s="15">
        <v>0.2</v>
      </c>
      <c r="R44" s="15">
        <v>0.2</v>
      </c>
      <c r="S44" s="15">
        <v>0.2</v>
      </c>
      <c r="T44" s="15">
        <v>0.2</v>
      </c>
      <c r="U44" s="15">
        <v>0.2</v>
      </c>
      <c r="V44" s="15">
        <v>3.4000000000000012</v>
      </c>
      <c r="W44" s="1"/>
      <c r="X44" s="1"/>
      <c r="Y44" s="1"/>
      <c r="Z44" s="1"/>
    </row>
    <row r="45">
      <c r="A45" s="7" t="s">
        <v>10</v>
      </c>
      <c r="B45" s="7" t="s">
        <v>11</v>
      </c>
      <c r="C45" s="7" t="s">
        <v>66</v>
      </c>
      <c r="D45" s="7" t="s">
        <v>67</v>
      </c>
      <c r="E45" s="7" t="s">
        <v>14</v>
      </c>
      <c r="F45" s="7" t="s">
        <v>26</v>
      </c>
      <c r="G45" s="7" t="s">
        <v>16</v>
      </c>
      <c r="H45" s="7" t="s">
        <v>91</v>
      </c>
      <c r="I45" s="7" t="s">
        <v>92</v>
      </c>
      <c r="J45" s="15">
        <v>1.0</v>
      </c>
      <c r="K45" s="15">
        <v>1.0</v>
      </c>
      <c r="L45" s="15">
        <v>1.0</v>
      </c>
      <c r="M45" s="15">
        <v>1.0</v>
      </c>
      <c r="N45" s="15">
        <v>1.0</v>
      </c>
      <c r="O45" s="15">
        <v>1.0</v>
      </c>
      <c r="P45" s="15">
        <v>1.0</v>
      </c>
      <c r="Q45" s="15">
        <v>1.0</v>
      </c>
      <c r="R45" s="15">
        <v>1.0</v>
      </c>
      <c r="S45" s="15">
        <v>1.0</v>
      </c>
      <c r="T45" s="15">
        <v>1.0</v>
      </c>
      <c r="U45" s="15">
        <v>1.0</v>
      </c>
      <c r="V45" s="15">
        <v>12.0</v>
      </c>
      <c r="W45" s="1"/>
      <c r="X45" s="1"/>
      <c r="Y45" s="1"/>
      <c r="Z45" s="1"/>
    </row>
    <row r="46">
      <c r="A46" s="7" t="s">
        <v>10</v>
      </c>
      <c r="B46" s="7" t="s">
        <v>18</v>
      </c>
      <c r="C46" s="7" t="s">
        <v>66</v>
      </c>
      <c r="D46" s="7" t="s">
        <v>67</v>
      </c>
      <c r="E46" s="7" t="s">
        <v>14</v>
      </c>
      <c r="F46" s="7" t="s">
        <v>26</v>
      </c>
      <c r="G46" s="7" t="s">
        <v>16</v>
      </c>
      <c r="H46" s="7" t="s">
        <v>93</v>
      </c>
      <c r="I46" s="7" t="s">
        <v>94</v>
      </c>
      <c r="J46" s="15">
        <v>1.0</v>
      </c>
      <c r="K46" s="15">
        <v>1.0</v>
      </c>
      <c r="L46" s="15">
        <v>1.0</v>
      </c>
      <c r="M46" s="15">
        <v>1.0</v>
      </c>
      <c r="N46" s="15">
        <v>1.0</v>
      </c>
      <c r="O46" s="15">
        <v>1.0</v>
      </c>
      <c r="P46" s="15">
        <v>1.0</v>
      </c>
      <c r="Q46" s="15">
        <v>1.0</v>
      </c>
      <c r="R46" s="15">
        <v>1.0</v>
      </c>
      <c r="S46" s="15">
        <v>1.0</v>
      </c>
      <c r="T46" s="15">
        <v>1.0</v>
      </c>
      <c r="U46" s="15">
        <v>1.0</v>
      </c>
      <c r="V46" s="15">
        <v>12.0</v>
      </c>
      <c r="W46" s="1"/>
      <c r="X46" s="1"/>
      <c r="Y46" s="1"/>
      <c r="Z46" s="1"/>
    </row>
    <row r="47">
      <c r="A47" s="7" t="s">
        <v>10</v>
      </c>
      <c r="B47" s="7" t="s">
        <v>11</v>
      </c>
      <c r="C47" s="7" t="s">
        <v>66</v>
      </c>
      <c r="D47" s="7" t="s">
        <v>67</v>
      </c>
      <c r="E47" s="7" t="s">
        <v>14</v>
      </c>
      <c r="F47" s="7" t="s">
        <v>74</v>
      </c>
      <c r="G47" s="7" t="s">
        <v>16</v>
      </c>
      <c r="H47" s="7" t="s">
        <v>96</v>
      </c>
      <c r="I47" s="7"/>
      <c r="J47" s="15">
        <v>0.8</v>
      </c>
      <c r="K47" s="15">
        <v>0.8</v>
      </c>
      <c r="L47" s="15">
        <v>0.8</v>
      </c>
      <c r="M47" s="15">
        <v>0.8</v>
      </c>
      <c r="N47" s="15">
        <v>0.8</v>
      </c>
      <c r="O47" s="15">
        <v>0.8</v>
      </c>
      <c r="P47" s="15">
        <v>0.8</v>
      </c>
      <c r="Q47" s="15">
        <v>0.8</v>
      </c>
      <c r="R47" s="15">
        <v>0.8</v>
      </c>
      <c r="S47" s="15">
        <v>0.8</v>
      </c>
      <c r="T47" s="15">
        <v>0.8</v>
      </c>
      <c r="U47" s="15">
        <v>0.8</v>
      </c>
      <c r="V47" s="15">
        <v>9.6</v>
      </c>
      <c r="W47" s="1"/>
      <c r="X47" s="1"/>
      <c r="Y47" s="1"/>
      <c r="Z47" s="1"/>
    </row>
    <row r="48">
      <c r="A48" s="7" t="s">
        <v>10</v>
      </c>
      <c r="B48" s="7" t="s">
        <v>18</v>
      </c>
      <c r="C48" s="7" t="s">
        <v>66</v>
      </c>
      <c r="D48" s="7" t="s">
        <v>67</v>
      </c>
      <c r="E48" s="7" t="s">
        <v>14</v>
      </c>
      <c r="F48" s="7" t="s">
        <v>74</v>
      </c>
      <c r="G48" s="7" t="s">
        <v>16</v>
      </c>
      <c r="H48" s="7" t="s">
        <v>96</v>
      </c>
      <c r="I48" s="7"/>
      <c r="J48" s="7">
        <v>0.2</v>
      </c>
      <c r="K48" s="7">
        <v>0.2</v>
      </c>
      <c r="L48" s="7">
        <v>0.2</v>
      </c>
      <c r="M48" s="15">
        <v>0.2</v>
      </c>
      <c r="N48" s="15">
        <v>0.2</v>
      </c>
      <c r="O48" s="15">
        <v>0.2</v>
      </c>
      <c r="P48" s="15">
        <v>0.2</v>
      </c>
      <c r="Q48" s="15">
        <v>0.2</v>
      </c>
      <c r="R48" s="15">
        <v>0.2</v>
      </c>
      <c r="S48" s="15">
        <v>0.2</v>
      </c>
      <c r="T48" s="15">
        <v>0.2</v>
      </c>
      <c r="U48" s="15">
        <v>0.2</v>
      </c>
      <c r="V48" s="15">
        <v>2.4</v>
      </c>
      <c r="W48" s="1"/>
      <c r="X48" s="1"/>
      <c r="Y48" s="1"/>
      <c r="Z48" s="1"/>
    </row>
    <row r="49">
      <c r="A49" s="7" t="s">
        <v>10</v>
      </c>
      <c r="B49" s="7" t="s">
        <v>11</v>
      </c>
      <c r="C49" s="7" t="s">
        <v>66</v>
      </c>
      <c r="D49" s="7" t="s">
        <v>67</v>
      </c>
      <c r="E49" s="7" t="s">
        <v>14</v>
      </c>
      <c r="F49" s="7" t="s">
        <v>74</v>
      </c>
      <c r="G49" s="7" t="s">
        <v>16</v>
      </c>
      <c r="H49" s="7" t="s">
        <v>98</v>
      </c>
      <c r="I49" s="7"/>
      <c r="J49" s="7" t="s">
        <v>14</v>
      </c>
      <c r="K49" s="7" t="s">
        <v>14</v>
      </c>
      <c r="L49" s="7" t="s">
        <v>14</v>
      </c>
      <c r="M49" s="15">
        <v>0.8</v>
      </c>
      <c r="N49" s="15">
        <v>0.8</v>
      </c>
      <c r="O49" s="15">
        <v>0.8</v>
      </c>
      <c r="P49" s="15">
        <v>0.8</v>
      </c>
      <c r="Q49" s="15">
        <v>0.8</v>
      </c>
      <c r="R49" s="15">
        <v>0.8</v>
      </c>
      <c r="S49" s="15">
        <v>0.8</v>
      </c>
      <c r="T49" s="15">
        <v>0.8</v>
      </c>
      <c r="U49" s="15">
        <v>0.8</v>
      </c>
      <c r="V49" s="15">
        <v>7.199999999999999</v>
      </c>
      <c r="W49" s="1"/>
      <c r="X49" s="1"/>
      <c r="Y49" s="1"/>
      <c r="Z49" s="1"/>
    </row>
    <row r="50">
      <c r="A50" s="7" t="s">
        <v>10</v>
      </c>
      <c r="B50" s="7" t="s">
        <v>18</v>
      </c>
      <c r="C50" s="7" t="s">
        <v>66</v>
      </c>
      <c r="D50" s="7" t="s">
        <v>67</v>
      </c>
      <c r="E50" s="7" t="s">
        <v>14</v>
      </c>
      <c r="F50" s="7" t="s">
        <v>74</v>
      </c>
      <c r="G50" s="7" t="s">
        <v>16</v>
      </c>
      <c r="H50" s="7" t="s">
        <v>98</v>
      </c>
      <c r="I50" s="7"/>
      <c r="J50" s="7" t="s">
        <v>14</v>
      </c>
      <c r="K50" s="7" t="s">
        <v>14</v>
      </c>
      <c r="L50" s="7" t="s">
        <v>14</v>
      </c>
      <c r="M50" s="15">
        <v>0.2</v>
      </c>
      <c r="N50" s="15">
        <v>0.2</v>
      </c>
      <c r="O50" s="15">
        <v>0.2</v>
      </c>
      <c r="P50" s="15">
        <v>0.2</v>
      </c>
      <c r="Q50" s="15">
        <v>0.2</v>
      </c>
      <c r="R50" s="15">
        <v>0.2</v>
      </c>
      <c r="S50" s="15">
        <v>0.2</v>
      </c>
      <c r="T50" s="15">
        <v>0.2</v>
      </c>
      <c r="U50" s="15">
        <v>0.2</v>
      </c>
      <c r="V50" s="15">
        <v>1.7999999999999998</v>
      </c>
      <c r="W50" s="1"/>
      <c r="X50" s="1"/>
      <c r="Y50" s="1"/>
      <c r="Z50" s="1"/>
    </row>
    <row r="51">
      <c r="A51" s="7" t="s">
        <v>10</v>
      </c>
      <c r="B51" s="7" t="s">
        <v>99</v>
      </c>
      <c r="C51" s="7" t="s">
        <v>99</v>
      </c>
      <c r="D51" s="7" t="s">
        <v>99</v>
      </c>
      <c r="E51" s="7" t="s">
        <v>14</v>
      </c>
      <c r="F51" s="7" t="s">
        <v>37</v>
      </c>
      <c r="G51" s="7" t="s">
        <v>16</v>
      </c>
      <c r="H51" s="7" t="s">
        <v>180</v>
      </c>
      <c r="I51" s="7" t="s">
        <v>181</v>
      </c>
      <c r="J51" s="15">
        <v>1.0</v>
      </c>
      <c r="K51" s="15">
        <v>1.0</v>
      </c>
      <c r="L51" s="15">
        <v>1.0</v>
      </c>
      <c r="M51" s="15">
        <v>1.0</v>
      </c>
      <c r="N51" s="15">
        <v>1.0</v>
      </c>
      <c r="O51" s="15">
        <v>1.0</v>
      </c>
      <c r="P51" s="15">
        <v>1.0</v>
      </c>
      <c r="Q51" s="15">
        <v>1.0</v>
      </c>
      <c r="R51" s="15">
        <v>1.0</v>
      </c>
      <c r="S51" s="15">
        <v>1.0</v>
      </c>
      <c r="T51" s="15">
        <v>1.0</v>
      </c>
      <c r="U51" s="15">
        <v>1.0</v>
      </c>
      <c r="V51" s="15">
        <v>12.0</v>
      </c>
      <c r="W51" s="1"/>
      <c r="X51" s="1"/>
      <c r="Y51" s="1"/>
      <c r="Z51" s="1"/>
    </row>
    <row r="52">
      <c r="A52" s="7" t="s">
        <v>10</v>
      </c>
      <c r="B52" s="7" t="s">
        <v>11</v>
      </c>
      <c r="C52" s="7" t="s">
        <v>99</v>
      </c>
      <c r="D52" s="7" t="s">
        <v>99</v>
      </c>
      <c r="E52" s="7" t="s">
        <v>14</v>
      </c>
      <c r="F52" s="7" t="s">
        <v>37</v>
      </c>
      <c r="G52" s="7" t="s">
        <v>16</v>
      </c>
      <c r="H52" s="7" t="s">
        <v>182</v>
      </c>
      <c r="I52" s="7" t="s">
        <v>183</v>
      </c>
      <c r="J52" s="15">
        <v>0.2</v>
      </c>
      <c r="K52" s="15">
        <v>0.2</v>
      </c>
      <c r="L52" s="15">
        <v>0.2</v>
      </c>
      <c r="M52" s="15">
        <v>0.2</v>
      </c>
      <c r="N52" s="15">
        <v>0.2</v>
      </c>
      <c r="O52" s="15">
        <v>0.2</v>
      </c>
      <c r="P52" s="15">
        <v>0.2</v>
      </c>
      <c r="Q52" s="15">
        <v>0.2</v>
      </c>
      <c r="R52" s="15">
        <v>0.2</v>
      </c>
      <c r="S52" s="15">
        <v>0.2</v>
      </c>
      <c r="T52" s="15">
        <v>0.2</v>
      </c>
      <c r="U52" s="15">
        <v>0.2</v>
      </c>
      <c r="V52" s="15">
        <v>2.4</v>
      </c>
      <c r="W52" s="1"/>
      <c r="X52" s="1"/>
      <c r="Y52" s="1"/>
      <c r="Z52" s="1"/>
    </row>
    <row r="53">
      <c r="A53" s="7" t="s">
        <v>10</v>
      </c>
      <c r="B53" s="7" t="s">
        <v>18</v>
      </c>
      <c r="C53" s="7" t="s">
        <v>99</v>
      </c>
      <c r="D53" s="7" t="s">
        <v>99</v>
      </c>
      <c r="E53" s="7" t="s">
        <v>14</v>
      </c>
      <c r="F53" s="7" t="s">
        <v>37</v>
      </c>
      <c r="G53" s="7" t="s">
        <v>16</v>
      </c>
      <c r="H53" s="7" t="s">
        <v>182</v>
      </c>
      <c r="I53" s="7" t="s">
        <v>183</v>
      </c>
      <c r="J53" s="15">
        <v>0.8</v>
      </c>
      <c r="K53" s="15">
        <v>0.8</v>
      </c>
      <c r="L53" s="15">
        <v>0.8</v>
      </c>
      <c r="M53" s="15">
        <v>0.8</v>
      </c>
      <c r="N53" s="15">
        <v>0.8</v>
      </c>
      <c r="O53" s="15">
        <v>0.8</v>
      </c>
      <c r="P53" s="15">
        <v>0.8</v>
      </c>
      <c r="Q53" s="15">
        <v>0.8</v>
      </c>
      <c r="R53" s="15">
        <v>0.8</v>
      </c>
      <c r="S53" s="15">
        <v>0.8</v>
      </c>
      <c r="T53" s="15">
        <v>0.8</v>
      </c>
      <c r="U53" s="15">
        <v>0.8</v>
      </c>
      <c r="V53" s="15">
        <v>9.6</v>
      </c>
      <c r="W53" s="1"/>
      <c r="X53" s="1"/>
      <c r="Y53" s="1"/>
      <c r="Z53" s="1"/>
    </row>
    <row r="54">
      <c r="A54" s="7" t="s">
        <v>10</v>
      </c>
      <c r="B54" s="7" t="s">
        <v>11</v>
      </c>
      <c r="C54" s="7" t="s">
        <v>99</v>
      </c>
      <c r="D54" s="7" t="s">
        <v>99</v>
      </c>
      <c r="E54" s="7" t="s">
        <v>14</v>
      </c>
      <c r="F54" s="7" t="s">
        <v>37</v>
      </c>
      <c r="G54" s="7" t="s">
        <v>16</v>
      </c>
      <c r="H54" s="7" t="s">
        <v>184</v>
      </c>
      <c r="I54" s="7" t="s">
        <v>183</v>
      </c>
      <c r="J54" s="15">
        <v>0.6</v>
      </c>
      <c r="K54" s="15">
        <v>0.6</v>
      </c>
      <c r="L54" s="15">
        <v>0.6</v>
      </c>
      <c r="M54" s="15">
        <v>0.6</v>
      </c>
      <c r="N54" s="15">
        <v>0.6</v>
      </c>
      <c r="O54" s="15">
        <v>0.6</v>
      </c>
      <c r="P54" s="15">
        <v>0.6</v>
      </c>
      <c r="Q54" s="15">
        <v>0.6</v>
      </c>
      <c r="R54" s="15">
        <v>0.6</v>
      </c>
      <c r="S54" s="15">
        <v>0.6</v>
      </c>
      <c r="T54" s="15">
        <v>0.6</v>
      </c>
      <c r="U54" s="15">
        <v>0.6</v>
      </c>
      <c r="V54" s="15">
        <v>7.199999999999998</v>
      </c>
      <c r="W54" s="1"/>
      <c r="X54" s="1"/>
      <c r="Y54" s="1"/>
      <c r="Z54" s="1"/>
    </row>
    <row r="55">
      <c r="A55" s="7" t="s">
        <v>10</v>
      </c>
      <c r="B55" s="7" t="s">
        <v>18</v>
      </c>
      <c r="C55" s="7" t="s">
        <v>99</v>
      </c>
      <c r="D55" s="7" t="s">
        <v>99</v>
      </c>
      <c r="E55" s="7" t="s">
        <v>14</v>
      </c>
      <c r="F55" s="7" t="s">
        <v>37</v>
      </c>
      <c r="G55" s="7" t="s">
        <v>16</v>
      </c>
      <c r="H55" s="7" t="s">
        <v>184</v>
      </c>
      <c r="I55" s="7" t="s">
        <v>183</v>
      </c>
      <c r="J55" s="15">
        <v>0.4</v>
      </c>
      <c r="K55" s="15">
        <v>0.4</v>
      </c>
      <c r="L55" s="15">
        <v>0.4</v>
      </c>
      <c r="M55" s="15">
        <v>0.4</v>
      </c>
      <c r="N55" s="15">
        <v>0.4</v>
      </c>
      <c r="O55" s="15">
        <v>0.4</v>
      </c>
      <c r="P55" s="15">
        <v>0.4</v>
      </c>
      <c r="Q55" s="15">
        <v>0.4</v>
      </c>
      <c r="R55" s="15">
        <v>0.4</v>
      </c>
      <c r="S55" s="15">
        <v>0.4</v>
      </c>
      <c r="T55" s="15">
        <v>0.4</v>
      </c>
      <c r="U55" s="15">
        <v>0.4</v>
      </c>
      <c r="V55" s="15">
        <v>4.8</v>
      </c>
      <c r="W55" s="1"/>
      <c r="X55" s="1"/>
      <c r="Y55" s="1"/>
      <c r="Z55" s="1"/>
    </row>
    <row r="56">
      <c r="A56" s="7" t="s">
        <v>10</v>
      </c>
      <c r="B56" s="7" t="s">
        <v>11</v>
      </c>
      <c r="C56" s="7" t="s">
        <v>99</v>
      </c>
      <c r="D56" s="7" t="s">
        <v>99</v>
      </c>
      <c r="E56" s="7" t="s">
        <v>14</v>
      </c>
      <c r="F56" s="7" t="s">
        <v>37</v>
      </c>
      <c r="G56" s="7" t="s">
        <v>16</v>
      </c>
      <c r="H56" s="7" t="s">
        <v>185</v>
      </c>
      <c r="I56" s="7" t="s">
        <v>39</v>
      </c>
      <c r="J56" s="15">
        <v>0.6</v>
      </c>
      <c r="K56" s="15">
        <v>0.6</v>
      </c>
      <c r="L56" s="15">
        <v>0.6</v>
      </c>
      <c r="M56" s="15">
        <v>0.6</v>
      </c>
      <c r="N56" s="15">
        <v>0.6</v>
      </c>
      <c r="O56" s="15">
        <v>0.6</v>
      </c>
      <c r="P56" s="15">
        <v>0.6</v>
      </c>
      <c r="Q56" s="15">
        <v>0.6</v>
      </c>
      <c r="R56" s="15">
        <v>0.6</v>
      </c>
      <c r="S56" s="15">
        <v>0.6</v>
      </c>
      <c r="T56" s="15">
        <v>0.6</v>
      </c>
      <c r="U56" s="15">
        <v>0.6</v>
      </c>
      <c r="V56" s="15">
        <v>7.199999999999998</v>
      </c>
      <c r="W56" s="1"/>
      <c r="X56" s="1"/>
      <c r="Y56" s="1"/>
      <c r="Z56" s="1"/>
    </row>
    <row r="57">
      <c r="A57" s="7" t="s">
        <v>10</v>
      </c>
      <c r="B57" s="7" t="s">
        <v>18</v>
      </c>
      <c r="C57" s="7" t="s">
        <v>99</v>
      </c>
      <c r="D57" s="7" t="s">
        <v>99</v>
      </c>
      <c r="E57" s="7" t="s">
        <v>14</v>
      </c>
      <c r="F57" s="7" t="s">
        <v>37</v>
      </c>
      <c r="G57" s="7" t="s">
        <v>16</v>
      </c>
      <c r="H57" s="7" t="s">
        <v>185</v>
      </c>
      <c r="I57" s="7" t="s">
        <v>39</v>
      </c>
      <c r="J57" s="15">
        <v>0.5</v>
      </c>
      <c r="K57" s="15">
        <v>0.5</v>
      </c>
      <c r="L57" s="15">
        <v>0.5</v>
      </c>
      <c r="M57" s="15">
        <v>0.5</v>
      </c>
      <c r="N57" s="15">
        <v>0.4</v>
      </c>
      <c r="O57" s="15">
        <v>0.4</v>
      </c>
      <c r="P57" s="15">
        <v>0.4</v>
      </c>
      <c r="Q57" s="15">
        <v>0.4</v>
      </c>
      <c r="R57" s="15">
        <v>0.4</v>
      </c>
      <c r="S57" s="15">
        <v>0.4</v>
      </c>
      <c r="T57" s="15">
        <v>0.4</v>
      </c>
      <c r="U57" s="15">
        <v>0.4</v>
      </c>
      <c r="V57" s="15">
        <v>5.2</v>
      </c>
      <c r="W57" s="1"/>
      <c r="X57" s="1"/>
      <c r="Y57" s="1"/>
      <c r="Z57" s="1"/>
    </row>
    <row r="58">
      <c r="A58" s="7" t="s">
        <v>10</v>
      </c>
      <c r="B58" s="7" t="s">
        <v>11</v>
      </c>
      <c r="C58" s="7" t="s">
        <v>99</v>
      </c>
      <c r="D58" s="7" t="s">
        <v>99</v>
      </c>
      <c r="E58" s="7" t="s">
        <v>14</v>
      </c>
      <c r="F58" s="7" t="s">
        <v>37</v>
      </c>
      <c r="G58" s="7" t="s">
        <v>16</v>
      </c>
      <c r="H58" s="7" t="s">
        <v>38</v>
      </c>
      <c r="I58" s="7" t="s">
        <v>39</v>
      </c>
      <c r="J58" s="15">
        <v>0.3</v>
      </c>
      <c r="K58" s="15">
        <v>0.3</v>
      </c>
      <c r="L58" s="15">
        <v>0.3</v>
      </c>
      <c r="M58" s="15">
        <v>0.3</v>
      </c>
      <c r="N58" s="15">
        <v>0.3</v>
      </c>
      <c r="O58" s="15">
        <v>0.3</v>
      </c>
      <c r="P58" s="15">
        <v>0.3</v>
      </c>
      <c r="Q58" s="15">
        <v>0.3</v>
      </c>
      <c r="R58" s="15">
        <v>0.3</v>
      </c>
      <c r="S58" s="15">
        <v>0.3</v>
      </c>
      <c r="T58" s="15">
        <v>0.3</v>
      </c>
      <c r="U58" s="15">
        <v>0.3</v>
      </c>
      <c r="V58" s="15">
        <v>3.599999999999999</v>
      </c>
      <c r="W58" s="1"/>
      <c r="X58" s="1"/>
      <c r="Y58" s="1"/>
      <c r="Z58" s="1"/>
    </row>
    <row r="59">
      <c r="A59" s="7" t="s">
        <v>10</v>
      </c>
      <c r="B59" s="7" t="s">
        <v>18</v>
      </c>
      <c r="C59" s="7" t="s">
        <v>99</v>
      </c>
      <c r="D59" s="7" t="s">
        <v>99</v>
      </c>
      <c r="E59" s="7" t="s">
        <v>14</v>
      </c>
      <c r="F59" s="7" t="s">
        <v>37</v>
      </c>
      <c r="G59" s="7" t="s">
        <v>16</v>
      </c>
      <c r="H59" s="7" t="s">
        <v>38</v>
      </c>
      <c r="I59" s="7" t="s">
        <v>39</v>
      </c>
      <c r="J59" s="15">
        <v>0.7</v>
      </c>
      <c r="K59" s="15">
        <v>0.7</v>
      </c>
      <c r="L59" s="15">
        <v>0.7</v>
      </c>
      <c r="M59" s="15">
        <v>0.7</v>
      </c>
      <c r="N59" s="15">
        <v>0.6</v>
      </c>
      <c r="O59" s="15">
        <v>0.6</v>
      </c>
      <c r="P59" s="15">
        <v>0.6</v>
      </c>
      <c r="Q59" s="15">
        <v>0.6</v>
      </c>
      <c r="R59" s="15">
        <v>0.6</v>
      </c>
      <c r="S59" s="15">
        <v>0.6</v>
      </c>
      <c r="T59" s="15">
        <v>0.6</v>
      </c>
      <c r="U59" s="15">
        <v>0.6</v>
      </c>
      <c r="V59" s="15">
        <v>7.599999999999998</v>
      </c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7.63"/>
    <col customWidth="1" min="3" max="3" width="10.5"/>
    <col customWidth="1" min="4" max="4" width="7.38"/>
    <col customWidth="1" min="5" max="5" width="16.0"/>
    <col customWidth="1" min="6" max="6" width="30.5"/>
    <col customWidth="1" min="7" max="7" width="9.38"/>
    <col customWidth="1" min="8" max="8" width="11.0"/>
    <col customWidth="1" min="9" max="9" width="4.38"/>
    <col customWidth="1" min="10" max="21" width="8.88"/>
    <col customWidth="1" min="22" max="22" width="9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40</v>
      </c>
      <c r="I1" s="1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  <c r="AA1" s="1"/>
    </row>
    <row r="2">
      <c r="A2" s="12" t="s">
        <v>10</v>
      </c>
      <c r="B2" s="12" t="s">
        <v>18</v>
      </c>
      <c r="C2" s="12" t="s">
        <v>66</v>
      </c>
      <c r="D2" s="12" t="s">
        <v>67</v>
      </c>
      <c r="E2" s="12" t="s">
        <v>14</v>
      </c>
      <c r="F2" s="12" t="s">
        <v>37</v>
      </c>
      <c r="G2" s="12" t="s">
        <v>42</v>
      </c>
      <c r="H2" s="12" t="s">
        <v>224</v>
      </c>
      <c r="J2" s="13">
        <v>82112.04</v>
      </c>
      <c r="K2" s="13">
        <v>80770.79</v>
      </c>
      <c r="L2" s="13">
        <v>81927.04</v>
      </c>
      <c r="M2" s="13">
        <v>81485.82</v>
      </c>
      <c r="N2" s="13">
        <v>80070.57</v>
      </c>
      <c r="O2" s="13">
        <v>79376.82</v>
      </c>
      <c r="P2" s="13">
        <v>81226.82</v>
      </c>
      <c r="Q2" s="13">
        <v>81411.82</v>
      </c>
      <c r="R2" s="13">
        <v>81458.07</v>
      </c>
      <c r="S2" s="13">
        <v>82780.82</v>
      </c>
      <c r="T2" s="13">
        <v>80070.57</v>
      </c>
      <c r="U2" s="13">
        <v>81874.32</v>
      </c>
      <c r="V2" s="13">
        <v>974565.48</v>
      </c>
    </row>
    <row r="3">
      <c r="A3" s="12" t="s">
        <v>10</v>
      </c>
      <c r="B3" s="12" t="s">
        <v>11</v>
      </c>
      <c r="C3" s="12" t="s">
        <v>66</v>
      </c>
      <c r="D3" s="12" t="s">
        <v>67</v>
      </c>
      <c r="E3" s="12" t="s">
        <v>14</v>
      </c>
      <c r="F3" s="12" t="s">
        <v>37</v>
      </c>
      <c r="G3" s="12" t="s">
        <v>42</v>
      </c>
      <c r="H3" s="12" t="s">
        <v>224</v>
      </c>
      <c r="J3" s="13">
        <v>1305585.71</v>
      </c>
      <c r="K3" s="13">
        <v>792426.96</v>
      </c>
      <c r="L3" s="13">
        <v>803770.71</v>
      </c>
      <c r="M3" s="13">
        <v>799441.93</v>
      </c>
      <c r="N3" s="13">
        <v>785557.18</v>
      </c>
      <c r="O3" s="13">
        <v>778750.93</v>
      </c>
      <c r="P3" s="13">
        <v>796900.93</v>
      </c>
      <c r="Q3" s="13">
        <v>798715.93</v>
      </c>
      <c r="R3" s="13">
        <v>799169.68</v>
      </c>
      <c r="S3" s="13">
        <v>812146.93</v>
      </c>
      <c r="T3" s="13">
        <v>785557.18</v>
      </c>
      <c r="U3" s="13">
        <v>803253.43</v>
      </c>
      <c r="V3" s="13">
        <v>9561277.52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8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3">
        <v>46204.0</v>
      </c>
      <c r="Q1" s="3">
        <v>46235.0</v>
      </c>
      <c r="R1" s="3">
        <v>46266.0</v>
      </c>
      <c r="S1" s="3">
        <v>46296.0</v>
      </c>
      <c r="T1" s="3">
        <v>46327.0</v>
      </c>
      <c r="U1" s="3">
        <v>46357.0</v>
      </c>
      <c r="V1" s="1" t="s">
        <v>9</v>
      </c>
      <c r="W1" s="1"/>
      <c r="X1" s="1"/>
      <c r="Y1" s="1"/>
      <c r="Z1" s="1"/>
      <c r="AA1" s="1"/>
    </row>
    <row r="2">
      <c r="A2" s="12" t="s">
        <v>10</v>
      </c>
      <c r="B2" s="12" t="s">
        <v>18</v>
      </c>
      <c r="C2" s="12" t="s">
        <v>99</v>
      </c>
      <c r="D2" s="12" t="s">
        <v>99</v>
      </c>
      <c r="E2" s="12" t="s">
        <v>14</v>
      </c>
      <c r="F2" s="12" t="s">
        <v>37</v>
      </c>
      <c r="G2" s="12" t="s">
        <v>42</v>
      </c>
      <c r="H2" s="12" t="s">
        <v>225</v>
      </c>
      <c r="J2" s="13">
        <v>31741.47</v>
      </c>
      <c r="K2" s="13">
        <v>32444.47</v>
      </c>
      <c r="L2" s="13">
        <v>30631.47</v>
      </c>
      <c r="M2" s="13">
        <v>37890.68</v>
      </c>
      <c r="N2" s="13">
        <v>31286.18</v>
      </c>
      <c r="O2" s="13">
        <v>33753.9</v>
      </c>
      <c r="P2" s="13">
        <v>35270.9</v>
      </c>
      <c r="Q2" s="13">
        <v>35270.9</v>
      </c>
      <c r="R2" s="13">
        <v>31940.9</v>
      </c>
      <c r="S2" s="13">
        <v>31940.9</v>
      </c>
      <c r="T2" s="13">
        <v>31940.9</v>
      </c>
      <c r="U2" s="13">
        <v>31833.78</v>
      </c>
      <c r="V2" s="13">
        <v>411335.01</v>
      </c>
    </row>
    <row r="3">
      <c r="A3" s="12" t="s">
        <v>10</v>
      </c>
      <c r="B3" s="12" t="s">
        <v>11</v>
      </c>
      <c r="C3" s="12" t="s">
        <v>99</v>
      </c>
      <c r="D3" s="12" t="s">
        <v>99</v>
      </c>
      <c r="E3" s="12" t="s">
        <v>14</v>
      </c>
      <c r="F3" s="12" t="s">
        <v>37</v>
      </c>
      <c r="G3" s="12" t="s">
        <v>42</v>
      </c>
      <c r="H3" s="12" t="s">
        <v>225</v>
      </c>
      <c r="J3" s="13">
        <v>311409.53</v>
      </c>
      <c r="K3" s="13">
        <v>318306.53</v>
      </c>
      <c r="L3" s="13">
        <v>300519.53</v>
      </c>
      <c r="M3" s="13">
        <v>371738.32</v>
      </c>
      <c r="N3" s="13">
        <v>306942.82</v>
      </c>
      <c r="O3" s="13">
        <v>331153.1</v>
      </c>
      <c r="P3" s="13">
        <v>346036.1</v>
      </c>
      <c r="Q3" s="13">
        <v>346036.1</v>
      </c>
      <c r="R3" s="13">
        <v>313366.1</v>
      </c>
      <c r="S3" s="13">
        <v>313366.1</v>
      </c>
      <c r="T3" s="13">
        <v>313366.1</v>
      </c>
      <c r="U3" s="13">
        <v>312315.22</v>
      </c>
      <c r="V3" s="13">
        <v>4035529.99</v>
      </c>
    </row>
    <row r="4">
      <c r="A4" s="12" t="s">
        <v>10</v>
      </c>
      <c r="B4" s="12" t="s">
        <v>18</v>
      </c>
      <c r="C4" s="12" t="s">
        <v>99</v>
      </c>
      <c r="D4" s="12" t="s">
        <v>99</v>
      </c>
      <c r="E4" s="12" t="s">
        <v>14</v>
      </c>
      <c r="F4" s="12" t="s">
        <v>37</v>
      </c>
      <c r="G4" s="12" t="s">
        <v>16</v>
      </c>
      <c r="H4" s="12" t="s">
        <v>225</v>
      </c>
      <c r="J4" s="13">
        <v>446556.98</v>
      </c>
      <c r="K4" s="13">
        <v>446556.98</v>
      </c>
      <c r="L4" s="13">
        <v>446556.98</v>
      </c>
      <c r="M4" s="13">
        <v>446711.18</v>
      </c>
      <c r="N4" s="13">
        <v>417334.18</v>
      </c>
      <c r="O4" s="13">
        <v>417488.37</v>
      </c>
      <c r="P4" s="13">
        <v>417488.37</v>
      </c>
      <c r="Q4" s="13">
        <v>417488.37</v>
      </c>
      <c r="R4" s="13">
        <v>417488.37</v>
      </c>
      <c r="S4" s="13">
        <v>417488.37</v>
      </c>
      <c r="T4" s="13">
        <v>417488.37</v>
      </c>
      <c r="U4" s="13">
        <v>417488.37</v>
      </c>
      <c r="V4" s="13">
        <v>5126520.43</v>
      </c>
    </row>
    <row r="5">
      <c r="A5" s="12" t="s">
        <v>10</v>
      </c>
      <c r="B5" s="12" t="s">
        <v>11</v>
      </c>
      <c r="C5" s="12" t="s">
        <v>99</v>
      </c>
      <c r="D5" s="12" t="s">
        <v>99</v>
      </c>
      <c r="E5" s="12" t="s">
        <v>14</v>
      </c>
      <c r="F5" s="12" t="s">
        <v>37</v>
      </c>
      <c r="G5" s="12" t="s">
        <v>16</v>
      </c>
      <c r="H5" s="12" t="s">
        <v>225</v>
      </c>
      <c r="J5" s="13">
        <v>606064.02</v>
      </c>
      <c r="K5" s="13">
        <v>606064.02</v>
      </c>
      <c r="L5" s="13">
        <v>606064.02</v>
      </c>
      <c r="M5" s="13">
        <v>607576.82</v>
      </c>
      <c r="N5" s="13">
        <v>607576.82</v>
      </c>
      <c r="O5" s="13">
        <v>609089.63</v>
      </c>
      <c r="P5" s="13">
        <v>609089.63</v>
      </c>
      <c r="Q5" s="13">
        <v>609089.63</v>
      </c>
      <c r="R5" s="13">
        <v>609089.63</v>
      </c>
      <c r="S5" s="13">
        <v>609089.63</v>
      </c>
      <c r="T5" s="13">
        <v>609089.63</v>
      </c>
      <c r="U5" s="13">
        <v>609089.63</v>
      </c>
      <c r="V5" s="13">
        <v>7300755.57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3">
        <v>46023.0</v>
      </c>
      <c r="D1" s="3">
        <v>46054.0</v>
      </c>
      <c r="E1" s="3">
        <v>46082.0</v>
      </c>
      <c r="F1" s="3">
        <v>46113.0</v>
      </c>
      <c r="G1" s="3">
        <v>46143.0</v>
      </c>
      <c r="H1" s="3">
        <v>46174.0</v>
      </c>
      <c r="I1" s="3">
        <v>46204.0</v>
      </c>
      <c r="J1" s="3">
        <v>46235.0</v>
      </c>
      <c r="K1" s="3">
        <v>46266.0</v>
      </c>
      <c r="L1" s="3">
        <v>46296.0</v>
      </c>
      <c r="M1" s="3">
        <v>46327.0</v>
      </c>
      <c r="N1" s="3">
        <v>46357.0</v>
      </c>
    </row>
    <row r="2">
      <c r="A2" s="7" t="s">
        <v>180</v>
      </c>
      <c r="B2" s="7" t="s">
        <v>181</v>
      </c>
      <c r="C2" s="7">
        <v>1.0</v>
      </c>
      <c r="D2" s="7">
        <v>1.0</v>
      </c>
      <c r="E2" s="7">
        <v>1.0</v>
      </c>
      <c r="F2" s="7">
        <v>1.0</v>
      </c>
      <c r="G2" s="7">
        <v>1.0</v>
      </c>
      <c r="H2" s="7">
        <v>1.0</v>
      </c>
      <c r="I2" s="7">
        <v>1.0</v>
      </c>
      <c r="J2" s="7">
        <v>1.0</v>
      </c>
      <c r="K2" s="7">
        <v>1.0</v>
      </c>
      <c r="L2" s="7">
        <v>1.0</v>
      </c>
      <c r="M2" s="7">
        <v>1.0</v>
      </c>
      <c r="N2" s="7">
        <v>1.0</v>
      </c>
    </row>
    <row r="3">
      <c r="A3" s="7" t="s">
        <v>182</v>
      </c>
      <c r="B3" s="7" t="s">
        <v>183</v>
      </c>
      <c r="C3" s="7">
        <v>1.0</v>
      </c>
      <c r="D3" s="7">
        <v>1.0</v>
      </c>
      <c r="E3" s="7">
        <v>1.0</v>
      </c>
      <c r="F3" s="7">
        <v>1.0</v>
      </c>
      <c r="G3" s="7">
        <v>1.0</v>
      </c>
      <c r="H3" s="7">
        <v>1.0</v>
      </c>
      <c r="I3" s="7">
        <v>1.0</v>
      </c>
      <c r="J3" s="7">
        <v>1.0</v>
      </c>
      <c r="K3" s="7">
        <v>1.0</v>
      </c>
      <c r="L3" s="7">
        <v>1.0</v>
      </c>
      <c r="M3" s="7">
        <v>1.0</v>
      </c>
      <c r="N3" s="7">
        <v>1.0</v>
      </c>
    </row>
    <row r="4">
      <c r="A4" s="7" t="s">
        <v>184</v>
      </c>
      <c r="B4" s="7" t="s">
        <v>183</v>
      </c>
      <c r="C4" s="7">
        <v>1.0</v>
      </c>
      <c r="D4" s="7">
        <v>1.0</v>
      </c>
      <c r="E4" s="7">
        <v>1.0</v>
      </c>
      <c r="F4" s="7">
        <v>1.0</v>
      </c>
      <c r="G4" s="7">
        <v>1.0</v>
      </c>
      <c r="H4" s="7">
        <v>1.0</v>
      </c>
      <c r="I4" s="7">
        <v>1.0</v>
      </c>
      <c r="J4" s="7">
        <v>1.0</v>
      </c>
      <c r="K4" s="7">
        <v>1.0</v>
      </c>
      <c r="L4" s="7">
        <v>1.0</v>
      </c>
      <c r="M4" s="7">
        <v>1.0</v>
      </c>
      <c r="N4" s="7">
        <v>1.0</v>
      </c>
    </row>
    <row r="5">
      <c r="A5" s="7" t="s">
        <v>185</v>
      </c>
      <c r="B5" s="7" t="s">
        <v>39</v>
      </c>
      <c r="C5" s="7">
        <v>1.0</v>
      </c>
      <c r="D5" s="7">
        <v>1.0</v>
      </c>
      <c r="E5" s="7">
        <v>1.0</v>
      </c>
      <c r="F5" s="7">
        <v>1.0</v>
      </c>
      <c r="G5" s="7">
        <v>1.0</v>
      </c>
      <c r="H5" s="7">
        <v>1.0</v>
      </c>
      <c r="I5" s="7">
        <v>1.0</v>
      </c>
      <c r="J5" s="7">
        <v>1.0</v>
      </c>
      <c r="K5" s="7">
        <v>1.0</v>
      </c>
      <c r="L5" s="7">
        <v>1.0</v>
      </c>
      <c r="M5" s="7">
        <v>1.0</v>
      </c>
      <c r="N5" s="7">
        <v>1.0</v>
      </c>
    </row>
    <row r="6">
      <c r="A6" s="7" t="s">
        <v>38</v>
      </c>
      <c r="B6" s="7" t="s">
        <v>39</v>
      </c>
      <c r="C6" s="7">
        <v>1.0</v>
      </c>
      <c r="D6" s="7">
        <v>1.0</v>
      </c>
      <c r="E6" s="7">
        <v>1.0</v>
      </c>
      <c r="F6" s="7">
        <v>1.0</v>
      </c>
      <c r="G6" s="7">
        <v>1.0</v>
      </c>
      <c r="H6" s="7">
        <v>1.0</v>
      </c>
      <c r="I6" s="7">
        <v>1.0</v>
      </c>
      <c r="J6" s="7">
        <v>1.0</v>
      </c>
      <c r="K6" s="7">
        <v>1.0</v>
      </c>
      <c r="L6" s="7">
        <v>1.0</v>
      </c>
      <c r="M6" s="7">
        <v>1.0</v>
      </c>
      <c r="N6" s="7">
        <v>1.0</v>
      </c>
    </row>
    <row r="7">
      <c r="A7" s="7" t="s">
        <v>69</v>
      </c>
      <c r="B7" s="7" t="s">
        <v>226</v>
      </c>
      <c r="C7" s="7">
        <v>1.0</v>
      </c>
      <c r="D7" s="7">
        <v>1.0</v>
      </c>
      <c r="E7" s="7">
        <v>1.0</v>
      </c>
      <c r="F7" s="7">
        <v>1.0</v>
      </c>
      <c r="G7" s="7">
        <v>1.0</v>
      </c>
      <c r="H7" s="7">
        <v>1.0</v>
      </c>
      <c r="I7" s="7">
        <v>1.0</v>
      </c>
      <c r="J7" s="7">
        <v>1.0</v>
      </c>
      <c r="K7" s="7">
        <v>1.0</v>
      </c>
      <c r="L7" s="7">
        <v>1.0</v>
      </c>
      <c r="M7" s="7">
        <v>1.0</v>
      </c>
      <c r="N7" s="7">
        <v>1.0</v>
      </c>
    </row>
    <row r="8">
      <c r="A8" s="7" t="s">
        <v>70</v>
      </c>
      <c r="B8" s="7" t="s">
        <v>226</v>
      </c>
      <c r="C8" s="7">
        <v>1.0</v>
      </c>
      <c r="D8" s="7">
        <v>1.0</v>
      </c>
      <c r="E8" s="7">
        <v>1.0</v>
      </c>
      <c r="F8" s="7">
        <v>1.0</v>
      </c>
      <c r="G8" s="7">
        <v>1.0</v>
      </c>
      <c r="H8" s="7">
        <v>1.0</v>
      </c>
      <c r="I8" s="7">
        <v>1.0</v>
      </c>
      <c r="J8" s="7">
        <v>1.0</v>
      </c>
      <c r="K8" s="7">
        <v>1.0</v>
      </c>
      <c r="L8" s="7">
        <v>1.0</v>
      </c>
      <c r="M8" s="7">
        <v>1.0</v>
      </c>
      <c r="N8" s="7">
        <v>1.0</v>
      </c>
    </row>
    <row r="9">
      <c r="A9" s="7" t="s">
        <v>72</v>
      </c>
      <c r="B9" s="7" t="s">
        <v>226</v>
      </c>
      <c r="C9" s="7">
        <v>1.0</v>
      </c>
      <c r="D9" s="7">
        <v>1.0</v>
      </c>
      <c r="E9" s="7">
        <v>1.0</v>
      </c>
      <c r="F9" s="7">
        <v>1.0</v>
      </c>
      <c r="G9" s="7">
        <v>1.0</v>
      </c>
      <c r="H9" s="7">
        <v>1.0</v>
      </c>
      <c r="I9" s="7">
        <v>1.0</v>
      </c>
      <c r="J9" s="7">
        <v>1.0</v>
      </c>
      <c r="K9" s="7">
        <v>1.0</v>
      </c>
      <c r="L9" s="7">
        <v>1.0</v>
      </c>
      <c r="M9" s="7">
        <v>1.0</v>
      </c>
      <c r="N9" s="7">
        <v>1.0</v>
      </c>
    </row>
    <row r="10">
      <c r="A10" s="7" t="s">
        <v>73</v>
      </c>
      <c r="B10" s="7" t="s">
        <v>226</v>
      </c>
      <c r="C10" s="7">
        <v>1.0</v>
      </c>
      <c r="D10" s="7">
        <v>1.0</v>
      </c>
      <c r="E10" s="7">
        <v>1.0</v>
      </c>
      <c r="F10" s="7">
        <v>1.0</v>
      </c>
      <c r="G10" s="7">
        <v>1.0</v>
      </c>
      <c r="H10" s="7">
        <v>1.0</v>
      </c>
      <c r="I10" s="7">
        <v>1.0</v>
      </c>
      <c r="J10" s="7">
        <v>1.0</v>
      </c>
      <c r="K10" s="7">
        <v>1.0</v>
      </c>
      <c r="L10" s="7">
        <v>1.0</v>
      </c>
      <c r="M10" s="7">
        <v>1.0</v>
      </c>
      <c r="N10" s="7">
        <v>1.0</v>
      </c>
    </row>
    <row r="11">
      <c r="A11" s="7" t="s">
        <v>75</v>
      </c>
      <c r="B11" s="7" t="s">
        <v>226</v>
      </c>
      <c r="C11" s="7">
        <v>1.0</v>
      </c>
      <c r="D11" s="7">
        <v>1.0</v>
      </c>
      <c r="E11" s="7">
        <v>1.0</v>
      </c>
      <c r="F11" s="7">
        <v>1.0</v>
      </c>
      <c r="G11" s="7">
        <v>1.0</v>
      </c>
      <c r="H11" s="7">
        <v>1.0</v>
      </c>
      <c r="I11" s="7">
        <v>1.0</v>
      </c>
      <c r="J11" s="7">
        <v>1.0</v>
      </c>
      <c r="K11" s="7">
        <v>1.0</v>
      </c>
      <c r="L11" s="7">
        <v>1.0</v>
      </c>
      <c r="M11" s="7">
        <v>1.0</v>
      </c>
      <c r="N11" s="7">
        <v>1.0</v>
      </c>
    </row>
    <row r="12">
      <c r="A12" s="7" t="s">
        <v>76</v>
      </c>
      <c r="B12" s="7" t="s">
        <v>226</v>
      </c>
      <c r="C12" s="7">
        <v>1.0</v>
      </c>
      <c r="D12" s="7">
        <v>1.0</v>
      </c>
      <c r="E12" s="7">
        <v>1.0</v>
      </c>
      <c r="F12" s="7">
        <v>1.0</v>
      </c>
      <c r="G12" s="7">
        <v>1.0</v>
      </c>
      <c r="H12" s="7">
        <v>1.0</v>
      </c>
      <c r="I12" s="7">
        <v>1.0</v>
      </c>
      <c r="J12" s="7">
        <v>1.0</v>
      </c>
      <c r="K12" s="7">
        <v>1.0</v>
      </c>
      <c r="L12" s="7">
        <v>1.0</v>
      </c>
      <c r="M12" s="7">
        <v>1.0</v>
      </c>
      <c r="N12" s="7">
        <v>1.0</v>
      </c>
    </row>
    <row r="13">
      <c r="A13" s="7" t="s">
        <v>77</v>
      </c>
      <c r="B13" s="7" t="s">
        <v>226</v>
      </c>
      <c r="C13" s="7">
        <v>1.0</v>
      </c>
      <c r="D13" s="7">
        <v>1.0</v>
      </c>
      <c r="E13" s="7">
        <v>1.0</v>
      </c>
      <c r="F13" s="7">
        <v>1.0</v>
      </c>
      <c r="G13" s="7">
        <v>1.0</v>
      </c>
      <c r="H13" s="7">
        <v>1.0</v>
      </c>
      <c r="I13" s="7">
        <v>1.0</v>
      </c>
      <c r="J13" s="7">
        <v>1.0</v>
      </c>
      <c r="K13" s="7">
        <v>1.0</v>
      </c>
      <c r="L13" s="7">
        <v>1.0</v>
      </c>
      <c r="M13" s="7">
        <v>1.0</v>
      </c>
      <c r="N13" s="7">
        <v>1.0</v>
      </c>
    </row>
    <row r="14">
      <c r="A14" s="7" t="s">
        <v>78</v>
      </c>
      <c r="B14" s="7" t="s">
        <v>226</v>
      </c>
      <c r="C14" s="7">
        <v>1.0</v>
      </c>
      <c r="D14" s="7">
        <v>1.0</v>
      </c>
      <c r="E14" s="7">
        <v>1.0</v>
      </c>
      <c r="F14" s="7">
        <v>1.0</v>
      </c>
      <c r="G14" s="7">
        <v>1.0</v>
      </c>
      <c r="H14" s="7">
        <v>1.0</v>
      </c>
      <c r="I14" s="7">
        <v>1.0</v>
      </c>
      <c r="J14" s="7">
        <v>1.0</v>
      </c>
      <c r="K14" s="7">
        <v>1.0</v>
      </c>
      <c r="L14" s="7">
        <v>1.0</v>
      </c>
      <c r="M14" s="7">
        <v>1.0</v>
      </c>
      <c r="N14" s="7">
        <v>1.0</v>
      </c>
    </row>
    <row r="15">
      <c r="A15" s="7" t="s">
        <v>79</v>
      </c>
      <c r="B15" s="7" t="s">
        <v>226</v>
      </c>
      <c r="C15" s="7">
        <v>1.0</v>
      </c>
      <c r="D15" s="7">
        <v>1.0</v>
      </c>
      <c r="E15" s="7">
        <v>1.0</v>
      </c>
      <c r="F15" s="7">
        <v>1.0</v>
      </c>
      <c r="G15" s="7">
        <v>1.0</v>
      </c>
      <c r="H15" s="7">
        <v>1.0</v>
      </c>
      <c r="I15" s="7">
        <v>1.0</v>
      </c>
      <c r="J15" s="7">
        <v>1.0</v>
      </c>
      <c r="K15" s="7">
        <v>1.0</v>
      </c>
      <c r="L15" s="7">
        <v>1.0</v>
      </c>
      <c r="M15" s="7">
        <v>1.0</v>
      </c>
      <c r="N15" s="7">
        <v>1.0</v>
      </c>
    </row>
    <row r="16">
      <c r="A16" s="7" t="s">
        <v>80</v>
      </c>
      <c r="B16" s="7" t="s">
        <v>226</v>
      </c>
      <c r="C16" s="7">
        <v>1.0</v>
      </c>
      <c r="D16" s="7">
        <v>1.0</v>
      </c>
      <c r="E16" s="7">
        <v>1.0</v>
      </c>
      <c r="F16" s="7">
        <v>1.0</v>
      </c>
      <c r="G16" s="7">
        <v>1.0</v>
      </c>
      <c r="H16" s="7">
        <v>1.0</v>
      </c>
      <c r="I16" s="7">
        <v>1.0</v>
      </c>
      <c r="J16" s="7">
        <v>1.0</v>
      </c>
      <c r="K16" s="7">
        <v>1.0</v>
      </c>
      <c r="L16" s="7">
        <v>1.0</v>
      </c>
      <c r="M16" s="7">
        <v>1.0</v>
      </c>
      <c r="N16" s="7">
        <v>1.0</v>
      </c>
    </row>
    <row r="17">
      <c r="A17" s="7" t="s">
        <v>81</v>
      </c>
      <c r="B17" s="7" t="s">
        <v>226</v>
      </c>
      <c r="C17" s="7">
        <v>1.0</v>
      </c>
      <c r="D17" s="7">
        <v>1.0</v>
      </c>
      <c r="E17" s="7">
        <v>1.0</v>
      </c>
      <c r="F17" s="7">
        <v>1.0</v>
      </c>
      <c r="G17" s="7">
        <v>1.0</v>
      </c>
      <c r="H17" s="7">
        <v>1.0</v>
      </c>
      <c r="I17" s="7">
        <v>1.0</v>
      </c>
      <c r="J17" s="7">
        <v>1.0</v>
      </c>
      <c r="K17" s="7">
        <v>1.0</v>
      </c>
      <c r="L17" s="7">
        <v>1.0</v>
      </c>
      <c r="M17" s="7">
        <v>1.0</v>
      </c>
      <c r="N17" s="7">
        <v>1.0</v>
      </c>
    </row>
    <row r="18">
      <c r="A18" s="7" t="s">
        <v>82</v>
      </c>
      <c r="B18" s="7" t="s">
        <v>226</v>
      </c>
      <c r="C18" s="7">
        <v>1.0</v>
      </c>
      <c r="D18" s="7">
        <v>1.0</v>
      </c>
      <c r="E18" s="7">
        <v>1.0</v>
      </c>
      <c r="F18" s="7">
        <v>1.0</v>
      </c>
      <c r="G18" s="7">
        <v>1.0</v>
      </c>
      <c r="H18" s="7">
        <v>1.0</v>
      </c>
      <c r="I18" s="7">
        <v>1.0</v>
      </c>
      <c r="J18" s="7">
        <v>1.0</v>
      </c>
      <c r="K18" s="7">
        <v>1.0</v>
      </c>
      <c r="L18" s="7">
        <v>1.0</v>
      </c>
      <c r="M18" s="7">
        <v>1.0</v>
      </c>
      <c r="N18" s="7">
        <v>1.0</v>
      </c>
    </row>
    <row r="19">
      <c r="A19" s="7" t="s">
        <v>89</v>
      </c>
      <c r="B19" s="7" t="s">
        <v>226</v>
      </c>
      <c r="C19" s="7" t="s">
        <v>14</v>
      </c>
      <c r="D19" s="7" t="s">
        <v>14</v>
      </c>
      <c r="E19" s="7" t="s">
        <v>14</v>
      </c>
      <c r="F19" s="7" t="s">
        <v>14</v>
      </c>
      <c r="G19" s="7" t="s">
        <v>14</v>
      </c>
      <c r="H19" s="7">
        <v>1.0</v>
      </c>
      <c r="I19" s="7">
        <v>1.0</v>
      </c>
      <c r="J19" s="7">
        <v>1.0</v>
      </c>
      <c r="K19" s="7">
        <v>1.0</v>
      </c>
      <c r="L19" s="7">
        <v>1.0</v>
      </c>
      <c r="M19" s="7">
        <v>1.0</v>
      </c>
      <c r="N19" s="7">
        <v>1.0</v>
      </c>
    </row>
    <row r="20">
      <c r="A20" s="7" t="s">
        <v>27</v>
      </c>
      <c r="B20" s="7" t="s">
        <v>226</v>
      </c>
      <c r="C20" s="7">
        <v>1.0</v>
      </c>
      <c r="D20" s="7">
        <v>1.0</v>
      </c>
      <c r="E20" s="7">
        <v>1.0</v>
      </c>
      <c r="F20" s="7">
        <v>1.0</v>
      </c>
      <c r="G20" s="7">
        <v>1.0</v>
      </c>
      <c r="H20" s="7">
        <v>1.0</v>
      </c>
      <c r="I20" s="7">
        <v>1.0</v>
      </c>
      <c r="J20" s="7">
        <v>1.0</v>
      </c>
      <c r="K20" s="7">
        <v>1.0</v>
      </c>
      <c r="L20" s="7">
        <v>1.0</v>
      </c>
      <c r="M20" s="7">
        <v>1.0</v>
      </c>
      <c r="N20" s="7">
        <v>1.0</v>
      </c>
    </row>
    <row r="21">
      <c r="A21" s="7" t="s">
        <v>91</v>
      </c>
      <c r="B21" s="7" t="s">
        <v>226</v>
      </c>
      <c r="C21" s="7">
        <v>1.0</v>
      </c>
      <c r="D21" s="7">
        <v>1.0</v>
      </c>
      <c r="E21" s="7">
        <v>1.0</v>
      </c>
      <c r="F21" s="7">
        <v>1.0</v>
      </c>
      <c r="G21" s="7">
        <v>1.0</v>
      </c>
      <c r="H21" s="7">
        <v>1.0</v>
      </c>
      <c r="I21" s="7">
        <v>1.0</v>
      </c>
      <c r="J21" s="7">
        <v>1.0</v>
      </c>
      <c r="K21" s="7">
        <v>1.0</v>
      </c>
      <c r="L21" s="7">
        <v>1.0</v>
      </c>
      <c r="M21" s="7">
        <v>1.0</v>
      </c>
      <c r="N21" s="7">
        <v>1.0</v>
      </c>
    </row>
    <row r="22">
      <c r="A22" s="7" t="s">
        <v>93</v>
      </c>
      <c r="B22" s="7" t="s">
        <v>226</v>
      </c>
      <c r="C22" s="7">
        <v>1.0</v>
      </c>
      <c r="D22" s="7">
        <v>1.0</v>
      </c>
      <c r="E22" s="7">
        <v>1.0</v>
      </c>
      <c r="F22" s="7">
        <v>1.0</v>
      </c>
      <c r="G22" s="7">
        <v>1.0</v>
      </c>
      <c r="H22" s="7">
        <v>1.0</v>
      </c>
      <c r="I22" s="7">
        <v>1.0</v>
      </c>
      <c r="J22" s="7">
        <v>1.0</v>
      </c>
      <c r="K22" s="7">
        <v>1.0</v>
      </c>
      <c r="L22" s="7">
        <v>1.0</v>
      </c>
      <c r="M22" s="7">
        <v>1.0</v>
      </c>
      <c r="N22" s="7">
        <v>1.0</v>
      </c>
    </row>
    <row r="23">
      <c r="A23" s="7" t="s">
        <v>17</v>
      </c>
      <c r="B23" s="7" t="s">
        <v>226</v>
      </c>
      <c r="C23" s="7">
        <v>1.0</v>
      </c>
      <c r="D23" s="7">
        <v>1.0</v>
      </c>
      <c r="E23" s="7">
        <v>1.0</v>
      </c>
      <c r="F23" s="7">
        <v>1.0</v>
      </c>
      <c r="G23" s="7">
        <v>1.0</v>
      </c>
      <c r="H23" s="7">
        <v>1.0</v>
      </c>
      <c r="I23" s="7">
        <v>1.0</v>
      </c>
      <c r="J23" s="7">
        <v>1.0</v>
      </c>
      <c r="K23" s="7">
        <v>1.0</v>
      </c>
      <c r="L23" s="7">
        <v>1.0</v>
      </c>
      <c r="M23" s="7">
        <v>1.0</v>
      </c>
      <c r="N23" s="7">
        <v>1.0</v>
      </c>
    </row>
    <row r="24">
      <c r="A24" s="7" t="s">
        <v>23</v>
      </c>
      <c r="B24" s="7" t="s">
        <v>226</v>
      </c>
      <c r="C24" s="7">
        <v>1.0</v>
      </c>
      <c r="D24" s="7">
        <v>1.0</v>
      </c>
      <c r="E24" s="7">
        <v>1.0</v>
      </c>
      <c r="F24" s="7">
        <v>1.0</v>
      </c>
      <c r="G24" s="7">
        <v>1.0</v>
      </c>
      <c r="H24" s="7">
        <v>1.0</v>
      </c>
      <c r="I24" s="7">
        <v>1.0</v>
      </c>
      <c r="J24" s="7">
        <v>1.0</v>
      </c>
      <c r="K24" s="7">
        <v>1.0</v>
      </c>
      <c r="L24" s="7">
        <v>1.0</v>
      </c>
      <c r="M24" s="7">
        <v>1.0</v>
      </c>
      <c r="N24" s="7">
        <v>1.0</v>
      </c>
    </row>
    <row r="25">
      <c r="A25" s="7" t="s">
        <v>31</v>
      </c>
      <c r="B25" s="7" t="s">
        <v>226</v>
      </c>
      <c r="C25" s="7">
        <v>1.0</v>
      </c>
      <c r="D25" s="7">
        <v>1.0</v>
      </c>
      <c r="E25" s="7">
        <v>1.0</v>
      </c>
      <c r="F25" s="7">
        <v>1.0</v>
      </c>
      <c r="G25" s="7">
        <v>1.0</v>
      </c>
      <c r="H25" s="7">
        <v>1.0</v>
      </c>
      <c r="I25" s="7">
        <v>1.0</v>
      </c>
      <c r="J25" s="7">
        <v>1.0</v>
      </c>
      <c r="K25" s="7">
        <v>1.0</v>
      </c>
      <c r="L25" s="7">
        <v>1.0</v>
      </c>
      <c r="M25" s="7">
        <v>1.0</v>
      </c>
      <c r="N25" s="7">
        <v>1.0</v>
      </c>
    </row>
    <row r="26">
      <c r="A26" s="7" t="s">
        <v>83</v>
      </c>
      <c r="B26" s="7" t="s">
        <v>226</v>
      </c>
      <c r="C26" s="7">
        <v>1.0</v>
      </c>
      <c r="D26" s="7">
        <v>1.0</v>
      </c>
      <c r="E26" s="7">
        <v>1.0</v>
      </c>
      <c r="F26" s="7">
        <v>1.0</v>
      </c>
      <c r="G26" s="7">
        <v>1.0</v>
      </c>
      <c r="H26" s="7">
        <v>1.0</v>
      </c>
      <c r="I26" s="7">
        <v>1.0</v>
      </c>
      <c r="J26" s="7">
        <v>1.0</v>
      </c>
      <c r="K26" s="7">
        <v>1.0</v>
      </c>
      <c r="L26" s="7">
        <v>1.0</v>
      </c>
      <c r="M26" s="7">
        <v>1.0</v>
      </c>
      <c r="N26" s="7">
        <v>1.0</v>
      </c>
    </row>
    <row r="27">
      <c r="A27" s="7" t="s">
        <v>85</v>
      </c>
      <c r="B27" s="7" t="s">
        <v>226</v>
      </c>
      <c r="C27" s="7">
        <v>1.0</v>
      </c>
      <c r="D27" s="7">
        <v>1.0</v>
      </c>
      <c r="E27" s="7">
        <v>1.0</v>
      </c>
      <c r="F27" s="7">
        <v>1.0</v>
      </c>
      <c r="G27" s="7">
        <v>1.0</v>
      </c>
      <c r="H27" s="7">
        <v>1.0</v>
      </c>
      <c r="I27" s="7">
        <v>1.0</v>
      </c>
      <c r="J27" s="7">
        <v>1.0</v>
      </c>
      <c r="K27" s="7">
        <v>1.0</v>
      </c>
      <c r="L27" s="7">
        <v>1.0</v>
      </c>
      <c r="M27" s="7">
        <v>1.0</v>
      </c>
      <c r="N27" s="7">
        <v>1.0</v>
      </c>
    </row>
    <row r="28">
      <c r="A28" s="7" t="s">
        <v>87</v>
      </c>
      <c r="B28" s="7" t="s">
        <v>226</v>
      </c>
      <c r="C28" s="7">
        <v>1.0</v>
      </c>
      <c r="D28" s="7">
        <v>1.0</v>
      </c>
      <c r="E28" s="7">
        <v>1.0</v>
      </c>
      <c r="F28" s="7">
        <v>1.0</v>
      </c>
      <c r="G28" s="7">
        <v>1.0</v>
      </c>
      <c r="H28" s="7">
        <v>1.0</v>
      </c>
      <c r="I28" s="7">
        <v>1.0</v>
      </c>
      <c r="J28" s="7">
        <v>1.0</v>
      </c>
      <c r="K28" s="7">
        <v>1.0</v>
      </c>
      <c r="L28" s="7">
        <v>1.0</v>
      </c>
      <c r="M28" s="7">
        <v>1.0</v>
      </c>
      <c r="N28" s="7">
        <v>1.0</v>
      </c>
    </row>
    <row r="29">
      <c r="A29" s="7" t="s">
        <v>96</v>
      </c>
      <c r="B29" s="7" t="s">
        <v>227</v>
      </c>
      <c r="C29" s="7">
        <v>1.0</v>
      </c>
      <c r="D29" s="7">
        <v>1.0</v>
      </c>
      <c r="E29" s="7">
        <v>1.0</v>
      </c>
      <c r="F29" s="7">
        <v>1.0</v>
      </c>
      <c r="G29" s="7">
        <v>1.0</v>
      </c>
      <c r="H29" s="7">
        <v>1.0</v>
      </c>
      <c r="I29" s="7">
        <v>1.0</v>
      </c>
      <c r="J29" s="7">
        <v>1.0</v>
      </c>
      <c r="K29" s="7">
        <v>1.0</v>
      </c>
      <c r="L29" s="7">
        <v>1.0</v>
      </c>
      <c r="M29" s="7">
        <v>1.0</v>
      </c>
      <c r="N29" s="7">
        <v>1.0</v>
      </c>
    </row>
    <row r="30">
      <c r="A30" s="7" t="s">
        <v>98</v>
      </c>
      <c r="B30" s="7" t="s">
        <v>227</v>
      </c>
      <c r="C30" s="7" t="s">
        <v>14</v>
      </c>
      <c r="D30" s="7" t="s">
        <v>14</v>
      </c>
      <c r="E30" s="7" t="s">
        <v>14</v>
      </c>
      <c r="F30" s="7">
        <v>1.0</v>
      </c>
      <c r="G30" s="7">
        <v>1.0</v>
      </c>
      <c r="H30" s="7">
        <v>1.0</v>
      </c>
      <c r="I30" s="7">
        <v>1.0</v>
      </c>
      <c r="J30" s="7">
        <v>1.0</v>
      </c>
      <c r="K30" s="7">
        <v>1.0</v>
      </c>
      <c r="L30" s="7">
        <v>1.0</v>
      </c>
      <c r="M30" s="7">
        <v>1.0</v>
      </c>
      <c r="N30" s="7">
        <v>1.0</v>
      </c>
    </row>
    <row r="31">
      <c r="A31" s="7" t="s">
        <v>222</v>
      </c>
      <c r="B31" s="7" t="s">
        <v>227</v>
      </c>
      <c r="C31" s="7">
        <v>1.0</v>
      </c>
      <c r="D31" s="7">
        <v>1.0</v>
      </c>
      <c r="E31" s="7">
        <v>1.0</v>
      </c>
      <c r="F31" s="7">
        <v>1.0</v>
      </c>
      <c r="G31" s="7">
        <v>1.0</v>
      </c>
      <c r="H31" s="7">
        <v>1.0</v>
      </c>
      <c r="I31" s="7">
        <v>1.0</v>
      </c>
      <c r="J31" s="7">
        <v>1.0</v>
      </c>
      <c r="K31" s="7">
        <v>1.0</v>
      </c>
      <c r="L31" s="7">
        <v>1.0</v>
      </c>
      <c r="M31" s="7">
        <v>1.0</v>
      </c>
      <c r="N31" s="7">
        <v>1.0</v>
      </c>
    </row>
    <row r="32">
      <c r="A32" s="10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>
      <c r="A33" s="10"/>
      <c r="B33" s="7" t="s">
        <v>181</v>
      </c>
      <c r="C33" s="7">
        <v>1.0</v>
      </c>
      <c r="D33" s="7">
        <v>1.0</v>
      </c>
      <c r="E33" s="7">
        <v>1.0</v>
      </c>
      <c r="F33" s="7">
        <v>1.0</v>
      </c>
      <c r="G33" s="7">
        <v>1.0</v>
      </c>
      <c r="H33" s="7">
        <v>1.0</v>
      </c>
      <c r="I33" s="7">
        <v>1.0</v>
      </c>
      <c r="J33" s="7">
        <v>1.0</v>
      </c>
      <c r="K33" s="7">
        <v>1.0</v>
      </c>
      <c r="L33" s="7">
        <v>1.0</v>
      </c>
      <c r="M33" s="7">
        <v>1.0</v>
      </c>
      <c r="N33" s="7">
        <v>1.0</v>
      </c>
    </row>
    <row r="34">
      <c r="A34" s="10"/>
      <c r="B34" s="7" t="s">
        <v>183</v>
      </c>
      <c r="C34" s="7">
        <v>2.0</v>
      </c>
      <c r="D34" s="7">
        <v>2.0</v>
      </c>
      <c r="E34" s="7">
        <v>2.0</v>
      </c>
      <c r="F34" s="7">
        <v>2.0</v>
      </c>
      <c r="G34" s="7">
        <v>2.0</v>
      </c>
      <c r="H34" s="7">
        <v>2.0</v>
      </c>
      <c r="I34" s="7">
        <v>2.0</v>
      </c>
      <c r="J34" s="7">
        <v>2.0</v>
      </c>
      <c r="K34" s="7">
        <v>2.0</v>
      </c>
      <c r="L34" s="7">
        <v>2.0</v>
      </c>
      <c r="M34" s="7">
        <v>2.0</v>
      </c>
      <c r="N34" s="7">
        <v>2.0</v>
      </c>
    </row>
    <row r="35">
      <c r="B35" s="7" t="s">
        <v>39</v>
      </c>
      <c r="C35" s="12">
        <v>2.0</v>
      </c>
      <c r="D35" s="12">
        <v>2.0</v>
      </c>
      <c r="E35" s="12">
        <v>2.0</v>
      </c>
      <c r="F35" s="12">
        <v>2.0</v>
      </c>
      <c r="G35" s="12">
        <v>2.0</v>
      </c>
      <c r="H35" s="12">
        <v>2.0</v>
      </c>
      <c r="I35" s="12">
        <v>2.0</v>
      </c>
      <c r="J35" s="12">
        <v>2.0</v>
      </c>
      <c r="K35" s="12">
        <v>2.0</v>
      </c>
      <c r="L35" s="12">
        <v>2.0</v>
      </c>
      <c r="M35" s="12">
        <v>2.0</v>
      </c>
      <c r="N35" s="12">
        <v>2.0</v>
      </c>
    </row>
    <row r="36">
      <c r="B36" s="7" t="s">
        <v>226</v>
      </c>
      <c r="C36" s="41">
        <f t="shared" ref="C36:N36" si="1">COUNT(C7:C31)</f>
        <v>23</v>
      </c>
      <c r="D36" s="41">
        <f t="shared" si="1"/>
        <v>23</v>
      </c>
      <c r="E36" s="41">
        <f t="shared" si="1"/>
        <v>23</v>
      </c>
      <c r="F36" s="41">
        <f t="shared" si="1"/>
        <v>24</v>
      </c>
      <c r="G36" s="41">
        <f t="shared" si="1"/>
        <v>24</v>
      </c>
      <c r="H36" s="41">
        <f t="shared" si="1"/>
        <v>25</v>
      </c>
      <c r="I36" s="41">
        <f t="shared" si="1"/>
        <v>25</v>
      </c>
      <c r="J36" s="41">
        <f t="shared" si="1"/>
        <v>25</v>
      </c>
      <c r="K36" s="41">
        <f t="shared" si="1"/>
        <v>25</v>
      </c>
      <c r="L36" s="41">
        <f t="shared" si="1"/>
        <v>25</v>
      </c>
      <c r="M36" s="41">
        <f t="shared" si="1"/>
        <v>25</v>
      </c>
      <c r="N36" s="41">
        <f t="shared" si="1"/>
        <v>25</v>
      </c>
    </row>
    <row r="37">
      <c r="B37" s="7" t="s">
        <v>228</v>
      </c>
      <c r="C37" s="12">
        <v>8.0</v>
      </c>
      <c r="D37" s="12">
        <v>8.0</v>
      </c>
      <c r="E37" s="12">
        <v>8.0</v>
      </c>
      <c r="F37" s="12">
        <v>8.0</v>
      </c>
      <c r="G37" s="12">
        <v>8.0</v>
      </c>
      <c r="H37" s="12">
        <v>8.0</v>
      </c>
      <c r="I37" s="12">
        <v>8.0</v>
      </c>
      <c r="J37" s="12">
        <v>8.0</v>
      </c>
      <c r="K37" s="12">
        <v>8.0</v>
      </c>
      <c r="L37" s="12">
        <v>8.0</v>
      </c>
      <c r="M37" s="12">
        <v>8.0</v>
      </c>
      <c r="N37" s="12">
        <v>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7.63"/>
    <col customWidth="1" min="3" max="3" width="35.5"/>
    <col customWidth="1" min="4" max="4" width="31.13"/>
  </cols>
  <sheetData>
    <row r="1">
      <c r="A1" s="41" t="str">
        <f>IFERROR(__xludf.DUMMYFUNCTION("IMPORTRANGE(""https://docs.google.com/spreadsheets/d/1-YuSlnwICv7dSIIRxQFJU2gwgM9OHTbandHa0RE3CW8/edit?gid=1671067433#gid=1671067433"",""集團共用費用分攤比例!A1:Z100"")"),"子公司")</f>
        <v>子公司</v>
      </c>
      <c r="B1" s="41" t="str">
        <f>IFERROR(__xludf.DUMMYFUNCTION("""COMPUTED_VALUE"""),"事業單位")</f>
        <v>事業單位</v>
      </c>
      <c r="C1" s="41" t="str">
        <f>IFERROR(__xludf.DUMMYFUNCTION("""COMPUTED_VALUE"""),"2025/01-09 營收")</f>
        <v>2025/01-09 營收</v>
      </c>
      <c r="D1" s="41" t="str">
        <f>IFERROR(__xludf.DUMMYFUNCTION("""COMPUTED_VALUE"""),"2025/01-09 營收占比")</f>
        <v>2025/01-09 營收占比</v>
      </c>
      <c r="E1" s="41" t="str">
        <f>IFERROR(__xludf.DUMMYFUNCTION("""COMPUTED_VALUE"""),"含 QLR")</f>
        <v>含 QLR</v>
      </c>
      <c r="F1" s="41" t="str">
        <f>IFERROR(__xludf.DUMMYFUNCTION("""COMPUTED_VALUE"""),"不含 QLR")</f>
        <v>不含 QLR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/>
      <c r="B2" s="41"/>
      <c r="C2" s="41">
        <f>IFERROR(__xludf.DUMMYFUNCTION("""COMPUTED_VALUE"""),3.8659835712E8)</f>
        <v>386598357.1</v>
      </c>
      <c r="D2" s="60">
        <f>IFERROR(__xludf.DUMMYFUNCTION("""COMPUTED_VALUE"""),1.0)</f>
        <v>1</v>
      </c>
      <c r="E2" s="41" t="str">
        <f>IFERROR(__xludf.DUMMYFUNCTION("""COMPUTED_VALUE"""),"集團分攤：iCHEF 管理中心、iCHEF 財務中心、iCHEF 策略資料中心 的人事費用與非人事費用")</f>
        <v>集團分攤：iCHEF 管理中心、iCHEF 財務中心、iCHEF 策略資料中心 的人事費用與非人事費用</v>
      </c>
      <c r="F2" s="41" t="str">
        <f>IFERROR(__xludf.DUMMYFUNCTION("""COMPUTED_VALUE"""),"集團分攤：iCHEF 研發中心、iCHEF 行銷營運中心、iCHEF 客戶價值中心 的事業單位 Corporation、Si Corporation 人事費用與非人事費用
維運分攤：iCHEF 研發中心、iCHEF 行銷營運中心、iCHEF 客戶價值中心 的事業單位 Corporation Si Maintenance 人事費用與非人事費用")</f>
        <v>集團分攤：iCHEF 研發中心、iCHEF 行銷營運中心、iCHEF 客戶價值中心 的事業單位 Corporation、Si Corporation 人事費用與非人事費用
維運分攤：iCHEF 研發中心、iCHEF 行銷營運中心、iCHEF 客戶價值中心 的事業單位 Corporation Si Maintenance 人事費用與非人事費用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 t="str">
        <f>IFERROR(__xludf.DUMMYFUNCTION("""COMPUTED_VALUE"""),"TW")</f>
        <v>TW</v>
      </c>
      <c r="B3" s="41" t="str">
        <f>IFERROR(__xludf.DUMMYFUNCTION("""COMPUTED_VALUE"""),"OMO")</f>
        <v>OMO</v>
      </c>
      <c r="C3" s="41">
        <f>IFERROR(__xludf.DUMMYFUNCTION("""COMPUTED_VALUE"""),3.4158435E7)</f>
        <v>34158435</v>
      </c>
      <c r="D3" s="60">
        <f>IFERROR(__xludf.DUMMYFUNCTION("""COMPUTED_VALUE"""),0.08835638944372759)</f>
        <v>0.08835638944</v>
      </c>
      <c r="E3" s="60">
        <f>IFERROR(__xludf.DUMMYFUNCTION("""COMPUTED_VALUE"""),0.0884)</f>
        <v>0.0884</v>
      </c>
      <c r="F3" s="60">
        <f>IFERROR(__xludf.DUMMYFUNCTION("""COMPUTED_VALUE"""),0.0925)</f>
        <v>0.0925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 t="str">
        <f>IFERROR(__xludf.DUMMYFUNCTION("""COMPUTED_VALUE"""),"TW")</f>
        <v>TW</v>
      </c>
      <c r="B4" s="41" t="str">
        <f>IFERROR(__xludf.DUMMYFUNCTION("""COMPUTED_VALUE"""),"POS")</f>
        <v>POS</v>
      </c>
      <c r="C4" s="41">
        <f>IFERROR(__xludf.DUMMYFUNCTION("""COMPUTED_VALUE"""),3.3499497812E8)</f>
        <v>334994978.1</v>
      </c>
      <c r="D4" s="60">
        <f>IFERROR(__xludf.DUMMYFUNCTION("""COMPUTED_VALUE"""),0.8665194043129824)</f>
        <v>0.8665194043</v>
      </c>
      <c r="E4" s="60">
        <f>IFERROR(__xludf.DUMMYFUNCTION("""COMPUTED_VALUE"""),0.8665)</f>
        <v>0.8665</v>
      </c>
      <c r="F4" s="60">
        <f>IFERROR(__xludf.DUMMYFUNCTION("""COMPUTED_VALUE"""),0.9075)</f>
        <v>0.9075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 t="str">
        <f>IFERROR(__xludf.DUMMYFUNCTION("""COMPUTED_VALUE"""),"QLR")</f>
        <v>QLR</v>
      </c>
      <c r="B5" s="41" t="str">
        <f>IFERROR(__xludf.DUMMYFUNCTION("""COMPUTED_VALUE"""),"OMO")</f>
        <v>OMO</v>
      </c>
      <c r="C5" s="41">
        <f>IFERROR(__xludf.DUMMYFUNCTION("""COMPUTED_VALUE"""),1.7444944E7)</f>
        <v>17444944</v>
      </c>
      <c r="D5" s="60">
        <f>IFERROR(__xludf.DUMMYFUNCTION("""COMPUTED_VALUE"""),0.0451242062432901)</f>
        <v>0.04512420624</v>
      </c>
      <c r="E5" s="60">
        <f>IFERROR(__xludf.DUMMYFUNCTION("""COMPUTED_VALUE"""),0.0451)</f>
        <v>0.0451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8" max="8" width="27.38"/>
  </cols>
  <sheetData>
    <row r="1">
      <c r="B1" s="41" t="str">
        <f>IFERROR(__xludf.DUMMYFUNCTION("IMPORTRANGE(""https://docs.google.com/spreadsheets/d/1fiD6EDAkov9pRwQ_8sXhwmAj-vJoUCNKTRov_ZiHklw/edit?gid=1913353331#gid=1913353331"",""2026 定版資料!A1:Z"")"),"#")</f>
        <v>#</v>
      </c>
      <c r="C1" s="41" t="str">
        <f>IFERROR(__xludf.DUMMYFUNCTION("""COMPUTED_VALUE"""),"費用類型")</f>
        <v>費用類型</v>
      </c>
      <c r="D1" s="41" t="str">
        <f>IFERROR(__xludf.DUMMYFUNCTION("""COMPUTED_VALUE"""),"子公司")</f>
        <v>子公司</v>
      </c>
      <c r="E1" s="41" t="str">
        <f>IFERROR(__xludf.DUMMYFUNCTION("""COMPUTED_VALUE"""),"會科代號")</f>
        <v>會科代號</v>
      </c>
      <c r="F1" s="41" t="str">
        <f>IFERROR(__xludf.DUMMYFUNCTION("""COMPUTED_VALUE"""),"會計科目")</f>
        <v>會計科目</v>
      </c>
      <c r="G1" s="41" t="str">
        <f>IFERROR(__xludf.DUMMYFUNCTION("""COMPUTED_VALUE"""),"明細科目")</f>
        <v>明細科目</v>
      </c>
      <c r="H1" s="41" t="str">
        <f>IFERROR(__xludf.DUMMYFUNCTION("""COMPUTED_VALUE"""),"說明")</f>
        <v>說明</v>
      </c>
      <c r="I1" s="41" t="str">
        <f>IFERROR(__xludf.DUMMYFUNCTION("""COMPUTED_VALUE"""),"月 額度
(每人)")</f>
        <v>月 額度
(每人)</v>
      </c>
      <c r="J1" s="41" t="str">
        <f>IFERROR(__xludf.DUMMYFUNCTION("""COMPUTED_VALUE"""),"年 額度
(每人)")</f>
        <v>年 額度
(每人)</v>
      </c>
      <c r="K1" s="41" t="str">
        <f>IFERROR(__xludf.DUMMYFUNCTION("""COMPUTED_VALUE"""),"預算編製、計算單位")</f>
        <v>預算編製、計算單位</v>
      </c>
      <c r="L1" s="41" t="str">
        <f>IFERROR(__xludf.DUMMYFUNCTION("""COMPUTED_VALUE"""),"預算歸屬單位")</f>
        <v>預算歸屬單位</v>
      </c>
      <c r="M1" s="41" t="str">
        <f>IFERROR(__xludf.DUMMYFUNCTION("""COMPUTED_VALUE"""),"備註")</f>
        <v>備註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>
      <c r="B2" s="41">
        <f>IFERROR(__xludf.DUMMYFUNCTION("""COMPUTED_VALUE"""),1.0)</f>
        <v>1</v>
      </c>
      <c r="C2" s="41" t="str">
        <f>IFERROR(__xludf.DUMMYFUNCTION("""COMPUTED_VALUE"""),"人事費用")</f>
        <v>人事費用</v>
      </c>
      <c r="D2" s="41" t="str">
        <f>IFERROR(__xludf.DUMMYFUNCTION("""COMPUTED_VALUE"""),"iCHEF+QLR")</f>
        <v>iCHEF+QLR</v>
      </c>
      <c r="E2" s="41" t="str">
        <f>IFERROR(__xludf.DUMMYFUNCTION("""COMPUTED_VALUE"""),"6x1001")</f>
        <v>6x1001</v>
      </c>
      <c r="F2" s="41" t="str">
        <f>IFERROR(__xludf.DUMMYFUNCTION("""COMPUTED_VALUE"""),"薪資費用")</f>
        <v>薪資費用</v>
      </c>
      <c r="G2" s="41" t="str">
        <f>IFERROR(__xludf.DUMMYFUNCTION("""COMPUTED_VALUE"""),"本薪")</f>
        <v>本薪</v>
      </c>
      <c r="H2" s="41" t="str">
        <f>IFERROR(__xludf.DUMMYFUNCTION("""COMPUTED_VALUE"""),"薪資")</f>
        <v>薪資</v>
      </c>
      <c r="I2" s="41"/>
      <c r="J2" s="41"/>
      <c r="K2" s="41" t="str">
        <f>IFERROR(__xludf.DUMMYFUNCTION("""COMPUTED_VALUE"""),"管理中心提供薪資，各專業中心依人員配置編列")</f>
        <v>管理中心提供薪資，各專業中心依人員配置編列</v>
      </c>
      <c r="L2" s="41" t="str">
        <f>IFERROR(__xludf.DUMMYFUNCTION("""COMPUTED_VALUE"""),"各專業中心")</f>
        <v>各專業中心</v>
      </c>
      <c r="M2" s="41" t="str">
        <f>IFERROR(__xludf.DUMMYFUNCTION("""COMPUTED_VALUE"""),"金額由 HR 計算")</f>
        <v>金額由 HR 計算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>
      <c r="B3" s="41">
        <f>IFERROR(__xludf.DUMMYFUNCTION("""COMPUTED_VALUE"""),2.0)</f>
        <v>2</v>
      </c>
      <c r="C3" s="41" t="str">
        <f>IFERROR(__xludf.DUMMYFUNCTION("""COMPUTED_VALUE"""),"人事費用")</f>
        <v>人事費用</v>
      </c>
      <c r="D3" s="41" t="str">
        <f>IFERROR(__xludf.DUMMYFUNCTION("""COMPUTED_VALUE"""),"iCHEF+QLR")</f>
        <v>iCHEF+QLR</v>
      </c>
      <c r="E3" s="41" t="str">
        <f>IFERROR(__xludf.DUMMYFUNCTION("""COMPUTED_VALUE"""),"6x27")</f>
        <v>6x27</v>
      </c>
      <c r="F3" s="41" t="str">
        <f>IFERROR(__xludf.DUMMYFUNCTION("""COMPUTED_VALUE"""),"伙食費")</f>
        <v>伙食費</v>
      </c>
      <c r="G3" s="41" t="str">
        <f>IFERROR(__xludf.DUMMYFUNCTION("""COMPUTED_VALUE"""),"伙食費")</f>
        <v>伙食費</v>
      </c>
      <c r="H3" s="41" t="str">
        <f>IFERROR(__xludf.DUMMYFUNCTION("""COMPUTED_VALUE"""),"伙食費")</f>
        <v>伙食費</v>
      </c>
      <c r="I3" s="41"/>
      <c r="J3" s="41"/>
      <c r="K3" s="41" t="str">
        <f>IFERROR(__xludf.DUMMYFUNCTION("""COMPUTED_VALUE"""),"管理中心提供薪資，各專業中心依人員配置編列")</f>
        <v>管理中心提供薪資，各專業中心依人員配置編列</v>
      </c>
      <c r="L3" s="41" t="str">
        <f>IFERROR(__xludf.DUMMYFUNCTION("""COMPUTED_VALUE"""),"各專業中心")</f>
        <v>各專業中心</v>
      </c>
      <c r="M3" s="41" t="str">
        <f>IFERROR(__xludf.DUMMYFUNCTION("""COMPUTED_VALUE"""),"金額由 HR 計算")</f>
        <v>金額由 HR 計算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>
      <c r="B4" s="41">
        <f>IFERROR(__xludf.DUMMYFUNCTION("""COMPUTED_VALUE"""),3.0)</f>
        <v>3</v>
      </c>
      <c r="C4" s="41" t="str">
        <f>IFERROR(__xludf.DUMMYFUNCTION("""COMPUTED_VALUE"""),"人事費用")</f>
        <v>人事費用</v>
      </c>
      <c r="D4" s="41" t="str">
        <f>IFERROR(__xludf.DUMMYFUNCTION("""COMPUTED_VALUE"""),"iCHEF+QLR")</f>
        <v>iCHEF+QLR</v>
      </c>
      <c r="E4" s="41" t="str">
        <f>IFERROR(__xludf.DUMMYFUNCTION("""COMPUTED_VALUE"""),"6x1009")</f>
        <v>6x1009</v>
      </c>
      <c r="F4" s="41" t="str">
        <f>IFERROR(__xludf.DUMMYFUNCTION("""COMPUTED_VALUE"""),"薪資費用")</f>
        <v>薪資費用</v>
      </c>
      <c r="G4" s="41" t="str">
        <f>IFERROR(__xludf.DUMMYFUNCTION("""COMPUTED_VALUE"""),"主管津貼")</f>
        <v>主管津貼</v>
      </c>
      <c r="H4" s="41" t="str">
        <f>IFERROR(__xludf.DUMMYFUNCTION("""COMPUTED_VALUE"""),"主管津貼")</f>
        <v>主管津貼</v>
      </c>
      <c r="I4" s="41"/>
      <c r="J4" s="41"/>
      <c r="K4" s="41" t="str">
        <f>IFERROR(__xludf.DUMMYFUNCTION("""COMPUTED_VALUE"""),"管理中心提供薪資，各專業中心依人員配置編列")</f>
        <v>管理中心提供薪資，各專業中心依人員配置編列</v>
      </c>
      <c r="L4" s="41" t="str">
        <f>IFERROR(__xludf.DUMMYFUNCTION("""COMPUTED_VALUE"""),"各專業中心")</f>
        <v>各專業中心</v>
      </c>
      <c r="M4" s="41" t="str">
        <f>IFERROR(__xludf.DUMMYFUNCTION("""COMPUTED_VALUE"""),"金額由 HR 計算")</f>
        <v>金額由 HR 計算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>
      <c r="B5" s="41">
        <f>IFERROR(__xludf.DUMMYFUNCTION("""COMPUTED_VALUE"""),4.0)</f>
        <v>4</v>
      </c>
      <c r="C5" s="41" t="str">
        <f>IFERROR(__xludf.DUMMYFUNCTION("""COMPUTED_VALUE"""),"人事費用")</f>
        <v>人事費用</v>
      </c>
      <c r="D5" s="41" t="str">
        <f>IFERROR(__xludf.DUMMYFUNCTION("""COMPUTED_VALUE"""),"iCHEF+QLR")</f>
        <v>iCHEF+QLR</v>
      </c>
      <c r="E5" s="41" t="str">
        <f>IFERROR(__xludf.DUMMYFUNCTION("""COMPUTED_VALUE"""),"6x1003")</f>
        <v>6x1003</v>
      </c>
      <c r="F5" s="41" t="str">
        <f>IFERROR(__xludf.DUMMYFUNCTION("""COMPUTED_VALUE"""),"薪資費用")</f>
        <v>薪資費用</v>
      </c>
      <c r="G5" s="41" t="str">
        <f>IFERROR(__xludf.DUMMYFUNCTION("""COMPUTED_VALUE"""),"加班費")</f>
        <v>加班費</v>
      </c>
      <c r="H5" s="41" t="str">
        <f>IFERROR(__xludf.DUMMYFUNCTION("""COMPUTED_VALUE"""),"加班費")</f>
        <v>加班費</v>
      </c>
      <c r="I5" s="41"/>
      <c r="J5" s="41"/>
      <c r="K5" s="41" t="str">
        <f>IFERROR(__xludf.DUMMYFUNCTION("""COMPUTED_VALUE"""),"管理中心提供薪資，各專業中心依人員配置編列")</f>
        <v>管理中心提供薪資，各專業中心依人員配置編列</v>
      </c>
      <c r="L5" s="41" t="str">
        <f>IFERROR(__xludf.DUMMYFUNCTION("""COMPUTED_VALUE"""),"各專業中心")</f>
        <v>各專業中心</v>
      </c>
      <c r="M5" s="41" t="str">
        <f>IFERROR(__xludf.DUMMYFUNCTION("""COMPUTED_VALUE"""),"金額由 HR 計算")</f>
        <v>金額由 HR 計算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>
      <c r="B6" s="41">
        <f>IFERROR(__xludf.DUMMYFUNCTION("""COMPUTED_VALUE"""),5.0)</f>
        <v>5</v>
      </c>
      <c r="C6" s="41" t="str">
        <f>IFERROR(__xludf.DUMMYFUNCTION("""COMPUTED_VALUE"""),"人事費用")</f>
        <v>人事費用</v>
      </c>
      <c r="D6" s="41" t="str">
        <f>IFERROR(__xludf.DUMMYFUNCTION("""COMPUTED_VALUE"""),"iCHEF+QLR")</f>
        <v>iCHEF+QLR</v>
      </c>
      <c r="E6" s="41" t="str">
        <f>IFERROR(__xludf.DUMMYFUNCTION("""COMPUTED_VALUE"""),"6x1004")</f>
        <v>6x1004</v>
      </c>
      <c r="F6" s="41" t="str">
        <f>IFERROR(__xludf.DUMMYFUNCTION("""COMPUTED_VALUE"""),"薪資費用")</f>
        <v>薪資費用</v>
      </c>
      <c r="G6" s="41" t="str">
        <f>IFERROR(__xludf.DUMMYFUNCTION("""COMPUTED_VALUE"""),"退休金")</f>
        <v>退休金</v>
      </c>
      <c r="H6" s="41" t="str">
        <f>IFERROR(__xludf.DUMMYFUNCTION("""COMPUTED_VALUE"""),"退休金")</f>
        <v>退休金</v>
      </c>
      <c r="I6" s="41"/>
      <c r="J6" s="41"/>
      <c r="K6" s="41" t="str">
        <f>IFERROR(__xludf.DUMMYFUNCTION("""COMPUTED_VALUE"""),"管理中心提供薪資，各專業中心依人員配置編列")</f>
        <v>管理中心提供薪資，各專業中心依人員配置編列</v>
      </c>
      <c r="L6" s="41" t="str">
        <f>IFERROR(__xludf.DUMMYFUNCTION("""COMPUTED_VALUE"""),"各專業中心")</f>
        <v>各專業中心</v>
      </c>
      <c r="M6" s="41" t="str">
        <f>IFERROR(__xludf.DUMMYFUNCTION("""COMPUTED_VALUE"""),"金額由 HR 計算")</f>
        <v>金額由 HR 計算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>
      <c r="B7" s="41">
        <f>IFERROR(__xludf.DUMMYFUNCTION("""COMPUTED_VALUE"""),6.0)</f>
        <v>6</v>
      </c>
      <c r="C7" s="41" t="str">
        <f>IFERROR(__xludf.DUMMYFUNCTION("""COMPUTED_VALUE"""),"人事費用")</f>
        <v>人事費用</v>
      </c>
      <c r="D7" s="41" t="str">
        <f>IFERROR(__xludf.DUMMYFUNCTION("""COMPUTED_VALUE"""),"iCHEF+QLR")</f>
        <v>iCHEF+QLR</v>
      </c>
      <c r="E7" s="41" t="str">
        <f>IFERROR(__xludf.DUMMYFUNCTION("""COMPUTED_VALUE"""),"6x1901")</f>
        <v>6x1901</v>
      </c>
      <c r="F7" s="41" t="str">
        <f>IFERROR(__xludf.DUMMYFUNCTION("""COMPUTED_VALUE"""),"保險費")</f>
        <v>保險費</v>
      </c>
      <c r="G7" s="41" t="str">
        <f>IFERROR(__xludf.DUMMYFUNCTION("""COMPUTED_VALUE"""),"健保費")</f>
        <v>健保費</v>
      </c>
      <c r="H7" s="41" t="str">
        <f>IFERROR(__xludf.DUMMYFUNCTION("""COMPUTED_VALUE"""),"健保費")</f>
        <v>健保費</v>
      </c>
      <c r="I7" s="41"/>
      <c r="J7" s="41"/>
      <c r="K7" s="41" t="str">
        <f>IFERROR(__xludf.DUMMYFUNCTION("""COMPUTED_VALUE"""),"管理中心提供薪資，各專業中心依人員配置編列")</f>
        <v>管理中心提供薪資，各專業中心依人員配置編列</v>
      </c>
      <c r="L7" s="41" t="str">
        <f>IFERROR(__xludf.DUMMYFUNCTION("""COMPUTED_VALUE"""),"各專業中心")</f>
        <v>各專業中心</v>
      </c>
      <c r="M7" s="41" t="str">
        <f>IFERROR(__xludf.DUMMYFUNCTION("""COMPUTED_VALUE"""),"金額由 HR 計算")</f>
        <v>金額由 HR 計算</v>
      </c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>
      <c r="B8" s="41">
        <f>IFERROR(__xludf.DUMMYFUNCTION("""COMPUTED_VALUE"""),7.0)</f>
        <v>7</v>
      </c>
      <c r="C8" s="41" t="str">
        <f>IFERROR(__xludf.DUMMYFUNCTION("""COMPUTED_VALUE"""),"人事費用")</f>
        <v>人事費用</v>
      </c>
      <c r="D8" s="41" t="str">
        <f>IFERROR(__xludf.DUMMYFUNCTION("""COMPUTED_VALUE"""),"iCHEF+QLR")</f>
        <v>iCHEF+QLR</v>
      </c>
      <c r="E8" s="41" t="str">
        <f>IFERROR(__xludf.DUMMYFUNCTION("""COMPUTED_VALUE"""),"6x1902")</f>
        <v>6x1902</v>
      </c>
      <c r="F8" s="41" t="str">
        <f>IFERROR(__xludf.DUMMYFUNCTION("""COMPUTED_VALUE"""),"保險費")</f>
        <v>保險費</v>
      </c>
      <c r="G8" s="41" t="str">
        <f>IFERROR(__xludf.DUMMYFUNCTION("""COMPUTED_VALUE"""),"勞保費")</f>
        <v>勞保費</v>
      </c>
      <c r="H8" s="41" t="str">
        <f>IFERROR(__xludf.DUMMYFUNCTION("""COMPUTED_VALUE"""),"勞保費")</f>
        <v>勞保費</v>
      </c>
      <c r="I8" s="41"/>
      <c r="J8" s="41"/>
      <c r="K8" s="41" t="str">
        <f>IFERROR(__xludf.DUMMYFUNCTION("""COMPUTED_VALUE"""),"管理中心提供薪資，各專業中心依人員配置編列")</f>
        <v>管理中心提供薪資，各專業中心依人員配置編列</v>
      </c>
      <c r="L8" s="41" t="str">
        <f>IFERROR(__xludf.DUMMYFUNCTION("""COMPUTED_VALUE"""),"各專業中心")</f>
        <v>各專業中心</v>
      </c>
      <c r="M8" s="41" t="str">
        <f>IFERROR(__xludf.DUMMYFUNCTION("""COMPUTED_VALUE"""),"金額由 HR 計算")</f>
        <v>金額由 HR 計算</v>
      </c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>
      <c r="B9" s="41">
        <f>IFERROR(__xludf.DUMMYFUNCTION("""COMPUTED_VALUE"""),8.0)</f>
        <v>8</v>
      </c>
      <c r="C9" s="41" t="str">
        <f>IFERROR(__xludf.DUMMYFUNCTION("""COMPUTED_VALUE"""),"人事費用")</f>
        <v>人事費用</v>
      </c>
      <c r="D9" s="41" t="str">
        <f>IFERROR(__xludf.DUMMYFUNCTION("""COMPUTED_VALUE"""),"iCHEF+QLR")</f>
        <v>iCHEF+QLR</v>
      </c>
      <c r="E9" s="41" t="str">
        <f>IFERROR(__xludf.DUMMYFUNCTION("""COMPUTED_VALUE"""),"6x1005")</f>
        <v>6x1005</v>
      </c>
      <c r="F9" s="41" t="str">
        <f>IFERROR(__xludf.DUMMYFUNCTION("""COMPUTED_VALUE"""),"薪資費用")</f>
        <v>薪資費用</v>
      </c>
      <c r="G9" s="41" t="str">
        <f>IFERROR(__xludf.DUMMYFUNCTION("""COMPUTED_VALUE"""),"年終獎金")</f>
        <v>年終獎金</v>
      </c>
      <c r="H9" s="41" t="str">
        <f>IFERROR(__xludf.DUMMYFUNCTION("""COMPUTED_VALUE"""),"第十三個月")</f>
        <v>第十三個月</v>
      </c>
      <c r="I9" s="41"/>
      <c r="J9" s="41"/>
      <c r="K9" s="41" t="str">
        <f>IFERROR(__xludf.DUMMYFUNCTION("""COMPUTED_VALUE"""),"管理中心提供薪資，各專業中心依人員配置編列")</f>
        <v>管理中心提供薪資，各專業中心依人員配置編列</v>
      </c>
      <c r="L9" s="41" t="str">
        <f>IFERROR(__xludf.DUMMYFUNCTION("""COMPUTED_VALUE"""),"各專業中心")</f>
        <v>各專業中心</v>
      </c>
      <c r="M9" s="41" t="str">
        <f>IFERROR(__xludf.DUMMYFUNCTION("""COMPUTED_VALUE"""),"金額由 HR 計算")</f>
        <v>金額由 HR 計算</v>
      </c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>
      <c r="B10" s="41">
        <f>IFERROR(__xludf.DUMMYFUNCTION("""COMPUTED_VALUE"""),9.0)</f>
        <v>9</v>
      </c>
      <c r="C10" s="41" t="str">
        <f>IFERROR(__xludf.DUMMYFUNCTION("""COMPUTED_VALUE"""),"人事費用")</f>
        <v>人事費用</v>
      </c>
      <c r="D10" s="41" t="str">
        <f>IFERROR(__xludf.DUMMYFUNCTION("""COMPUTED_VALUE"""),"iCHEF+QLR")</f>
        <v>iCHEF+QLR</v>
      </c>
      <c r="E10" s="41" t="str">
        <f>IFERROR(__xludf.DUMMYFUNCTION("""COMPUTED_VALUE"""),"6x1006")</f>
        <v>6x1006</v>
      </c>
      <c r="F10" s="41" t="str">
        <f>IFERROR(__xludf.DUMMYFUNCTION("""COMPUTED_VALUE"""),"薪資費用")</f>
        <v>薪資費用</v>
      </c>
      <c r="G10" s="41" t="str">
        <f>IFERROR(__xludf.DUMMYFUNCTION("""COMPUTED_VALUE"""),"績效獎金")</f>
        <v>績效獎金</v>
      </c>
      <c r="H10" s="41" t="str">
        <f>IFERROR(__xludf.DUMMYFUNCTION("""COMPUTED_VALUE"""),"團隊層級獎金 - IC職")</f>
        <v>團隊層級獎金 - IC職</v>
      </c>
      <c r="I10" s="61">
        <f>IFERROR(__xludf.DUMMYFUNCTION("""COMPUTED_VALUE"""),1667.0)</f>
        <v>1667</v>
      </c>
      <c r="J10" s="61">
        <f>IFERROR(__xludf.DUMMYFUNCTION("""COMPUTED_VALUE"""),20000.0)</f>
        <v>20000</v>
      </c>
      <c r="K10" s="41" t="str">
        <f>IFERROR(__xludf.DUMMYFUNCTION("""COMPUTED_VALUE"""),"各專業中心")</f>
        <v>各專業中心</v>
      </c>
      <c r="L10" s="41" t="str">
        <f>IFERROR(__xludf.DUMMYFUNCTION("""COMPUTED_VALUE"""),"各專業中心")</f>
        <v>各專業中心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>
      <c r="B11" s="41">
        <f>IFERROR(__xludf.DUMMYFUNCTION("""COMPUTED_VALUE"""),10.0)</f>
        <v>10</v>
      </c>
      <c r="C11" s="41" t="str">
        <f>IFERROR(__xludf.DUMMYFUNCTION("""COMPUTED_VALUE"""),"人事費用")</f>
        <v>人事費用</v>
      </c>
      <c r="D11" s="41" t="str">
        <f>IFERROR(__xludf.DUMMYFUNCTION("""COMPUTED_VALUE"""),"iCHEF+QLR")</f>
        <v>iCHEF+QLR</v>
      </c>
      <c r="E11" s="41" t="str">
        <f>IFERROR(__xludf.DUMMYFUNCTION("""COMPUTED_VALUE"""),"6x1006")</f>
        <v>6x1006</v>
      </c>
      <c r="F11" s="41" t="str">
        <f>IFERROR(__xludf.DUMMYFUNCTION("""COMPUTED_VALUE"""),"薪資費用")</f>
        <v>薪資費用</v>
      </c>
      <c r="G11" s="41" t="str">
        <f>IFERROR(__xludf.DUMMYFUNCTION("""COMPUTED_VALUE"""),"績效獎金")</f>
        <v>績效獎金</v>
      </c>
      <c r="H11" s="41" t="str">
        <f>IFERROR(__xludf.DUMMYFUNCTION("""COMPUTED_VALUE"""),"團隊層級獎金 - 一級主管")</f>
        <v>團隊層級獎金 - 一級主管</v>
      </c>
      <c r="I11" s="61">
        <f>IFERROR(__xludf.DUMMYFUNCTION("""COMPUTED_VALUE"""),500.0)</f>
        <v>500</v>
      </c>
      <c r="J11" s="61">
        <f>IFERROR(__xludf.DUMMYFUNCTION("""COMPUTED_VALUE"""),6000.0)</f>
        <v>6000</v>
      </c>
      <c r="K11" s="41" t="str">
        <f>IFERROR(__xludf.DUMMYFUNCTION("""COMPUTED_VALUE"""),"各專業中心")</f>
        <v>各專業中心</v>
      </c>
      <c r="L11" s="41" t="str">
        <f>IFERROR(__xludf.DUMMYFUNCTION("""COMPUTED_VALUE"""),"各專業中心")</f>
        <v>各專業中心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>
      <c r="B12" s="41">
        <f>IFERROR(__xludf.DUMMYFUNCTION("""COMPUTED_VALUE"""),11.0)</f>
        <v>11</v>
      </c>
      <c r="C12" s="41" t="str">
        <f>IFERROR(__xludf.DUMMYFUNCTION("""COMPUTED_VALUE"""),"人事費用")</f>
        <v>人事費用</v>
      </c>
      <c r="D12" s="41" t="str">
        <f>IFERROR(__xludf.DUMMYFUNCTION("""COMPUTED_VALUE"""),"iCHEF+QLR")</f>
        <v>iCHEF+QLR</v>
      </c>
      <c r="E12" s="41" t="str">
        <f>IFERROR(__xludf.DUMMYFUNCTION("""COMPUTED_VALUE"""),"6x1006")</f>
        <v>6x1006</v>
      </c>
      <c r="F12" s="41" t="str">
        <f>IFERROR(__xludf.DUMMYFUNCTION("""COMPUTED_VALUE"""),"薪資費用")</f>
        <v>薪資費用</v>
      </c>
      <c r="G12" s="41" t="str">
        <f>IFERROR(__xludf.DUMMYFUNCTION("""COMPUTED_VALUE"""),"績效獎金")</f>
        <v>績效獎金</v>
      </c>
      <c r="H12" s="41" t="str">
        <f>IFERROR(__xludf.DUMMYFUNCTION("""COMPUTED_VALUE"""),"團隊層級獎金 - 二級主管")</f>
        <v>團隊層級獎金 - 二級主管</v>
      </c>
      <c r="I12" s="61">
        <f>IFERROR(__xludf.DUMMYFUNCTION("""COMPUTED_VALUE"""),834.0)</f>
        <v>834</v>
      </c>
      <c r="J12" s="61">
        <f>IFERROR(__xludf.DUMMYFUNCTION("""COMPUTED_VALUE"""),10000.0)</f>
        <v>10000</v>
      </c>
      <c r="K12" s="41" t="str">
        <f>IFERROR(__xludf.DUMMYFUNCTION("""COMPUTED_VALUE"""),"各專業中心")</f>
        <v>各專業中心</v>
      </c>
      <c r="L12" s="41" t="str">
        <f>IFERROR(__xludf.DUMMYFUNCTION("""COMPUTED_VALUE"""),"各專業中心")</f>
        <v>各專業中心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>
      <c r="B13" s="41">
        <f>IFERROR(__xludf.DUMMYFUNCTION("""COMPUTED_VALUE"""),12.0)</f>
        <v>12</v>
      </c>
      <c r="C13" s="41" t="str">
        <f>IFERROR(__xludf.DUMMYFUNCTION("""COMPUTED_VALUE"""),"人事費用")</f>
        <v>人事費用</v>
      </c>
      <c r="D13" s="41" t="str">
        <f>IFERROR(__xludf.DUMMYFUNCTION("""COMPUTED_VALUE"""),"iCHEF+QLR")</f>
        <v>iCHEF+QLR</v>
      </c>
      <c r="E13" s="41" t="str">
        <f>IFERROR(__xludf.DUMMYFUNCTION("""COMPUTED_VALUE"""),"6x1006")</f>
        <v>6x1006</v>
      </c>
      <c r="F13" s="41" t="str">
        <f>IFERROR(__xludf.DUMMYFUNCTION("""COMPUTED_VALUE"""),"薪資費用")</f>
        <v>薪資費用</v>
      </c>
      <c r="G13" s="41" t="str">
        <f>IFERROR(__xludf.DUMMYFUNCTION("""COMPUTED_VALUE"""),"績效獎金")</f>
        <v>績效獎金</v>
      </c>
      <c r="H13" s="41" t="str">
        <f>IFERROR(__xludf.DUMMYFUNCTION("""COMPUTED_VALUE"""),"團隊層級獎金 - 三級主管")</f>
        <v>團隊層級獎金 - 三級主管</v>
      </c>
      <c r="I13" s="61">
        <f>IFERROR(__xludf.DUMMYFUNCTION("""COMPUTED_VALUE"""),1167.0)</f>
        <v>1167</v>
      </c>
      <c r="J13" s="61">
        <f>IFERROR(__xludf.DUMMYFUNCTION("""COMPUTED_VALUE"""),14000.0)</f>
        <v>14000</v>
      </c>
      <c r="K13" s="41" t="str">
        <f>IFERROR(__xludf.DUMMYFUNCTION("""COMPUTED_VALUE"""),"各專業中心")</f>
        <v>各專業中心</v>
      </c>
      <c r="L13" s="41" t="str">
        <f>IFERROR(__xludf.DUMMYFUNCTION("""COMPUTED_VALUE"""),"各專業中心")</f>
        <v>各專業中心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>
      <c r="B14" s="41">
        <f>IFERROR(__xludf.DUMMYFUNCTION("""COMPUTED_VALUE"""),13.0)</f>
        <v>13</v>
      </c>
      <c r="C14" s="41" t="str">
        <f>IFERROR(__xludf.DUMMYFUNCTION("""COMPUTED_VALUE"""),"人事費用")</f>
        <v>人事費用</v>
      </c>
      <c r="D14" s="41" t="str">
        <f>IFERROR(__xludf.DUMMYFUNCTION("""COMPUTED_VALUE"""),"iCHEF+QLR")</f>
        <v>iCHEF+QLR</v>
      </c>
      <c r="E14" s="41" t="str">
        <f>IFERROR(__xludf.DUMMYFUNCTION("""COMPUTED_VALUE"""),"6x1095")</f>
        <v>6x1095</v>
      </c>
      <c r="F14" s="41" t="str">
        <f>IFERROR(__xludf.DUMMYFUNCTION("""COMPUTED_VALUE"""),"薪資費用")</f>
        <v>薪資費用</v>
      </c>
      <c r="G14" s="41" t="str">
        <f>IFERROR(__xludf.DUMMYFUNCTION("""COMPUTED_VALUE"""),"公司層級獎金")</f>
        <v>公司層級獎金</v>
      </c>
      <c r="H14" s="41" t="str">
        <f>IFERROR(__xludf.DUMMYFUNCTION("""COMPUTED_VALUE"""),"公司層級獎金")</f>
        <v>公司層級獎金</v>
      </c>
      <c r="I14" s="41"/>
      <c r="J14" s="61" t="str">
        <f>IFERROR(__xludf.DUMMYFUNCTION("""COMPUTED_VALUE"""),"2.5% of ARR")</f>
        <v>2.5% of ARR</v>
      </c>
      <c r="K14" s="41" t="str">
        <f>IFERROR(__xludf.DUMMYFUNCTION("""COMPUTED_VALUE"""),"CEO")</f>
        <v>CEO</v>
      </c>
      <c r="L14" s="41" t="str">
        <f>IFERROR(__xludf.DUMMYFUNCTION("""COMPUTED_VALUE"""),"CEO")</f>
        <v>CEO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>
      <c r="B15" s="41">
        <f>IFERROR(__xludf.DUMMYFUNCTION("""COMPUTED_VALUE"""),14.0)</f>
        <v>14</v>
      </c>
      <c r="C15" s="41" t="str">
        <f>IFERROR(__xludf.DUMMYFUNCTION("""COMPUTED_VALUE"""),"非人事費用")</f>
        <v>非人事費用</v>
      </c>
      <c r="D15" s="41" t="str">
        <f>IFERROR(__xludf.DUMMYFUNCTION("""COMPUTED_VALUE"""),"iCHEF")</f>
        <v>iCHEF</v>
      </c>
      <c r="E15" s="41" t="str">
        <f>IFERROR(__xludf.DUMMYFUNCTION("""COMPUTED_VALUE"""),"6x3299")</f>
        <v>6x3299</v>
      </c>
      <c r="F15" s="41" t="str">
        <f>IFERROR(__xludf.DUMMYFUNCTION("""COMPUTED_VALUE"""),"其他費用")</f>
        <v>其他費用</v>
      </c>
      <c r="G15" s="41" t="str">
        <f>IFERROR(__xludf.DUMMYFUNCTION("""COMPUTED_VALUE"""),"其他")</f>
        <v>其他</v>
      </c>
      <c r="H15" s="41" t="str">
        <f>IFERROR(__xludf.DUMMYFUNCTION("""COMPUTED_VALUE"""),"季度聚餐")</f>
        <v>季度聚餐</v>
      </c>
      <c r="I15" s="61">
        <f>IFERROR(__xludf.DUMMYFUNCTION("""COMPUTED_VALUE"""),334.0)</f>
        <v>334</v>
      </c>
      <c r="J15" s="61">
        <f>IFERROR(__xludf.DUMMYFUNCTION("""COMPUTED_VALUE"""),4000.0)</f>
        <v>4000</v>
      </c>
      <c r="K15" s="41" t="str">
        <f>IFERROR(__xludf.DUMMYFUNCTION("""COMPUTED_VALUE"""),"各專業中心")</f>
        <v>各專業中心</v>
      </c>
      <c r="L15" s="41" t="str">
        <f>IFERROR(__xludf.DUMMYFUNCTION("""COMPUTED_VALUE"""),"各專業中心")</f>
        <v>各專業中心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>
      <c r="B16" s="41">
        <f>IFERROR(__xludf.DUMMYFUNCTION("""COMPUTED_VALUE"""),15.0)</f>
        <v>15</v>
      </c>
      <c r="C16" s="41" t="str">
        <f>IFERROR(__xludf.DUMMYFUNCTION("""COMPUTED_VALUE"""),"非人事費用")</f>
        <v>非人事費用</v>
      </c>
      <c r="D16" s="41" t="str">
        <f>IFERROR(__xludf.DUMMYFUNCTION("""COMPUTED_VALUE"""),"QLR")</f>
        <v>QLR</v>
      </c>
      <c r="E16" s="41" t="str">
        <f>IFERROR(__xludf.DUMMYFUNCTION("""COMPUTED_VALUE"""),"6x3299")</f>
        <v>6x3299</v>
      </c>
      <c r="F16" s="41" t="str">
        <f>IFERROR(__xludf.DUMMYFUNCTION("""COMPUTED_VALUE"""),"其他費用")</f>
        <v>其他費用</v>
      </c>
      <c r="G16" s="41" t="str">
        <f>IFERROR(__xludf.DUMMYFUNCTION("""COMPUTED_VALUE"""),"其他")</f>
        <v>其他</v>
      </c>
      <c r="H16" s="41" t="str">
        <f>IFERROR(__xludf.DUMMYFUNCTION("""COMPUTED_VALUE"""),"體驗基金")</f>
        <v>體驗基金</v>
      </c>
      <c r="I16" s="61">
        <f>IFERROR(__xludf.DUMMYFUNCTION("""COMPUTED_VALUE"""),334.0)</f>
        <v>334</v>
      </c>
      <c r="J16" s="61">
        <f>IFERROR(__xludf.DUMMYFUNCTION("""COMPUTED_VALUE"""),4000.0)</f>
        <v>4000</v>
      </c>
      <c r="K16" s="41" t="str">
        <f>IFERROR(__xludf.DUMMYFUNCTION("""COMPUTED_VALUE"""),"各專業中心")</f>
        <v>各專業中心</v>
      </c>
      <c r="L16" s="41" t="str">
        <f>IFERROR(__xludf.DUMMYFUNCTION("""COMPUTED_VALUE"""),"各專業中心")</f>
        <v>各專業中心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>
      <c r="B17" s="41">
        <f>IFERROR(__xludf.DUMMYFUNCTION("""COMPUTED_VALUE"""),16.0)</f>
        <v>16</v>
      </c>
      <c r="C17" s="41" t="str">
        <f>IFERROR(__xludf.DUMMYFUNCTION("""COMPUTED_VALUE"""),"非人事費用")</f>
        <v>非人事費用</v>
      </c>
      <c r="D17" s="41" t="str">
        <f>IFERROR(__xludf.DUMMYFUNCTION("""COMPUTED_VALUE"""),"iCHEF")</f>
        <v>iCHEF</v>
      </c>
      <c r="E17" s="41" t="str">
        <f>IFERROR(__xludf.DUMMYFUNCTION("""COMPUTED_VALUE"""),"613299
612999")</f>
        <v>613299
612999</v>
      </c>
      <c r="F17" s="41" t="str">
        <f>IFERROR(__xludf.DUMMYFUNCTION("""COMPUTED_VALUE"""),"其他費用
勞務費")</f>
        <v>其他費用
勞務費</v>
      </c>
      <c r="G17" s="41" t="str">
        <f>IFERROR(__xludf.DUMMYFUNCTION("""COMPUTED_VALUE"""),"其他
其他")</f>
        <v>其他
其他</v>
      </c>
      <c r="H17" s="41" t="str">
        <f>IFERROR(__xludf.DUMMYFUNCTION("""COMPUTED_VALUE"""),"健康檢查 (在職滿一年)")</f>
        <v>健康檢查 (在職滿一年)</v>
      </c>
      <c r="I17" s="61">
        <f>IFERROR(__xludf.DUMMYFUNCTION("""COMPUTED_VALUE"""),250.0)</f>
        <v>250</v>
      </c>
      <c r="J17" s="61">
        <f>IFERROR(__xludf.DUMMYFUNCTION("""COMPUTED_VALUE"""),3000.0)</f>
        <v>3000</v>
      </c>
      <c r="K17" s="41" t="str">
        <f>IFERROR(__xludf.DUMMYFUNCTION("""COMPUTED_VALUE"""),"各專業中心")</f>
        <v>各專業中心</v>
      </c>
      <c r="L17" s="41" t="str">
        <f>IFERROR(__xludf.DUMMYFUNCTION("""COMPUTED_VALUE"""),"各專業中心")</f>
        <v>各專業中心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>
      <c r="B18" s="41">
        <f>IFERROR(__xludf.DUMMYFUNCTION("""COMPUTED_VALUE"""),17.0)</f>
        <v>17</v>
      </c>
      <c r="C18" s="41" t="str">
        <f>IFERROR(__xludf.DUMMYFUNCTION("""COMPUTED_VALUE"""),"非人事費用")</f>
        <v>非人事費用</v>
      </c>
      <c r="D18" s="41" t="str">
        <f>IFERROR(__xludf.DUMMYFUNCTION("""COMPUTED_VALUE"""),"iCHEF")</f>
        <v>iCHEF</v>
      </c>
      <c r="E18" s="41" t="str">
        <f>IFERROR(__xludf.DUMMYFUNCTION("""COMPUTED_VALUE"""),"6x19")</f>
        <v>6x19</v>
      </c>
      <c r="F18" s="41" t="str">
        <f>IFERROR(__xludf.DUMMYFUNCTION("""COMPUTED_VALUE"""),"保險費")</f>
        <v>保險費</v>
      </c>
      <c r="G18" s="41" t="str">
        <f>IFERROR(__xludf.DUMMYFUNCTION("""COMPUTED_VALUE"""),"團體保險")</f>
        <v>團體保險</v>
      </c>
      <c r="H18" s="41" t="str">
        <f>IFERROR(__xludf.DUMMYFUNCTION("""COMPUTED_VALUE"""),"團體保險")</f>
        <v>團體保險</v>
      </c>
      <c r="I18" s="61">
        <f>IFERROR(__xludf.DUMMYFUNCTION("""COMPUTED_VALUE"""),135.0)</f>
        <v>135</v>
      </c>
      <c r="J18" s="61">
        <f>IFERROR(__xludf.DUMMYFUNCTION("""COMPUTED_VALUE"""),1625.0)</f>
        <v>1625</v>
      </c>
      <c r="K18" s="41" t="str">
        <f>IFERROR(__xludf.DUMMYFUNCTION("""COMPUTED_VALUE"""),"各專業中心")</f>
        <v>各專業中心</v>
      </c>
      <c r="L18" s="41" t="str">
        <f>IFERROR(__xludf.DUMMYFUNCTION("""COMPUTED_VALUE"""),"各專業中心")</f>
        <v>各專業中心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>
      <c r="B19" s="41">
        <f>IFERROR(__xludf.DUMMYFUNCTION("""COMPUTED_VALUE"""),18.0)</f>
        <v>18</v>
      </c>
      <c r="C19" s="41" t="str">
        <f>IFERROR(__xludf.DUMMYFUNCTION("""COMPUTED_VALUE"""),"非人事費用")</f>
        <v>非人事費用</v>
      </c>
      <c r="D19" s="41" t="str">
        <f>IFERROR(__xludf.DUMMYFUNCTION("""COMPUTED_VALUE"""),"iCHEF")</f>
        <v>iCHEF</v>
      </c>
      <c r="E19" s="41" t="str">
        <f>IFERROR(__xludf.DUMMYFUNCTION("""COMPUTED_VALUE"""),"6x20")</f>
        <v>6x20</v>
      </c>
      <c r="F19" s="41" t="str">
        <f>IFERROR(__xludf.DUMMYFUNCTION("""COMPUTED_VALUE"""),"交際費")</f>
        <v>交際費</v>
      </c>
      <c r="G19" s="41" t="str">
        <f>IFERROR(__xludf.DUMMYFUNCTION("""COMPUTED_VALUE"""),"交際費")</f>
        <v>交際費</v>
      </c>
      <c r="H19" s="41" t="str">
        <f>IFERROR(__xludf.DUMMYFUNCTION("""COMPUTED_VALUE"""),"交際費 (CEO)")</f>
        <v>交際費 (CEO)</v>
      </c>
      <c r="I19" s="61">
        <f>IFERROR(__xludf.DUMMYFUNCTION("""COMPUTED_VALUE"""),10000.0)</f>
        <v>10000</v>
      </c>
      <c r="J19" s="61">
        <f>IFERROR(__xludf.DUMMYFUNCTION("""COMPUTED_VALUE"""),120000.0)</f>
        <v>120000</v>
      </c>
      <c r="K19" s="41" t="str">
        <f>IFERROR(__xludf.DUMMYFUNCTION("""COMPUTED_VALUE"""),"各專業中心")</f>
        <v>各專業中心</v>
      </c>
      <c r="L19" s="41" t="str">
        <f>IFERROR(__xludf.DUMMYFUNCTION("""COMPUTED_VALUE"""),"各專業中心")</f>
        <v>各專業中心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>
      <c r="B20" s="41">
        <f>IFERROR(__xludf.DUMMYFUNCTION("""COMPUTED_VALUE"""),19.0)</f>
        <v>19</v>
      </c>
      <c r="C20" s="41" t="str">
        <f>IFERROR(__xludf.DUMMYFUNCTION("""COMPUTED_VALUE"""),"非人事費用")</f>
        <v>非人事費用</v>
      </c>
      <c r="D20" s="41" t="str">
        <f>IFERROR(__xludf.DUMMYFUNCTION("""COMPUTED_VALUE"""),"iCHEF+QLR")</f>
        <v>iCHEF+QLR</v>
      </c>
      <c r="E20" s="41" t="str">
        <f>IFERROR(__xludf.DUMMYFUNCTION("""COMPUTED_VALUE"""),"6x20")</f>
        <v>6x20</v>
      </c>
      <c r="F20" s="41" t="str">
        <f>IFERROR(__xludf.DUMMYFUNCTION("""COMPUTED_VALUE"""),"交際費")</f>
        <v>交際費</v>
      </c>
      <c r="G20" s="41" t="str">
        <f>IFERROR(__xludf.DUMMYFUNCTION("""COMPUTED_VALUE"""),"交際費")</f>
        <v>交際費</v>
      </c>
      <c r="H20" s="41" t="str">
        <f>IFERROR(__xludf.DUMMYFUNCTION("""COMPUTED_VALUE"""),"交際費 (一級主管)")</f>
        <v>交際費 (一級主管)</v>
      </c>
      <c r="I20" s="61">
        <f>IFERROR(__xludf.DUMMYFUNCTION("""COMPUTED_VALUE"""),8000.0)</f>
        <v>8000</v>
      </c>
      <c r="J20" s="61">
        <f>IFERROR(__xludf.DUMMYFUNCTION("""COMPUTED_VALUE"""),96000.0)</f>
        <v>96000</v>
      </c>
      <c r="K20" s="41" t="str">
        <f>IFERROR(__xludf.DUMMYFUNCTION("""COMPUTED_VALUE"""),"各專業中心")</f>
        <v>各專業中心</v>
      </c>
      <c r="L20" s="41" t="str">
        <f>IFERROR(__xludf.DUMMYFUNCTION("""COMPUTED_VALUE"""),"各專業中心")</f>
        <v>各專業中心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>
      <c r="B21" s="41">
        <f>IFERROR(__xludf.DUMMYFUNCTION("""COMPUTED_VALUE"""),20.0)</f>
        <v>20</v>
      </c>
      <c r="C21" s="41" t="str">
        <f>IFERROR(__xludf.DUMMYFUNCTION("""COMPUTED_VALUE"""),"非人事費用")</f>
        <v>非人事費用</v>
      </c>
      <c r="D21" s="41" t="str">
        <f>IFERROR(__xludf.DUMMYFUNCTION("""COMPUTED_VALUE"""),"iCHEF+QLR")</f>
        <v>iCHEF+QLR</v>
      </c>
      <c r="E21" s="41" t="str">
        <f>IFERROR(__xludf.DUMMYFUNCTION("""COMPUTED_VALUE"""),"6x20")</f>
        <v>6x20</v>
      </c>
      <c r="F21" s="41" t="str">
        <f>IFERROR(__xludf.DUMMYFUNCTION("""COMPUTED_VALUE"""),"交際費")</f>
        <v>交際費</v>
      </c>
      <c r="G21" s="41" t="str">
        <f>IFERROR(__xludf.DUMMYFUNCTION("""COMPUTED_VALUE"""),"交際費")</f>
        <v>交際費</v>
      </c>
      <c r="H21" s="41" t="str">
        <f>IFERROR(__xludf.DUMMYFUNCTION("""COMPUTED_VALUE"""),"交際費 (二級主管)")</f>
        <v>交際費 (二級主管)</v>
      </c>
      <c r="I21" s="61">
        <f>IFERROR(__xludf.DUMMYFUNCTION("""COMPUTED_VALUE"""),3000.0)</f>
        <v>3000</v>
      </c>
      <c r="J21" s="61">
        <f>IFERROR(__xludf.DUMMYFUNCTION("""COMPUTED_VALUE"""),36000.0)</f>
        <v>36000</v>
      </c>
      <c r="K21" s="41" t="str">
        <f>IFERROR(__xludf.DUMMYFUNCTION("""COMPUTED_VALUE"""),"各專業中心")</f>
        <v>各專業中心</v>
      </c>
      <c r="L21" s="41" t="str">
        <f>IFERROR(__xludf.DUMMYFUNCTION("""COMPUTED_VALUE"""),"各專業中心")</f>
        <v>各專業中心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>
      <c r="B22" s="41">
        <f>IFERROR(__xludf.DUMMYFUNCTION("""COMPUTED_VALUE"""),21.0)</f>
        <v>21</v>
      </c>
      <c r="C22" s="41" t="str">
        <f>IFERROR(__xludf.DUMMYFUNCTION("""COMPUTED_VALUE"""),"非人事費用")</f>
        <v>非人事費用</v>
      </c>
      <c r="D22" s="41" t="str">
        <f>IFERROR(__xludf.DUMMYFUNCTION("""COMPUTED_VALUE"""),"iCHEF+QLR")</f>
        <v>iCHEF+QLR</v>
      </c>
      <c r="E22" s="41" t="str">
        <f>IFERROR(__xludf.DUMMYFUNCTION("""COMPUTED_VALUE"""),"6x1302
6x1303")</f>
        <v>6x1302
6x1303</v>
      </c>
      <c r="F22" s="41" t="str">
        <f>IFERROR(__xludf.DUMMYFUNCTION("""COMPUTED_VALUE"""),"旅費
旅費")</f>
        <v>旅費
旅費</v>
      </c>
      <c r="G22" s="41" t="str">
        <f>IFERROR(__xludf.DUMMYFUNCTION("""COMPUTED_VALUE"""),"國內差旅費
國外差旅費")</f>
        <v>國內差旅費
國外差旅費</v>
      </c>
      <c r="H22" s="41" t="str">
        <f>IFERROR(__xludf.DUMMYFUNCTION("""COMPUTED_VALUE"""),"差旅費")</f>
        <v>差旅費</v>
      </c>
      <c r="I22" s="41"/>
      <c r="J22" s="41"/>
      <c r="K22" s="41" t="str">
        <f>IFERROR(__xludf.DUMMYFUNCTION("""COMPUTED_VALUE"""),"各專業中心")</f>
        <v>各專業中心</v>
      </c>
      <c r="L22" s="41" t="str">
        <f>IFERROR(__xludf.DUMMYFUNCTION("""COMPUTED_VALUE"""),"各專業中心")</f>
        <v>各專業中心</v>
      </c>
      <c r="M22" s="41" t="str">
        <f>IFERROR(__xludf.DUMMYFUNCTION("""COMPUTED_VALUE"""),"金額由各中心自行評估")</f>
        <v>金額由各中心自行評估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>
      <c r="B23" s="41">
        <f>IFERROR(__xludf.DUMMYFUNCTION("""COMPUTED_VALUE"""),22.0)</f>
        <v>22</v>
      </c>
      <c r="C23" s="41" t="str">
        <f>IFERROR(__xludf.DUMMYFUNCTION("""COMPUTED_VALUE"""),"非人事費用")</f>
        <v>非人事費用</v>
      </c>
      <c r="D23" s="41" t="str">
        <f>IFERROR(__xludf.DUMMYFUNCTION("""COMPUTED_VALUE"""),"iCHEF+QLR")</f>
        <v>iCHEF+QLR</v>
      </c>
      <c r="E23" s="41" t="str">
        <f>IFERROR(__xludf.DUMMYFUNCTION("""COMPUTED_VALUE"""),"6x1301")</f>
        <v>6x1301</v>
      </c>
      <c r="F23" s="41" t="str">
        <f>IFERROR(__xludf.DUMMYFUNCTION("""COMPUTED_VALUE"""),"旅費")</f>
        <v>旅費</v>
      </c>
      <c r="G23" s="41" t="str">
        <f>IFERROR(__xludf.DUMMYFUNCTION("""COMPUTED_VALUE"""),"交通費")</f>
        <v>交通費</v>
      </c>
      <c r="H23" s="41" t="str">
        <f>IFERROR(__xludf.DUMMYFUNCTION("""COMPUTED_VALUE"""),"交通費")</f>
        <v>交通費</v>
      </c>
      <c r="I23" s="41"/>
      <c r="J23" s="41"/>
      <c r="K23" s="41" t="str">
        <f>IFERROR(__xludf.DUMMYFUNCTION("""COMPUTED_VALUE"""),"各專業中心")</f>
        <v>各專業中心</v>
      </c>
      <c r="L23" s="41" t="str">
        <f>IFERROR(__xludf.DUMMYFUNCTION("""COMPUTED_VALUE"""),"各專業中心")</f>
        <v>各專業中心</v>
      </c>
      <c r="M23" s="41" t="str">
        <f>IFERROR(__xludf.DUMMYFUNCTION("""COMPUTED_VALUE"""),"金額由各中心自行評估")</f>
        <v>金額由各中心自行評估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>
      <c r="B24" s="41">
        <f>IFERROR(__xludf.DUMMYFUNCTION("""COMPUTED_VALUE"""),23.0)</f>
        <v>23</v>
      </c>
      <c r="C24" s="41" t="str">
        <f>IFERROR(__xludf.DUMMYFUNCTION("""COMPUTED_VALUE"""),"非人事費用")</f>
        <v>非人事費用</v>
      </c>
      <c r="D24" s="41" t="str">
        <f>IFERROR(__xludf.DUMMYFUNCTION("""COMPUTED_VALUE"""),"iCHEF")</f>
        <v>iCHEF</v>
      </c>
      <c r="E24" s="41">
        <f>IFERROR(__xludf.DUMMYFUNCTION("""COMPUTED_VALUE"""),613299.0)</f>
        <v>613299</v>
      </c>
      <c r="F24" s="41" t="str">
        <f>IFERROR(__xludf.DUMMYFUNCTION("""COMPUTED_VALUE"""),"其他費用")</f>
        <v>其他費用</v>
      </c>
      <c r="G24" s="41" t="str">
        <f>IFERROR(__xludf.DUMMYFUNCTION("""COMPUTED_VALUE"""),"其他")</f>
        <v>其他</v>
      </c>
      <c r="H24" s="41" t="str">
        <f>IFERROR(__xludf.DUMMYFUNCTION("""COMPUTED_VALUE"""),"新人到職第一餐")</f>
        <v>新人到職第一餐</v>
      </c>
      <c r="I24" s="61">
        <f>IFERROR(__xludf.DUMMYFUNCTION("""COMPUTED_VALUE"""),1000.0)</f>
        <v>1000</v>
      </c>
      <c r="J24" s="61" t="str">
        <f>IFERROR(__xludf.DUMMYFUNCTION("""COMPUTED_VALUE"""),"人")</f>
        <v>人</v>
      </c>
      <c r="K24" s="41" t="str">
        <f>IFERROR(__xludf.DUMMYFUNCTION("""COMPUTED_VALUE"""),"各專業中心")</f>
        <v>各專業中心</v>
      </c>
      <c r="L24" s="41" t="str">
        <f>IFERROR(__xludf.DUMMYFUNCTION("""COMPUTED_VALUE"""),"各專業中心")</f>
        <v>各專業中心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>
      <c r="B25" s="41">
        <f>IFERROR(__xludf.DUMMYFUNCTION("""COMPUTED_VALUE"""),24.0)</f>
        <v>24</v>
      </c>
      <c r="C25" s="41" t="str">
        <f>IFERROR(__xludf.DUMMYFUNCTION("""COMPUTED_VALUE"""),"非人事費用")</f>
        <v>非人事費用</v>
      </c>
      <c r="D25" s="41" t="str">
        <f>IFERROR(__xludf.DUMMYFUNCTION("""COMPUTED_VALUE"""),"iCHEF")</f>
        <v>iCHEF</v>
      </c>
      <c r="E25" s="41" t="str">
        <f>IFERROR(__xludf.DUMMYFUNCTION("""COMPUTED_VALUE"""),"6x31")</f>
        <v>6x31</v>
      </c>
      <c r="F25" s="41" t="str">
        <f>IFERROR(__xludf.DUMMYFUNCTION("""COMPUTED_VALUE"""),"訓練費")</f>
        <v>訓練費</v>
      </c>
      <c r="G25" s="41" t="str">
        <f>IFERROR(__xludf.DUMMYFUNCTION("""COMPUTED_VALUE"""),"訓練費")</f>
        <v>訓練費</v>
      </c>
      <c r="H25" s="41" t="str">
        <f>IFERROR(__xludf.DUMMYFUNCTION("""COMPUTED_VALUE"""),"教育訓練")</f>
        <v>教育訓練</v>
      </c>
      <c r="I25" s="41"/>
      <c r="J25" s="61" t="str">
        <f>IFERROR(__xludf.DUMMYFUNCTION("""COMPUTED_VALUE"""),"由 HR 統一管理")</f>
        <v>由 HR 統一管理</v>
      </c>
      <c r="K25" s="41" t="str">
        <f>IFERROR(__xludf.DUMMYFUNCTION("""COMPUTED_VALUE"""),"管理中心")</f>
        <v>管理中心</v>
      </c>
      <c r="L25" s="41" t="str">
        <f>IFERROR(__xludf.DUMMYFUNCTION("""COMPUTED_VALUE"""),"管理中心")</f>
        <v>管理中心</v>
      </c>
      <c r="M25" s="41" t="str">
        <f>IFERROR(__xludf.DUMMYFUNCTION("""COMPUTED_VALUE"""),"由 HR 統一管理、安排教育訓練課程")</f>
        <v>由 HR 統一管理、安排教育訓練課程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>
      <c r="B26" s="41">
        <f>IFERROR(__xludf.DUMMYFUNCTION("""COMPUTED_VALUE"""),25.0)</f>
        <v>25</v>
      </c>
      <c r="C26" s="41" t="str">
        <f>IFERROR(__xludf.DUMMYFUNCTION("""COMPUTED_VALUE"""),"非人事費用")</f>
        <v>非人事費用</v>
      </c>
      <c r="D26" s="41" t="str">
        <f>IFERROR(__xludf.DUMMYFUNCTION("""COMPUTED_VALUE"""),"iCHEF")</f>
        <v>iCHEF</v>
      </c>
      <c r="E26" s="41" t="str">
        <f>IFERROR(__xludf.DUMMYFUNCTION("""COMPUTED_VALUE"""),"6x19")</f>
        <v>6x19</v>
      </c>
      <c r="F26" s="41" t="str">
        <f>IFERROR(__xludf.DUMMYFUNCTION("""COMPUTED_VALUE"""),"保險費")</f>
        <v>保險費</v>
      </c>
      <c r="G26" s="41" t="str">
        <f>IFERROR(__xludf.DUMMYFUNCTION("""COMPUTED_VALUE"""),"其他")</f>
        <v>其他</v>
      </c>
      <c r="H26" s="41" t="str">
        <f>IFERROR(__xludf.DUMMYFUNCTION("""COMPUTED_VALUE"""),"火災保險")</f>
        <v>火災保險</v>
      </c>
      <c r="I26" s="61">
        <f>IFERROR(__xludf.DUMMYFUNCTION("""COMPUTED_VALUE"""),6.0)</f>
        <v>6</v>
      </c>
      <c r="J26" s="61">
        <f>IFERROR(__xludf.DUMMYFUNCTION("""COMPUTED_VALUE"""),69.0)</f>
        <v>69</v>
      </c>
      <c r="K26" s="41" t="str">
        <f>IFERROR(__xludf.DUMMYFUNCTION("""COMPUTED_VALUE"""),"管理中心")</f>
        <v>管理中心</v>
      </c>
      <c r="L26" s="41" t="str">
        <f>IFERROR(__xludf.DUMMYFUNCTION("""COMPUTED_VALUE"""),"管理中心")</f>
        <v>管理中心</v>
      </c>
      <c r="M26" s="41" t="str">
        <f>IFERROR(__xludf.DUMMYFUNCTION("""COMPUTED_VALUE"""),"2026 台中辦公室也要保火險、要估列
火險包含裝修、設備、存貨
總金額估在管理中心即可")</f>
        <v>2026 台中辦公室也要保火險、要估列
火險包含裝修、設備、存貨
總金額估在管理中心即可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>
      <c r="B27" s="41">
        <f>IFERROR(__xludf.DUMMYFUNCTION("""COMPUTED_VALUE"""),26.0)</f>
        <v>26</v>
      </c>
      <c r="C27" s="41" t="str">
        <f>IFERROR(__xludf.DUMMYFUNCTION("""COMPUTED_VALUE"""),"非人事費用")</f>
        <v>非人事費用</v>
      </c>
      <c r="D27" s="41" t="str">
        <f>IFERROR(__xludf.DUMMYFUNCTION("""COMPUTED_VALUE"""),"iCHEF+QLR")</f>
        <v>iCHEF+QLR</v>
      </c>
      <c r="E27" s="41">
        <f>IFERROR(__xludf.DUMMYFUNCTION("""COMPUTED_VALUE"""),613299.0)</f>
        <v>613299</v>
      </c>
      <c r="F27" s="41" t="str">
        <f>IFERROR(__xludf.DUMMYFUNCTION("""COMPUTED_VALUE"""),"其他費用")</f>
        <v>其他費用</v>
      </c>
      <c r="G27" s="41" t="str">
        <f>IFERROR(__xludf.DUMMYFUNCTION("""COMPUTED_VALUE"""),"其他")</f>
        <v>其他</v>
      </c>
      <c r="H27" s="41" t="str">
        <f>IFERROR(__xludf.DUMMYFUNCTION("""COMPUTED_VALUE"""),"三節禮品")</f>
        <v>三節禮品</v>
      </c>
      <c r="I27" s="61">
        <f>IFERROR(__xludf.DUMMYFUNCTION("""COMPUTED_VALUE"""),175.0)</f>
        <v>175</v>
      </c>
      <c r="J27" s="61">
        <f>IFERROR(__xludf.DUMMYFUNCTION("""COMPUTED_VALUE"""),2100.0)</f>
        <v>2100</v>
      </c>
      <c r="K27" s="41" t="str">
        <f>IFERROR(__xludf.DUMMYFUNCTION("""COMPUTED_VALUE"""),"管理中心")</f>
        <v>管理中心</v>
      </c>
      <c r="L27" s="41" t="str">
        <f>IFERROR(__xludf.DUMMYFUNCTION("""COMPUTED_VALUE"""),"管理中心")</f>
        <v>管理中心</v>
      </c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>
      <c r="B28" s="41">
        <f>IFERROR(__xludf.DUMMYFUNCTION("""COMPUTED_VALUE"""),27.0)</f>
        <v>27</v>
      </c>
      <c r="C28" s="41" t="str">
        <f>IFERROR(__xludf.DUMMYFUNCTION("""COMPUTED_VALUE"""),"非人事費用")</f>
        <v>非人事費用</v>
      </c>
      <c r="D28" s="41" t="str">
        <f>IFERROR(__xludf.DUMMYFUNCTION("""COMPUTED_VALUE"""),"iCHEF+QLR")</f>
        <v>iCHEF+QLR</v>
      </c>
      <c r="E28" s="41">
        <f>IFERROR(__xludf.DUMMYFUNCTION("""COMPUTED_VALUE"""),613299.0)</f>
        <v>613299</v>
      </c>
      <c r="F28" s="41" t="str">
        <f>IFERROR(__xludf.DUMMYFUNCTION("""COMPUTED_VALUE"""),"其他費用")</f>
        <v>其他費用</v>
      </c>
      <c r="G28" s="41" t="str">
        <f>IFERROR(__xludf.DUMMYFUNCTION("""COMPUTED_VALUE"""),"其他")</f>
        <v>其他</v>
      </c>
      <c r="H28" s="41" t="str">
        <f>IFERROR(__xludf.DUMMYFUNCTION("""COMPUTED_VALUE"""),"尾牙/春酒")</f>
        <v>尾牙/春酒</v>
      </c>
      <c r="I28" s="61">
        <f>IFERROR(__xludf.DUMMYFUNCTION("""COMPUTED_VALUE"""),250.0)</f>
        <v>250</v>
      </c>
      <c r="J28" s="61">
        <f>IFERROR(__xludf.DUMMYFUNCTION("""COMPUTED_VALUE"""),3000.0)</f>
        <v>3000</v>
      </c>
      <c r="K28" s="41" t="str">
        <f>IFERROR(__xludf.DUMMYFUNCTION("""COMPUTED_VALUE"""),"管理中心")</f>
        <v>管理中心</v>
      </c>
      <c r="L28" s="41" t="str">
        <f>IFERROR(__xludf.DUMMYFUNCTION("""COMPUTED_VALUE"""),"管理中心")</f>
        <v>管理中心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>
      <c r="B29" s="41">
        <f>IFERROR(__xludf.DUMMYFUNCTION("""COMPUTED_VALUE"""),28.0)</f>
        <v>28</v>
      </c>
      <c r="C29" s="41" t="str">
        <f>IFERROR(__xludf.DUMMYFUNCTION("""COMPUTED_VALUE"""),"非人事費用")</f>
        <v>非人事費用</v>
      </c>
      <c r="D29" s="41" t="str">
        <f>IFERROR(__xludf.DUMMYFUNCTION("""COMPUTED_VALUE"""),"iCHEF+QLR")</f>
        <v>iCHEF+QLR</v>
      </c>
      <c r="E29" s="41">
        <f>IFERROR(__xludf.DUMMYFUNCTION("""COMPUTED_VALUE"""),613299.0)</f>
        <v>613299</v>
      </c>
      <c r="F29" s="41" t="str">
        <f>IFERROR(__xludf.DUMMYFUNCTION("""COMPUTED_VALUE"""),"其他費用")</f>
        <v>其他費用</v>
      </c>
      <c r="G29" s="41" t="str">
        <f>IFERROR(__xludf.DUMMYFUNCTION("""COMPUTED_VALUE"""),"其他")</f>
        <v>其他</v>
      </c>
      <c r="H29" s="41" t="str">
        <f>IFERROR(__xludf.DUMMYFUNCTION("""COMPUTED_VALUE"""),"Pizza Meeting 餐費 (每週 NT$ 170)")</f>
        <v>Pizza Meeting 餐費 (每週 NT$ 170)</v>
      </c>
      <c r="I29" s="61">
        <f>IFERROR(__xludf.DUMMYFUNCTION("""COMPUTED_VALUE"""),600.0)</f>
        <v>600</v>
      </c>
      <c r="J29" s="61">
        <f>IFERROR(__xludf.DUMMYFUNCTION("""COMPUTED_VALUE"""),7200.0)</f>
        <v>7200</v>
      </c>
      <c r="K29" s="41" t="str">
        <f>IFERROR(__xludf.DUMMYFUNCTION("""COMPUTED_VALUE"""),"管理中心")</f>
        <v>管理中心</v>
      </c>
      <c r="L29" s="41" t="str">
        <f>IFERROR(__xludf.DUMMYFUNCTION("""COMPUTED_VALUE"""),"管理中心")</f>
        <v>管理中心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>
      <c r="B30" s="41">
        <f>IFERROR(__xludf.DUMMYFUNCTION("""COMPUTED_VALUE"""),29.0)</f>
        <v>29</v>
      </c>
      <c r="C30" s="41" t="str">
        <f>IFERROR(__xludf.DUMMYFUNCTION("""COMPUTED_VALUE"""),"非人事費用")</f>
        <v>非人事費用</v>
      </c>
      <c r="D30" s="41" t="str">
        <f>IFERROR(__xludf.DUMMYFUNCTION("""COMPUTED_VALUE"""),"iCHEF")</f>
        <v>iCHEF</v>
      </c>
      <c r="E30" s="41"/>
      <c r="F30" s="41"/>
      <c r="G30" s="41"/>
      <c r="H30" s="41" t="str">
        <f>IFERROR(__xludf.DUMMYFUNCTION("""COMPUTED_VALUE"""),"業務 公務機津貼")</f>
        <v>業務 公務機津貼</v>
      </c>
      <c r="I30" s="61">
        <f>IFERROR(__xludf.DUMMYFUNCTION("""COMPUTED_VALUE"""),1200.0)</f>
        <v>1200</v>
      </c>
      <c r="J30" s="61">
        <f>IFERROR(__xludf.DUMMYFUNCTION("""COMPUTED_VALUE"""),14400.0)</f>
        <v>14400</v>
      </c>
      <c r="K30" s="41" t="str">
        <f>IFERROR(__xludf.DUMMYFUNCTION("""COMPUTED_VALUE"""),"行銷營運中心")</f>
        <v>行銷營運中心</v>
      </c>
      <c r="L30" s="41" t="str">
        <f>IFERROR(__xludf.DUMMYFUNCTION("""COMPUTED_VALUE"""),"行銷營運中心")</f>
        <v>行銷營運中心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>
      <c r="B31" s="41">
        <f>IFERROR(__xludf.DUMMYFUNCTION("""COMPUTED_VALUE"""),30.0)</f>
        <v>30</v>
      </c>
      <c r="C31" s="41" t="str">
        <f>IFERROR(__xludf.DUMMYFUNCTION("""COMPUTED_VALUE"""),"非人事費用")</f>
        <v>非人事費用</v>
      </c>
      <c r="D31" s="41" t="str">
        <f>IFERROR(__xludf.DUMMYFUNCTION("""COMPUTED_VALUE"""),"iCHEF")</f>
        <v>iCHEF</v>
      </c>
      <c r="E31" s="41"/>
      <c r="F31" s="41"/>
      <c r="G31" s="41"/>
      <c r="H31" s="41" t="str">
        <f>IFERROR(__xludf.DUMMYFUNCTION("""COMPUTED_VALUE"""),"業務 多店顧問 交通費")</f>
        <v>業務 多店顧問 交通費</v>
      </c>
      <c r="I31" s="61">
        <f>IFERROR(__xludf.DUMMYFUNCTION("""COMPUTED_VALUE"""),15000.0)</f>
        <v>15000</v>
      </c>
      <c r="J31" s="61">
        <f>IFERROR(__xludf.DUMMYFUNCTION("""COMPUTED_VALUE"""),180000.0)</f>
        <v>180000</v>
      </c>
      <c r="K31" s="41" t="str">
        <f>IFERROR(__xludf.DUMMYFUNCTION("""COMPUTED_VALUE"""),"行銷營運中心")</f>
        <v>行銷營運中心</v>
      </c>
      <c r="L31" s="41" t="str">
        <f>IFERROR(__xludf.DUMMYFUNCTION("""COMPUTED_VALUE"""),"行銷營運中心")</f>
        <v>行銷營運中心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>
      <c r="B32" s="41">
        <f>IFERROR(__xludf.DUMMYFUNCTION("""COMPUTED_VALUE"""),31.0)</f>
        <v>31</v>
      </c>
      <c r="C32" s="41" t="str">
        <f>IFERROR(__xludf.DUMMYFUNCTION("""COMPUTED_VALUE"""),"非人事費用")</f>
        <v>非人事費用</v>
      </c>
      <c r="D32" s="41" t="str">
        <f>IFERROR(__xludf.DUMMYFUNCTION("""COMPUTED_VALUE"""),"iCHEF")</f>
        <v>iCHEF</v>
      </c>
      <c r="E32" s="41"/>
      <c r="F32" s="41"/>
      <c r="G32" s="41"/>
      <c r="H32" s="41" t="str">
        <f>IFERROR(__xludf.DUMMYFUNCTION("""COMPUTED_VALUE"""),"業務 多店顧問 交際費")</f>
        <v>業務 多店顧問 交際費</v>
      </c>
      <c r="I32" s="61">
        <f>IFERROR(__xludf.DUMMYFUNCTION("""COMPUTED_VALUE"""),3000.0)</f>
        <v>3000</v>
      </c>
      <c r="J32" s="61">
        <f>IFERROR(__xludf.DUMMYFUNCTION("""COMPUTED_VALUE"""),36000.0)</f>
        <v>36000</v>
      </c>
      <c r="K32" s="41" t="str">
        <f>IFERROR(__xludf.DUMMYFUNCTION("""COMPUTED_VALUE"""),"行銷營運中心")</f>
        <v>行銷營運中心</v>
      </c>
      <c r="L32" s="41" t="str">
        <f>IFERROR(__xludf.DUMMYFUNCTION("""COMPUTED_VALUE"""),"行銷營運中心")</f>
        <v>行銷營運中心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>
      <c r="B33" s="41">
        <f>IFERROR(__xludf.DUMMYFUNCTION("""COMPUTED_VALUE"""),32.0)</f>
        <v>32</v>
      </c>
      <c r="C33" s="41" t="str">
        <f>IFERROR(__xludf.DUMMYFUNCTION("""COMPUTED_VALUE"""),"人事費用")</f>
        <v>人事費用</v>
      </c>
      <c r="D33" s="41" t="str">
        <f>IFERROR(__xludf.DUMMYFUNCTION("""COMPUTED_VALUE"""),"iCHEF")</f>
        <v>iCHEF</v>
      </c>
      <c r="E33" s="41"/>
      <c r="F33" s="41"/>
      <c r="G33" s="41"/>
      <c r="H33" s="41" t="str">
        <f>IFERROR(__xludf.DUMMYFUNCTION("""COMPUTED_VALUE"""),"業務 季度績效獎金 (一般業務)")</f>
        <v>業務 季度績效獎金 (一般業務)</v>
      </c>
      <c r="I33" s="61">
        <f>IFERROR(__xludf.DUMMYFUNCTION("""COMPUTED_VALUE"""),3334.0)</f>
        <v>3334</v>
      </c>
      <c r="J33" s="61">
        <f>IFERROR(__xludf.DUMMYFUNCTION("""COMPUTED_VALUE"""),40000.0)</f>
        <v>40000</v>
      </c>
      <c r="K33" s="41" t="str">
        <f>IFERROR(__xludf.DUMMYFUNCTION("""COMPUTED_VALUE"""),"行銷營運中心")</f>
        <v>行銷營運中心</v>
      </c>
      <c r="L33" s="41" t="str">
        <f>IFERROR(__xludf.DUMMYFUNCTION("""COMPUTED_VALUE"""),"行銷營運中心")</f>
        <v>行銷營運中心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>
      <c r="B34" s="41">
        <f>IFERROR(__xludf.DUMMYFUNCTION("""COMPUTED_VALUE"""),33.0)</f>
        <v>33</v>
      </c>
      <c r="C34" s="41" t="str">
        <f>IFERROR(__xludf.DUMMYFUNCTION("""COMPUTED_VALUE"""),"人事費用")</f>
        <v>人事費用</v>
      </c>
      <c r="D34" s="41" t="str">
        <f>IFERROR(__xludf.DUMMYFUNCTION("""COMPUTED_VALUE"""),"iCHEF")</f>
        <v>iCHEF</v>
      </c>
      <c r="E34" s="41"/>
      <c r="F34" s="41"/>
      <c r="G34" s="41"/>
      <c r="H34" s="41" t="str">
        <f>IFERROR(__xludf.DUMMYFUNCTION("""COMPUTED_VALUE"""),"業務 季度績效獎金 (資深業務)")</f>
        <v>業務 季度績效獎金 (資深業務)</v>
      </c>
      <c r="I34" s="61">
        <f>IFERROR(__xludf.DUMMYFUNCTION("""COMPUTED_VALUE"""),5000.0)</f>
        <v>5000</v>
      </c>
      <c r="J34" s="61">
        <f>IFERROR(__xludf.DUMMYFUNCTION("""COMPUTED_VALUE"""),60000.0)</f>
        <v>60000</v>
      </c>
      <c r="K34" s="41" t="str">
        <f>IFERROR(__xludf.DUMMYFUNCTION("""COMPUTED_VALUE"""),"行銷營運中心")</f>
        <v>行銷營運中心</v>
      </c>
      <c r="L34" s="41" t="str">
        <f>IFERROR(__xludf.DUMMYFUNCTION("""COMPUTED_VALUE"""),"行銷營運中心")</f>
        <v>行銷營運中心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>
      <c r="B35" s="41">
        <f>IFERROR(__xludf.DUMMYFUNCTION("""COMPUTED_VALUE"""),34.0)</f>
        <v>34</v>
      </c>
      <c r="C35" s="41" t="str">
        <f>IFERROR(__xludf.DUMMYFUNCTION("""COMPUTED_VALUE"""),"人事費用")</f>
        <v>人事費用</v>
      </c>
      <c r="D35" s="41" t="str">
        <f>IFERROR(__xludf.DUMMYFUNCTION("""COMPUTED_VALUE"""),"iCHEF")</f>
        <v>iCHEF</v>
      </c>
      <c r="E35" s="41"/>
      <c r="F35" s="41"/>
      <c r="G35" s="41"/>
      <c r="H35" s="41" t="str">
        <f>IFERROR(__xludf.DUMMYFUNCTION("""COMPUTED_VALUE"""),"業務 季度績效獎金 (業務團隊主管)")</f>
        <v>業務 季度績效獎金 (業務團隊主管)</v>
      </c>
      <c r="I35" s="61">
        <f>IFERROR(__xludf.DUMMYFUNCTION("""COMPUTED_VALUE"""),15000.0)</f>
        <v>15000</v>
      </c>
      <c r="J35" s="61">
        <f>IFERROR(__xludf.DUMMYFUNCTION("""COMPUTED_VALUE"""),180000.0)</f>
        <v>180000</v>
      </c>
      <c r="K35" s="41" t="str">
        <f>IFERROR(__xludf.DUMMYFUNCTION("""COMPUTED_VALUE"""),"行銷營運中心")</f>
        <v>行銷營運中心</v>
      </c>
      <c r="L35" s="41" t="str">
        <f>IFERROR(__xludf.DUMMYFUNCTION("""COMPUTED_VALUE"""),"行銷營運中心")</f>
        <v>行銷營運中心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>
      <c r="B36" s="41">
        <f>IFERROR(__xludf.DUMMYFUNCTION("""COMPUTED_VALUE"""),35.0)</f>
        <v>35</v>
      </c>
      <c r="C36" s="41" t="str">
        <f>IFERROR(__xludf.DUMMYFUNCTION("""COMPUTED_VALUE"""),"人事費用")</f>
        <v>人事費用</v>
      </c>
      <c r="D36" s="41" t="str">
        <f>IFERROR(__xludf.DUMMYFUNCTION("""COMPUTED_VALUE"""),"iCHEF")</f>
        <v>iCHEF</v>
      </c>
      <c r="E36" s="41"/>
      <c r="F36" s="41"/>
      <c r="G36" s="41"/>
      <c r="H36" s="41" t="str">
        <f>IFERROR(__xludf.DUMMYFUNCTION("""COMPUTED_VALUE"""),"業務 帳號啟用費獎金 (開發/混編)")</f>
        <v>業務 帳號啟用費獎金 (開發/混編)</v>
      </c>
      <c r="I36" s="61">
        <f>IFERROR(__xludf.DUMMYFUNCTION("""COMPUTED_VALUE"""),510.0)</f>
        <v>510</v>
      </c>
      <c r="J36" s="61" t="str">
        <f>IFERROR(__xludf.DUMMYFUNCTION("""COMPUTED_VALUE"""),"間")</f>
        <v>間</v>
      </c>
      <c r="K36" s="41" t="str">
        <f>IFERROR(__xludf.DUMMYFUNCTION("""COMPUTED_VALUE"""),"行銷營運中心")</f>
        <v>行銷營運中心</v>
      </c>
      <c r="L36" s="41" t="str">
        <f>IFERROR(__xludf.DUMMYFUNCTION("""COMPUTED_VALUE"""),"行銷營運中心")</f>
        <v>行銷營運中心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</row>
    <row r="37">
      <c r="B37" s="41">
        <f>IFERROR(__xludf.DUMMYFUNCTION("""COMPUTED_VALUE"""),36.0)</f>
        <v>36</v>
      </c>
      <c r="C37" s="41" t="str">
        <f>IFERROR(__xludf.DUMMYFUNCTION("""COMPUTED_VALUE"""),"人事費用")</f>
        <v>人事費用</v>
      </c>
      <c r="D37" s="41" t="str">
        <f>IFERROR(__xludf.DUMMYFUNCTION("""COMPUTED_VALUE"""),"iCHEF")</f>
        <v>iCHEF</v>
      </c>
      <c r="E37" s="41"/>
      <c r="F37" s="41"/>
      <c r="G37" s="41"/>
      <c r="H37" s="41" t="str">
        <f>IFERROR(__xludf.DUMMYFUNCTION("""COMPUTED_VALUE"""),"業務 標準方案啟用獎金 (開發/混編)")</f>
        <v>業務 標準方案啟用獎金 (開發/混編)</v>
      </c>
      <c r="I37" s="61">
        <f>IFERROR(__xludf.DUMMYFUNCTION("""COMPUTED_VALUE"""),1500.0)</f>
        <v>1500</v>
      </c>
      <c r="J37" s="61" t="str">
        <f>IFERROR(__xludf.DUMMYFUNCTION("""COMPUTED_VALUE"""),"間")</f>
        <v>間</v>
      </c>
      <c r="K37" s="41" t="str">
        <f>IFERROR(__xludf.DUMMYFUNCTION("""COMPUTED_VALUE"""),"行銷營運中心")</f>
        <v>行銷營運中心</v>
      </c>
      <c r="L37" s="41" t="str">
        <f>IFERROR(__xludf.DUMMYFUNCTION("""COMPUTED_VALUE"""),"行銷營運中心")</f>
        <v>行銷營運中心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</row>
    <row r="38">
      <c r="B38" s="41">
        <f>IFERROR(__xludf.DUMMYFUNCTION("""COMPUTED_VALUE"""),37.0)</f>
        <v>37</v>
      </c>
      <c r="C38" s="41" t="str">
        <f>IFERROR(__xludf.DUMMYFUNCTION("""COMPUTED_VALUE"""),"人事費用")</f>
        <v>人事費用</v>
      </c>
      <c r="D38" s="41" t="str">
        <f>IFERROR(__xludf.DUMMYFUNCTION("""COMPUTED_VALUE"""),"iCHEF")</f>
        <v>iCHEF</v>
      </c>
      <c r="E38" s="41"/>
      <c r="F38" s="41"/>
      <c r="G38" s="41"/>
      <c r="H38" s="41" t="str">
        <f>IFERROR(__xludf.DUMMYFUNCTION("""COMPUTED_VALUE"""),"業務 進階方案啟用獎金 (開發/混編)")</f>
        <v>業務 進階方案啟用獎金 (開發/混編)</v>
      </c>
      <c r="I38" s="61">
        <f>IFERROR(__xludf.DUMMYFUNCTION("""COMPUTED_VALUE"""),3500.0)</f>
        <v>3500</v>
      </c>
      <c r="J38" s="61" t="str">
        <f>IFERROR(__xludf.DUMMYFUNCTION("""COMPUTED_VALUE"""),"間")</f>
        <v>間</v>
      </c>
      <c r="K38" s="41" t="str">
        <f>IFERROR(__xludf.DUMMYFUNCTION("""COMPUTED_VALUE"""),"行銷營運中心")</f>
        <v>行銷營運中心</v>
      </c>
      <c r="L38" s="41" t="str">
        <f>IFERROR(__xludf.DUMMYFUNCTION("""COMPUTED_VALUE"""),"行銷營運中心")</f>
        <v>行銷營運中心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  <row r="39">
      <c r="B39" s="41">
        <f>IFERROR(__xludf.DUMMYFUNCTION("""COMPUTED_VALUE"""),38.0)</f>
        <v>38</v>
      </c>
      <c r="C39" s="41" t="str">
        <f>IFERROR(__xludf.DUMMYFUNCTION("""COMPUTED_VALUE"""),"人事費用")</f>
        <v>人事費用</v>
      </c>
      <c r="D39" s="41" t="str">
        <f>IFERROR(__xludf.DUMMYFUNCTION("""COMPUTED_VALUE"""),"iCHEF")</f>
        <v>iCHEF</v>
      </c>
      <c r="E39" s="41"/>
      <c r="F39" s="41"/>
      <c r="G39" s="41"/>
      <c r="H39" s="41" t="str">
        <f>IFERROR(__xludf.DUMMYFUNCTION("""COMPUTED_VALUE"""),"業務 頂級方案啟用獎金 (開發/混編)")</f>
        <v>業務 頂級方案啟用獎金 (開發/混編)</v>
      </c>
      <c r="I39" s="61">
        <f>IFERROR(__xludf.DUMMYFUNCTION("""COMPUTED_VALUE"""),5500.0)</f>
        <v>5500</v>
      </c>
      <c r="J39" s="61" t="str">
        <f>IFERROR(__xludf.DUMMYFUNCTION("""COMPUTED_VALUE"""),"間")</f>
        <v>間</v>
      </c>
      <c r="K39" s="41" t="str">
        <f>IFERROR(__xludf.DUMMYFUNCTION("""COMPUTED_VALUE"""),"行銷營運中心")</f>
        <v>行銷營運中心</v>
      </c>
      <c r="L39" s="41" t="str">
        <f>IFERROR(__xludf.DUMMYFUNCTION("""COMPUTED_VALUE"""),"行銷營運中心")</f>
        <v>行銷營運中心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</row>
    <row r="40">
      <c r="B40" s="41">
        <f>IFERROR(__xludf.DUMMYFUNCTION("""COMPUTED_VALUE"""),39.0)</f>
        <v>39</v>
      </c>
      <c r="C40" s="41" t="str">
        <f>IFERROR(__xludf.DUMMYFUNCTION("""COMPUTED_VALUE"""),"人事費用")</f>
        <v>人事費用</v>
      </c>
      <c r="D40" s="41" t="str">
        <f>IFERROR(__xludf.DUMMYFUNCTION("""COMPUTED_VALUE"""),"iCHEF")</f>
        <v>iCHEF</v>
      </c>
      <c r="E40" s="41"/>
      <c r="F40" s="41"/>
      <c r="G40" s="41"/>
      <c r="H40" s="41" t="str">
        <f>IFERROR(__xludf.DUMMYFUNCTION("""COMPUTED_VALUE"""),"業務 轉介通路獎金 (業務)")</f>
        <v>業務 轉介通路獎金 (業務)</v>
      </c>
      <c r="I40" s="61">
        <f>IFERROR(__xludf.DUMMYFUNCTION("""COMPUTED_VALUE"""),1500.0)</f>
        <v>1500</v>
      </c>
      <c r="J40" s="61" t="str">
        <f>IFERROR(__xludf.DUMMYFUNCTION("""COMPUTED_VALUE"""),"間")</f>
        <v>間</v>
      </c>
      <c r="K40" s="41" t="str">
        <f>IFERROR(__xludf.DUMMYFUNCTION("""COMPUTED_VALUE"""),"行銷營運中心")</f>
        <v>行銷營運中心</v>
      </c>
      <c r="L40" s="41" t="str">
        <f>IFERROR(__xludf.DUMMYFUNCTION("""COMPUTED_VALUE"""),"行銷營運中心")</f>
        <v>行銷營運中心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</row>
    <row r="41">
      <c r="B41" s="41">
        <f>IFERROR(__xludf.DUMMYFUNCTION("""COMPUTED_VALUE"""),40.0)</f>
        <v>40</v>
      </c>
      <c r="C41" s="41" t="str">
        <f>IFERROR(__xludf.DUMMYFUNCTION("""COMPUTED_VALUE"""),"人事費用")</f>
        <v>人事費用</v>
      </c>
      <c r="D41" s="41" t="str">
        <f>IFERROR(__xludf.DUMMYFUNCTION("""COMPUTED_VALUE"""),"iCHEF")</f>
        <v>iCHEF</v>
      </c>
      <c r="E41" s="41"/>
      <c r="F41" s="41"/>
      <c r="G41" s="41"/>
      <c r="H41" s="41" t="str">
        <f>IFERROR(__xludf.DUMMYFUNCTION("""COMPUTED_VALUE"""),"業務 激勵獎金 (開發顧問)")</f>
        <v>業務 激勵獎金 (開發顧問)</v>
      </c>
      <c r="I41" s="61">
        <f>IFERROR(__xludf.DUMMYFUNCTION("""COMPUTED_VALUE"""),5000.0)</f>
        <v>5000</v>
      </c>
      <c r="J41" s="61" t="str">
        <f>IFERROR(__xludf.DUMMYFUNCTION("""COMPUTED_VALUE"""),"北區、非北區開發顧問各一名")</f>
        <v>北區、非北區開發顧問各一名</v>
      </c>
      <c r="K41" s="41" t="str">
        <f>IFERROR(__xludf.DUMMYFUNCTION("""COMPUTED_VALUE"""),"行銷營運中心")</f>
        <v>行銷營運中心</v>
      </c>
      <c r="L41" s="41" t="str">
        <f>IFERROR(__xludf.DUMMYFUNCTION("""COMPUTED_VALUE"""),"行銷營運中心")</f>
        <v>行銷營運中心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</row>
    <row r="42">
      <c r="B42" s="41">
        <f>IFERROR(__xludf.DUMMYFUNCTION("""COMPUTED_VALUE"""),41.0)</f>
        <v>41</v>
      </c>
      <c r="C42" s="41" t="str">
        <f>IFERROR(__xludf.DUMMYFUNCTION("""COMPUTED_VALUE"""),"人事費用")</f>
        <v>人事費用</v>
      </c>
      <c r="D42" s="41" t="str">
        <f>IFERROR(__xludf.DUMMYFUNCTION("""COMPUTED_VALUE"""),"iCHEF")</f>
        <v>iCHEF</v>
      </c>
      <c r="E42" s="41"/>
      <c r="F42" s="41"/>
      <c r="G42" s="41"/>
      <c r="H42" s="41" t="str">
        <f>IFERROR(__xludf.DUMMYFUNCTION("""COMPUTED_VALUE"""),"業務 導入津貼 (混編顧問)")</f>
        <v>業務 導入津貼 (混編顧問)</v>
      </c>
      <c r="I42" s="61">
        <f>IFERROR(__xludf.DUMMYFUNCTION("""COMPUTED_VALUE"""),1500.0)</f>
        <v>1500</v>
      </c>
      <c r="J42" s="61" t="str">
        <f>IFERROR(__xludf.DUMMYFUNCTION("""COMPUTED_VALUE"""),"間")</f>
        <v>間</v>
      </c>
      <c r="K42" s="41" t="str">
        <f>IFERROR(__xludf.DUMMYFUNCTION("""COMPUTED_VALUE"""),"行銷營運中心")</f>
        <v>行銷營運中心</v>
      </c>
      <c r="L42" s="41" t="str">
        <f>IFERROR(__xludf.DUMMYFUNCTION("""COMPUTED_VALUE"""),"行銷營運中心")</f>
        <v>行銷營運中心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</row>
    <row r="43">
      <c r="B43" s="41">
        <f>IFERROR(__xludf.DUMMYFUNCTION("""COMPUTED_VALUE"""),42.0)</f>
        <v>42</v>
      </c>
      <c r="C43" s="41" t="str">
        <f>IFERROR(__xludf.DUMMYFUNCTION("""COMPUTED_VALUE"""),"人事費用")</f>
        <v>人事費用</v>
      </c>
      <c r="D43" s="41" t="str">
        <f>IFERROR(__xludf.DUMMYFUNCTION("""COMPUTED_VALUE"""),"iCHEF")</f>
        <v>iCHEF</v>
      </c>
      <c r="E43" s="41"/>
      <c r="F43" s="41"/>
      <c r="G43" s="41"/>
      <c r="H43" s="41" t="str">
        <f>IFERROR(__xludf.DUMMYFUNCTION("""COMPUTED_VALUE"""),"業務 超額導入津貼 (導入教練)")</f>
        <v>業務 超額導入津貼 (導入教練)</v>
      </c>
      <c r="I43" s="61">
        <f>IFERROR(__xludf.DUMMYFUNCTION("""COMPUTED_VALUE"""),1500.0)</f>
        <v>1500</v>
      </c>
      <c r="J43" s="61" t="str">
        <f>IFERROR(__xludf.DUMMYFUNCTION("""COMPUTED_VALUE"""),"間")</f>
        <v>間</v>
      </c>
      <c r="K43" s="41" t="str">
        <f>IFERROR(__xludf.DUMMYFUNCTION("""COMPUTED_VALUE"""),"行銷營運中心")</f>
        <v>行銷營運中心</v>
      </c>
      <c r="L43" s="41" t="str">
        <f>IFERROR(__xludf.DUMMYFUNCTION("""COMPUTED_VALUE"""),"行銷營運中心")</f>
        <v>行銷營運中心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>
      <c r="B44" s="41">
        <f>IFERROR(__xludf.DUMMYFUNCTION("""COMPUTED_VALUE"""),43.0)</f>
        <v>43</v>
      </c>
      <c r="C44" s="41" t="str">
        <f>IFERROR(__xludf.DUMMYFUNCTION("""COMPUTED_VALUE"""),"人事費用")</f>
        <v>人事費用</v>
      </c>
      <c r="D44" s="41" t="str">
        <f>IFERROR(__xludf.DUMMYFUNCTION("""COMPUTED_VALUE"""),"iCHEF")</f>
        <v>iCHEF</v>
      </c>
      <c r="E44" s="41"/>
      <c r="F44" s="41"/>
      <c r="G44" s="41"/>
      <c r="H44" s="41" t="str">
        <f>IFERROR(__xludf.DUMMYFUNCTION("""COMPUTED_VALUE"""),"業務 總店系統啟用獎金")</f>
        <v>業務 總店系統啟用獎金</v>
      </c>
      <c r="I44" s="61">
        <f>IFERROR(__xludf.DUMMYFUNCTION("""COMPUTED_VALUE"""),3000.0)</f>
        <v>3000</v>
      </c>
      <c r="J44" s="61" t="str">
        <f>IFERROR(__xludf.DUMMYFUNCTION("""COMPUTED_VALUE"""),"間")</f>
        <v>間</v>
      </c>
      <c r="K44" s="41" t="str">
        <f>IFERROR(__xludf.DUMMYFUNCTION("""COMPUTED_VALUE"""),"行銷營運中心")</f>
        <v>行銷營運中心</v>
      </c>
      <c r="L44" s="41" t="str">
        <f>IFERROR(__xludf.DUMMYFUNCTION("""COMPUTED_VALUE"""),"行銷營運中心")</f>
        <v>行銷營運中心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>
      <c r="B45" s="41">
        <f>IFERROR(__xludf.DUMMYFUNCTION("""COMPUTED_VALUE"""),44.0)</f>
        <v>44</v>
      </c>
      <c r="C45" s="41" t="str">
        <f>IFERROR(__xludf.DUMMYFUNCTION("""COMPUTED_VALUE"""),"人事費用")</f>
        <v>人事費用</v>
      </c>
      <c r="D45" s="41" t="str">
        <f>IFERROR(__xludf.DUMMYFUNCTION("""COMPUTED_VALUE"""),"iCHEF")</f>
        <v>iCHEF</v>
      </c>
      <c r="E45" s="41"/>
      <c r="F45" s="41"/>
      <c r="G45" s="41"/>
      <c r="H45" s="41" t="str">
        <f>IFERROR(__xludf.DUMMYFUNCTION("""COMPUTED_VALUE"""),"業務 總店系統導入獎金")</f>
        <v>業務 總店系統導入獎金</v>
      </c>
      <c r="I45" s="61">
        <f>IFERROR(__xludf.DUMMYFUNCTION("""COMPUTED_VALUE"""),2000.0)</f>
        <v>2000</v>
      </c>
      <c r="J45" s="61" t="str">
        <f>IFERROR(__xludf.DUMMYFUNCTION("""COMPUTED_VALUE"""),"品牌")</f>
        <v>品牌</v>
      </c>
      <c r="K45" s="41" t="str">
        <f>IFERROR(__xludf.DUMMYFUNCTION("""COMPUTED_VALUE"""),"行銷營運中心")</f>
        <v>行銷營運中心</v>
      </c>
      <c r="L45" s="41" t="str">
        <f>IFERROR(__xludf.DUMMYFUNCTION("""COMPUTED_VALUE"""),"行銷營運中心")</f>
        <v>行銷營運中心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>
      <c r="B46" s="41">
        <f>IFERROR(__xludf.DUMMYFUNCTION("""COMPUTED_VALUE"""),45.0)</f>
        <v>45</v>
      </c>
      <c r="C46" s="41" t="str">
        <f>IFERROR(__xludf.DUMMYFUNCTION("""COMPUTED_VALUE"""),"人事費用")</f>
        <v>人事費用</v>
      </c>
      <c r="D46" s="41" t="str">
        <f>IFERROR(__xludf.DUMMYFUNCTION("""COMPUTED_VALUE"""),"iCHEF")</f>
        <v>iCHEF</v>
      </c>
      <c r="E46" s="41"/>
      <c r="F46" s="41"/>
      <c r="G46" s="41"/>
      <c r="H46" s="41" t="str">
        <f>IFERROR(__xludf.DUMMYFUNCTION("""COMPUTED_VALUE"""),"業務 總店系統轉介獎金")</f>
        <v>業務 總店系統轉介獎金</v>
      </c>
      <c r="I46" s="61">
        <f>IFERROR(__xludf.DUMMYFUNCTION("""COMPUTED_VALUE"""),1500.0)</f>
        <v>1500</v>
      </c>
      <c r="J46" s="61" t="str">
        <f>IFERROR(__xludf.DUMMYFUNCTION("""COMPUTED_VALUE"""),"品牌")</f>
        <v>品牌</v>
      </c>
      <c r="K46" s="41" t="str">
        <f>IFERROR(__xludf.DUMMYFUNCTION("""COMPUTED_VALUE"""),"行銷營運中心")</f>
        <v>行銷營運中心</v>
      </c>
      <c r="L46" s="41" t="str">
        <f>IFERROR(__xludf.DUMMYFUNCTION("""COMPUTED_VALUE"""),"行銷營運中心")</f>
        <v>行銷營運中心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>
      <c r="B47" s="41">
        <f>IFERROR(__xludf.DUMMYFUNCTION("""COMPUTED_VALUE"""),46.0)</f>
        <v>46</v>
      </c>
      <c r="C47" s="41" t="str">
        <f>IFERROR(__xludf.DUMMYFUNCTION("""COMPUTED_VALUE"""),"人事費用")</f>
        <v>人事費用</v>
      </c>
      <c r="D47" s="41" t="str">
        <f>IFERROR(__xludf.DUMMYFUNCTION("""COMPUTED_VALUE"""),"iCHEF")</f>
        <v>iCHEF</v>
      </c>
      <c r="E47" s="41"/>
      <c r="F47" s="41"/>
      <c r="G47" s="41"/>
      <c r="H47" s="41" t="str">
        <f>IFERROR(__xludf.DUMMYFUNCTION("""COMPUTED_VALUE"""),"業務 總店系統首批軟體獎金")</f>
        <v>業務 總店系統首批軟體獎金</v>
      </c>
      <c r="I47" s="61">
        <f>IFERROR(__xludf.DUMMYFUNCTION("""COMPUTED_VALUE"""),3200.0)</f>
        <v>3200</v>
      </c>
      <c r="J47" s="61" t="str">
        <f>IFERROR(__xludf.DUMMYFUNCTION("""COMPUTED_VALUE"""),"席")</f>
        <v>席</v>
      </c>
      <c r="K47" s="41" t="str">
        <f>IFERROR(__xludf.DUMMYFUNCTION("""COMPUTED_VALUE"""),"行銷營運中心")</f>
        <v>行銷營運中心</v>
      </c>
      <c r="L47" s="41" t="str">
        <f>IFERROR(__xludf.DUMMYFUNCTION("""COMPUTED_VALUE"""),"行銷營運中心")</f>
        <v>行銷營運中心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>
      <c r="B48" s="41">
        <f>IFERROR(__xludf.DUMMYFUNCTION("""COMPUTED_VALUE"""),47.0)</f>
        <v>47</v>
      </c>
      <c r="C48" s="41" t="str">
        <f>IFERROR(__xludf.DUMMYFUNCTION("""COMPUTED_VALUE"""),"人事費用")</f>
        <v>人事費用</v>
      </c>
      <c r="D48" s="41" t="str">
        <f>IFERROR(__xludf.DUMMYFUNCTION("""COMPUTED_VALUE"""),"iCHEF")</f>
        <v>iCHEF</v>
      </c>
      <c r="E48" s="41"/>
      <c r="F48" s="41"/>
      <c r="G48" s="41"/>
      <c r="H48" s="41" t="str">
        <f>IFERROR(__xludf.DUMMYFUNCTION("""COMPUTED_VALUE"""),"業務 總店系統加購軟體獎金")</f>
        <v>業務 總店系統加購軟體獎金</v>
      </c>
      <c r="I48" s="61">
        <f>IFERROR(__xludf.DUMMYFUNCTION("""COMPUTED_VALUE"""),400.0)</f>
        <v>400</v>
      </c>
      <c r="J48" s="61" t="str">
        <f>IFERROR(__xludf.DUMMYFUNCTION("""COMPUTED_VALUE"""),"席")</f>
        <v>席</v>
      </c>
      <c r="K48" s="41" t="str">
        <f>IFERROR(__xludf.DUMMYFUNCTION("""COMPUTED_VALUE"""),"行銷營運中心")</f>
        <v>行銷營運中心</v>
      </c>
      <c r="L48" s="41" t="str">
        <f>IFERROR(__xludf.DUMMYFUNCTION("""COMPUTED_VALUE"""),"行銷營運中心")</f>
        <v>行銷營運中心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>
      <c r="B49" s="41">
        <f>IFERROR(__xludf.DUMMYFUNCTION("""COMPUTED_VALUE"""),48.0)</f>
        <v>48</v>
      </c>
      <c r="C49" s="41" t="str">
        <f>IFERROR(__xludf.DUMMYFUNCTION("""COMPUTED_VALUE"""),"人事費用")</f>
        <v>人事費用</v>
      </c>
      <c r="D49" s="41" t="str">
        <f>IFERROR(__xludf.DUMMYFUNCTION("""COMPUTED_VALUE"""),"iCHEF")</f>
        <v>iCHEF</v>
      </c>
      <c r="E49" s="41"/>
      <c r="F49" s="41"/>
      <c r="G49" s="41"/>
      <c r="H49" s="41" t="str">
        <f>IFERROR(__xludf.DUMMYFUNCTION("""COMPUTED_VALUE"""),"業務 iDIS 軟體軟體獎金")</f>
        <v>業務 iDIS 軟體軟體獎金</v>
      </c>
      <c r="I49" s="61">
        <f>IFERROR(__xludf.DUMMYFUNCTION("""COMPUTED_VALUE"""),3000.0)</f>
        <v>3000</v>
      </c>
      <c r="J49" s="61" t="str">
        <f>IFERROR(__xludf.DUMMYFUNCTION("""COMPUTED_VALUE"""),"席")</f>
        <v>席</v>
      </c>
      <c r="K49" s="41" t="str">
        <f>IFERROR(__xludf.DUMMYFUNCTION("""COMPUTED_VALUE"""),"行銷營運中心")</f>
        <v>行銷營運中心</v>
      </c>
      <c r="L49" s="41" t="str">
        <f>IFERROR(__xludf.DUMMYFUNCTION("""COMPUTED_VALUE"""),"行銷營運中心")</f>
        <v>行銷營運中心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>
      <c r="B50" s="41">
        <f>IFERROR(__xludf.DUMMYFUNCTION("""COMPUTED_VALUE"""),49.0)</f>
        <v>49</v>
      </c>
      <c r="C50" s="41" t="str">
        <f>IFERROR(__xludf.DUMMYFUNCTION("""COMPUTED_VALUE"""),"人事費用")</f>
        <v>人事費用</v>
      </c>
      <c r="D50" s="41" t="str">
        <f>IFERROR(__xludf.DUMMYFUNCTION("""COMPUTED_VALUE"""),"iCHEF")</f>
        <v>iCHEF</v>
      </c>
      <c r="E50" s="41"/>
      <c r="F50" s="41"/>
      <c r="G50" s="41"/>
      <c r="H50" s="41" t="str">
        <f>IFERROR(__xludf.DUMMYFUNCTION("""COMPUTED_VALUE"""),"業務 離職業務的二次教學")</f>
        <v>業務 離職業務的二次教學</v>
      </c>
      <c r="I50" s="61">
        <f>IFERROR(__xludf.DUMMYFUNCTION("""COMPUTED_VALUE"""),750.0)</f>
        <v>750</v>
      </c>
      <c r="J50" s="61" t="str">
        <f>IFERROR(__xludf.DUMMYFUNCTION("""COMPUTED_VALUE"""),"次")</f>
        <v>次</v>
      </c>
      <c r="K50" s="41" t="str">
        <f>IFERROR(__xludf.DUMMYFUNCTION("""COMPUTED_VALUE"""),"行銷營運中心")</f>
        <v>行銷營運中心</v>
      </c>
      <c r="L50" s="41" t="str">
        <f>IFERROR(__xludf.DUMMYFUNCTION("""COMPUTED_VALUE"""),"行銷營運中心")</f>
        <v>行銷營運中心</v>
      </c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>
      <c r="B51" s="41">
        <f>IFERROR(__xludf.DUMMYFUNCTION("""COMPUTED_VALUE"""),50.0)</f>
        <v>50</v>
      </c>
      <c r="C51" s="41" t="str">
        <f>IFERROR(__xludf.DUMMYFUNCTION("""COMPUTED_VALUE"""),"人事費用")</f>
        <v>人事費用</v>
      </c>
      <c r="D51" s="41" t="str">
        <f>IFERROR(__xludf.DUMMYFUNCTION("""COMPUTED_VALUE"""),"iCHEF")</f>
        <v>iCHEF</v>
      </c>
      <c r="E51" s="41"/>
      <c r="F51" s="41"/>
      <c r="G51" s="41"/>
      <c r="H51" s="41" t="str">
        <f>IFERROR(__xludf.DUMMYFUNCTION("""COMPUTED_VALUE"""),"業務 店家付費 2000 元移機安裝")</f>
        <v>業務 店家付費 2000 元移機安裝</v>
      </c>
      <c r="I51" s="61">
        <f>IFERROR(__xludf.DUMMYFUNCTION("""COMPUTED_VALUE"""),1500.0)</f>
        <v>1500</v>
      </c>
      <c r="J51" s="61" t="str">
        <f>IFERROR(__xludf.DUMMYFUNCTION("""COMPUTED_VALUE"""),"次")</f>
        <v>次</v>
      </c>
      <c r="K51" s="41" t="str">
        <f>IFERROR(__xludf.DUMMYFUNCTION("""COMPUTED_VALUE"""),"行銷營運中心")</f>
        <v>行銷營運中心</v>
      </c>
      <c r="L51" s="41" t="str">
        <f>IFERROR(__xludf.DUMMYFUNCTION("""COMPUTED_VALUE"""),"行銷營運中心")</f>
        <v>行銷營運中心</v>
      </c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>
      <c r="B52" s="41">
        <f>IFERROR(__xludf.DUMMYFUNCTION("""COMPUTED_VALUE"""),51.0)</f>
        <v>51</v>
      </c>
      <c r="C52" s="41" t="str">
        <f>IFERROR(__xludf.DUMMYFUNCTION("""COMPUTED_VALUE"""),"人事費用")</f>
        <v>人事費用</v>
      </c>
      <c r="D52" s="41" t="str">
        <f>IFERROR(__xludf.DUMMYFUNCTION("""COMPUTED_VALUE"""),"iCHEF")</f>
        <v>iCHEF</v>
      </c>
      <c r="E52" s="41"/>
      <c r="F52" s="41"/>
      <c r="G52" s="41"/>
      <c r="H52" s="41" t="str">
        <f>IFERROR(__xludf.DUMMYFUNCTION("""COMPUTED_VALUE"""),"業務 奶媽工單")</f>
        <v>業務 奶媽工單</v>
      </c>
      <c r="I52" s="61">
        <f>IFERROR(__xludf.DUMMYFUNCTION("""COMPUTED_VALUE"""),750.0)</f>
        <v>750</v>
      </c>
      <c r="J52" s="61" t="str">
        <f>IFERROR(__xludf.DUMMYFUNCTION("""COMPUTED_VALUE"""),"次")</f>
        <v>次</v>
      </c>
      <c r="K52" s="41" t="str">
        <f>IFERROR(__xludf.DUMMYFUNCTION("""COMPUTED_VALUE"""),"行銷營運中心")</f>
        <v>行銷營運中心</v>
      </c>
      <c r="L52" s="41" t="str">
        <f>IFERROR(__xludf.DUMMYFUNCTION("""COMPUTED_VALUE"""),"行銷營運中心")</f>
        <v>行銷營運中心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>
      <c r="B53" s="41">
        <f>IFERROR(__xludf.DUMMYFUNCTION("""COMPUTED_VALUE"""),52.0)</f>
        <v>52</v>
      </c>
      <c r="C53" s="41" t="str">
        <f>IFERROR(__xludf.DUMMYFUNCTION("""COMPUTED_VALUE"""),"人事費用")</f>
        <v>人事費用</v>
      </c>
      <c r="D53" s="41" t="str">
        <f>IFERROR(__xludf.DUMMYFUNCTION("""COMPUTED_VALUE"""),"iCHEF")</f>
        <v>iCHEF</v>
      </c>
      <c r="E53" s="41"/>
      <c r="F53" s="41"/>
      <c r="G53" s="41"/>
      <c r="H53" s="41" t="str">
        <f>IFERROR(__xludf.DUMMYFUNCTION("""COMPUTED_VALUE"""),"業務 硬體設備到店安裝")</f>
        <v>業務 硬體設備到店安裝</v>
      </c>
      <c r="I53" s="61">
        <f>IFERROR(__xludf.DUMMYFUNCTION("""COMPUTED_VALUE"""),750.0)</f>
        <v>750</v>
      </c>
      <c r="J53" s="61" t="str">
        <f>IFERROR(__xludf.DUMMYFUNCTION("""COMPUTED_VALUE"""),"次")</f>
        <v>次</v>
      </c>
      <c r="K53" s="41" t="str">
        <f>IFERROR(__xludf.DUMMYFUNCTION("""COMPUTED_VALUE"""),"行銷營運中心")</f>
        <v>行銷營運中心</v>
      </c>
      <c r="L53" s="41" t="str">
        <f>IFERROR(__xludf.DUMMYFUNCTION("""COMPUTED_VALUE"""),"行銷營運中心")</f>
        <v>行銷營運中心</v>
      </c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>
      <c r="B54" s="41">
        <f>IFERROR(__xludf.DUMMYFUNCTION("""COMPUTED_VALUE"""),53.0)</f>
        <v>53</v>
      </c>
      <c r="C54" s="41" t="str">
        <f>IFERROR(__xludf.DUMMYFUNCTION("""COMPUTED_VALUE"""),"人事費用")</f>
        <v>人事費用</v>
      </c>
      <c r="D54" s="41" t="str">
        <f>IFERROR(__xludf.DUMMYFUNCTION("""COMPUTED_VALUE"""),"iCHEF")</f>
        <v>iCHEF</v>
      </c>
      <c r="E54" s="41"/>
      <c r="F54" s="41"/>
      <c r="G54" s="41"/>
      <c r="H54" s="41" t="str">
        <f>IFERROR(__xludf.DUMMYFUNCTION("""COMPUTED_VALUE"""),"業務 加值服務：系統教學")</f>
        <v>業務 加值服務：系統教學</v>
      </c>
      <c r="I54" s="61">
        <f>IFERROR(__xludf.DUMMYFUNCTION("""COMPUTED_VALUE"""),1500.0)</f>
        <v>1500</v>
      </c>
      <c r="J54" s="61" t="str">
        <f>IFERROR(__xludf.DUMMYFUNCTION("""COMPUTED_VALUE"""),"次")</f>
        <v>次</v>
      </c>
      <c r="K54" s="41" t="str">
        <f>IFERROR(__xludf.DUMMYFUNCTION("""COMPUTED_VALUE"""),"行銷營運中心")</f>
        <v>行銷營運中心</v>
      </c>
      <c r="L54" s="41" t="str">
        <f>IFERROR(__xludf.DUMMYFUNCTION("""COMPUTED_VALUE"""),"行銷營運中心")</f>
        <v>行銷營運中心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>
      <c r="B55" s="41">
        <f>IFERROR(__xludf.DUMMYFUNCTION("""COMPUTED_VALUE"""),54.0)</f>
        <v>54</v>
      </c>
      <c r="C55" s="41" t="str">
        <f>IFERROR(__xludf.DUMMYFUNCTION("""COMPUTED_VALUE"""),"人事費用")</f>
        <v>人事費用</v>
      </c>
      <c r="D55" s="41" t="str">
        <f>IFERROR(__xludf.DUMMYFUNCTION("""COMPUTED_VALUE"""),"iCHEF")</f>
        <v>iCHEF</v>
      </c>
      <c r="E55" s="41"/>
      <c r="F55" s="41"/>
      <c r="G55" s="41"/>
      <c r="H55" s="41" t="str">
        <f>IFERROR(__xludf.DUMMYFUNCTION("""COMPUTED_VALUE"""),"業務 加值服務：硬體安裝")</f>
        <v>業務 加值服務：硬體安裝</v>
      </c>
      <c r="I55" s="61">
        <f>IFERROR(__xludf.DUMMYFUNCTION("""COMPUTED_VALUE"""),1500.0)</f>
        <v>1500</v>
      </c>
      <c r="J55" s="61" t="str">
        <f>IFERROR(__xludf.DUMMYFUNCTION("""COMPUTED_VALUE"""),"次")</f>
        <v>次</v>
      </c>
      <c r="K55" s="41" t="str">
        <f>IFERROR(__xludf.DUMMYFUNCTION("""COMPUTED_VALUE"""),"行銷營運中心")</f>
        <v>行銷營運中心</v>
      </c>
      <c r="L55" s="41" t="str">
        <f>IFERROR(__xludf.DUMMYFUNCTION("""COMPUTED_VALUE"""),"行銷營運中心")</f>
        <v>行銷營運中心</v>
      </c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  <row r="56">
      <c r="B56" s="41">
        <f>IFERROR(__xludf.DUMMYFUNCTION("""COMPUTED_VALUE"""),55.0)</f>
        <v>55</v>
      </c>
      <c r="C56" s="41" t="str">
        <f>IFERROR(__xludf.DUMMYFUNCTION("""COMPUTED_VALUE"""),"人事費用")</f>
        <v>人事費用</v>
      </c>
      <c r="D56" s="41" t="str">
        <f>IFERROR(__xludf.DUMMYFUNCTION("""COMPUTED_VALUE"""),"iCHEF")</f>
        <v>iCHEF</v>
      </c>
      <c r="E56" s="41"/>
      <c r="F56" s="41"/>
      <c r="G56" s="41"/>
      <c r="H56" s="41" t="str">
        <f>IFERROR(__xludf.DUMMYFUNCTION("""COMPUTED_VALUE"""),"業務 加值服務：UberEats 菜單設定")</f>
        <v>業務 加值服務：UberEats 菜單設定</v>
      </c>
      <c r="I56" s="61">
        <f>IFERROR(__xludf.DUMMYFUNCTION("""COMPUTED_VALUE"""),1500.0)</f>
        <v>1500</v>
      </c>
      <c r="J56" s="61" t="str">
        <f>IFERROR(__xludf.DUMMYFUNCTION("""COMPUTED_VALUE"""),"次")</f>
        <v>次</v>
      </c>
      <c r="K56" s="41" t="str">
        <f>IFERROR(__xludf.DUMMYFUNCTION("""COMPUTED_VALUE"""),"行銷營運中心")</f>
        <v>行銷營運中心</v>
      </c>
      <c r="L56" s="41" t="str">
        <f>IFERROR(__xludf.DUMMYFUNCTION("""COMPUTED_VALUE"""),"行銷營運中心")</f>
        <v>行銷營運中心</v>
      </c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>
      <c r="B57" s="41">
        <f>IFERROR(__xludf.DUMMYFUNCTION("""COMPUTED_VALUE"""),56.0)</f>
        <v>56</v>
      </c>
      <c r="C57" s="41" t="str">
        <f>IFERROR(__xludf.DUMMYFUNCTION("""COMPUTED_VALUE"""),"人事費用")</f>
        <v>人事費用</v>
      </c>
      <c r="D57" s="41" t="str">
        <f>IFERROR(__xludf.DUMMYFUNCTION("""COMPUTED_VALUE"""),"iCHEF")</f>
        <v>iCHEF</v>
      </c>
      <c r="E57" s="41"/>
      <c r="F57" s="41"/>
      <c r="G57" s="41"/>
      <c r="H57" s="41" t="str">
        <f>IFERROR(__xludf.DUMMYFUNCTION("""COMPUTED_VALUE"""),"業務 加值服務：foodpanda 菜單設定")</f>
        <v>業務 加值服務：foodpanda 菜單設定</v>
      </c>
      <c r="I57" s="61">
        <f>IFERROR(__xludf.DUMMYFUNCTION("""COMPUTED_VALUE"""),1500.0)</f>
        <v>1500</v>
      </c>
      <c r="J57" s="61" t="str">
        <f>IFERROR(__xludf.DUMMYFUNCTION("""COMPUTED_VALUE"""),"次")</f>
        <v>次</v>
      </c>
      <c r="K57" s="41" t="str">
        <f>IFERROR(__xludf.DUMMYFUNCTION("""COMPUTED_VALUE"""),"行銷營運中心")</f>
        <v>行銷營運中心</v>
      </c>
      <c r="L57" s="41" t="str">
        <f>IFERROR(__xludf.DUMMYFUNCTION("""COMPUTED_VALUE"""),"行銷營運中心")</f>
        <v>行銷營運中心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>
      <c r="B58" s="41">
        <f>IFERROR(__xludf.DUMMYFUNCTION("""COMPUTED_VALUE"""),57.0)</f>
        <v>57</v>
      </c>
      <c r="C58" s="41" t="str">
        <f>IFERROR(__xludf.DUMMYFUNCTION("""COMPUTED_VALUE"""),"人事費用")</f>
        <v>人事費用</v>
      </c>
      <c r="D58" s="41" t="str">
        <f>IFERROR(__xludf.DUMMYFUNCTION("""COMPUTED_VALUE"""),"iCHEF")</f>
        <v>iCHEF</v>
      </c>
      <c r="E58" s="41"/>
      <c r="F58" s="41"/>
      <c r="G58" s="41"/>
      <c r="H58" s="41" t="str">
        <f>IFERROR(__xludf.DUMMYFUNCTION("""COMPUTED_VALUE"""),"社群工單 課程講師費 (授課）")</f>
        <v>社群工單 課程講師費 (授課）</v>
      </c>
      <c r="I58" s="61">
        <f>IFERROR(__xludf.DUMMYFUNCTION("""COMPUTED_VALUE"""),2000.0)</f>
        <v>2000</v>
      </c>
      <c r="J58" s="61" t="str">
        <f>IFERROR(__xludf.DUMMYFUNCTION("""COMPUTED_VALUE"""),"次")</f>
        <v>次</v>
      </c>
      <c r="K58" s="41" t="str">
        <f>IFERROR(__xludf.DUMMYFUNCTION("""COMPUTED_VALUE"""),"行銷營運中心")</f>
        <v>行銷營運中心</v>
      </c>
      <c r="L58" s="41" t="str">
        <f>IFERROR(__xludf.DUMMYFUNCTION("""COMPUTED_VALUE"""),"行銷營運中心")</f>
        <v>行銷營運中心</v>
      </c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>
      <c r="B59" s="41">
        <f>IFERROR(__xludf.DUMMYFUNCTION("""COMPUTED_VALUE"""),58.0)</f>
        <v>58</v>
      </c>
      <c r="C59" s="41" t="str">
        <f>IFERROR(__xludf.DUMMYFUNCTION("""COMPUTED_VALUE"""),"人事費用")</f>
        <v>人事費用</v>
      </c>
      <c r="D59" s="41" t="str">
        <f>IFERROR(__xludf.DUMMYFUNCTION("""COMPUTED_VALUE"""),"iCHEF")</f>
        <v>iCHEF</v>
      </c>
      <c r="E59" s="41"/>
      <c r="F59" s="41"/>
      <c r="G59" s="41"/>
      <c r="H59" s="41" t="str">
        <f>IFERROR(__xludf.DUMMYFUNCTION("""COMPUTED_VALUE"""),"社群工單 課程講師費 (錄影）")</f>
        <v>社群工單 課程講師費 (錄影）</v>
      </c>
      <c r="I59" s="61">
        <f>IFERROR(__xludf.DUMMYFUNCTION("""COMPUTED_VALUE"""),3000.0)</f>
        <v>3000</v>
      </c>
      <c r="J59" s="61" t="str">
        <f>IFERROR(__xludf.DUMMYFUNCTION("""COMPUTED_VALUE"""),"次")</f>
        <v>次</v>
      </c>
      <c r="K59" s="41" t="str">
        <f>IFERROR(__xludf.DUMMYFUNCTION("""COMPUTED_VALUE"""),"行銷營運中心")</f>
        <v>行銷營運中心</v>
      </c>
      <c r="L59" s="41" t="str">
        <f>IFERROR(__xludf.DUMMYFUNCTION("""COMPUTED_VALUE"""),"行銷營運中心")</f>
        <v>行銷營運中心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>
      <c r="B60" s="41">
        <f>IFERROR(__xludf.DUMMYFUNCTION("""COMPUTED_VALUE"""),59.0)</f>
        <v>59</v>
      </c>
      <c r="C60" s="41" t="str">
        <f>IFERROR(__xludf.DUMMYFUNCTION("""COMPUTED_VALUE"""),"人事費用")</f>
        <v>人事費用</v>
      </c>
      <c r="D60" s="41" t="str">
        <f>IFERROR(__xludf.DUMMYFUNCTION("""COMPUTED_VALUE"""),"iCHEF")</f>
        <v>iCHEF</v>
      </c>
      <c r="E60" s="41"/>
      <c r="F60" s="41"/>
      <c r="G60" s="41"/>
      <c r="H60" s="41" t="str">
        <f>IFERROR(__xludf.DUMMYFUNCTION("""COMPUTED_VALUE"""),"社群工單 課程講師費 (授課＋簡報）")</f>
        <v>社群工單 課程講師費 (授課＋簡報）</v>
      </c>
      <c r="I60" s="61">
        <f>IFERROR(__xludf.DUMMYFUNCTION("""COMPUTED_VALUE"""),4000.0)</f>
        <v>4000</v>
      </c>
      <c r="J60" s="61" t="str">
        <f>IFERROR(__xludf.DUMMYFUNCTION("""COMPUTED_VALUE"""),"次")</f>
        <v>次</v>
      </c>
      <c r="K60" s="41" t="str">
        <f>IFERROR(__xludf.DUMMYFUNCTION("""COMPUTED_VALUE"""),"行銷營運中心")</f>
        <v>行銷營運中心</v>
      </c>
      <c r="L60" s="41" t="str">
        <f>IFERROR(__xludf.DUMMYFUNCTION("""COMPUTED_VALUE"""),"行銷營運中心")</f>
        <v>行銷營運中心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>
      <c r="B61" s="41">
        <f>IFERROR(__xludf.DUMMYFUNCTION("""COMPUTED_VALUE"""),60.0)</f>
        <v>60</v>
      </c>
      <c r="C61" s="41" t="str">
        <f>IFERROR(__xludf.DUMMYFUNCTION("""COMPUTED_VALUE"""),"人事費用")</f>
        <v>人事費用</v>
      </c>
      <c r="D61" s="41" t="str">
        <f>IFERROR(__xludf.DUMMYFUNCTION("""COMPUTED_VALUE"""),"iCHEF")</f>
        <v>iCHEF</v>
      </c>
      <c r="E61" s="41"/>
      <c r="F61" s="41"/>
      <c r="G61" s="41"/>
      <c r="H61" s="41" t="str">
        <f>IFERROR(__xludf.DUMMYFUNCTION("""COMPUTED_VALUE"""),"社群工單 課程講師費 (授課＋簡報＋錄影）")</f>
        <v>社群工單 課程講師費 (授課＋簡報＋錄影）</v>
      </c>
      <c r="I61" s="61">
        <f>IFERROR(__xludf.DUMMYFUNCTION("""COMPUTED_VALUE"""),5000.0)</f>
        <v>5000</v>
      </c>
      <c r="J61" s="61" t="str">
        <f>IFERROR(__xludf.DUMMYFUNCTION("""COMPUTED_VALUE"""),"次")</f>
        <v>次</v>
      </c>
      <c r="K61" s="41" t="str">
        <f>IFERROR(__xludf.DUMMYFUNCTION("""COMPUTED_VALUE"""),"行銷營運中心")</f>
        <v>行銷營運中心</v>
      </c>
      <c r="L61" s="41" t="str">
        <f>IFERROR(__xludf.DUMMYFUNCTION("""COMPUTED_VALUE"""),"行銷營運中心")</f>
        <v>行銷營運中心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>
      <c r="B62" s="41">
        <f>IFERROR(__xludf.DUMMYFUNCTION("""COMPUTED_VALUE"""),61.0)</f>
        <v>61</v>
      </c>
      <c r="C62" s="41" t="str">
        <f>IFERROR(__xludf.DUMMYFUNCTION("""COMPUTED_VALUE"""),"人事費用")</f>
        <v>人事費用</v>
      </c>
      <c r="D62" s="41" t="str">
        <f>IFERROR(__xludf.DUMMYFUNCTION("""COMPUTED_VALUE"""),"iCHEF")</f>
        <v>iCHEF</v>
      </c>
      <c r="E62" s="41"/>
      <c r="F62" s="41"/>
      <c r="G62" s="41"/>
      <c r="H62" s="41" t="str">
        <f>IFERROR(__xludf.DUMMYFUNCTION("""COMPUTED_VALUE"""),"社群工單 小聚活動")</f>
        <v>社群工單 小聚活動</v>
      </c>
      <c r="I62" s="61">
        <f>IFERROR(__xludf.DUMMYFUNCTION("""COMPUTED_VALUE"""),1500.0)</f>
        <v>1500</v>
      </c>
      <c r="J62" s="61" t="str">
        <f>IFERROR(__xludf.DUMMYFUNCTION("""COMPUTED_VALUE"""),"次")</f>
        <v>次</v>
      </c>
      <c r="K62" s="41" t="str">
        <f>IFERROR(__xludf.DUMMYFUNCTION("""COMPUTED_VALUE"""),"行銷營運中心")</f>
        <v>行銷營運中心</v>
      </c>
      <c r="L62" s="41" t="str">
        <f>IFERROR(__xludf.DUMMYFUNCTION("""COMPUTED_VALUE"""),"行銷營運中心")</f>
        <v>行銷營運中心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>
      <c r="B63" s="41">
        <f>IFERROR(__xludf.DUMMYFUNCTION("""COMPUTED_VALUE"""),62.0)</f>
        <v>62</v>
      </c>
      <c r="C63" s="41" t="str">
        <f>IFERROR(__xludf.DUMMYFUNCTION("""COMPUTED_VALUE"""),"人事費用")</f>
        <v>人事費用</v>
      </c>
      <c r="D63" s="41" t="str">
        <f>IFERROR(__xludf.DUMMYFUNCTION("""COMPUTED_VALUE"""),"iCHEF")</f>
        <v>iCHEF</v>
      </c>
      <c r="E63" s="41"/>
      <c r="F63" s="41"/>
      <c r="G63" s="41"/>
      <c r="H63" s="41" t="str">
        <f>IFERROR(__xludf.DUMMYFUNCTION("""COMPUTED_VALUE"""),"社群工單 複雜專案")</f>
        <v>社群工單 複雜專案</v>
      </c>
      <c r="I63" s="61">
        <f>IFERROR(__xludf.DUMMYFUNCTION("""COMPUTED_VALUE"""),2250.0)</f>
        <v>2250</v>
      </c>
      <c r="J63" s="61" t="str">
        <f>IFERROR(__xludf.DUMMYFUNCTION("""COMPUTED_VALUE"""),"次")</f>
        <v>次</v>
      </c>
      <c r="K63" s="41" t="str">
        <f>IFERROR(__xludf.DUMMYFUNCTION("""COMPUTED_VALUE"""),"行銷營運中心")</f>
        <v>行銷營運中心</v>
      </c>
      <c r="L63" s="41" t="str">
        <f>IFERROR(__xludf.DUMMYFUNCTION("""COMPUTED_VALUE"""),"行銷營運中心")</f>
        <v>行銷營運中心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>
      <c r="B64" s="41">
        <f>IFERROR(__xludf.DUMMYFUNCTION("""COMPUTED_VALUE"""),63.0)</f>
        <v>63</v>
      </c>
      <c r="C64" s="41" t="str">
        <f>IFERROR(__xludf.DUMMYFUNCTION("""COMPUTED_VALUE"""),"人事費用")</f>
        <v>人事費用</v>
      </c>
      <c r="D64" s="41" t="str">
        <f>IFERROR(__xludf.DUMMYFUNCTION("""COMPUTED_VALUE"""),"iCHEF")</f>
        <v>iCHEF</v>
      </c>
      <c r="E64" s="41"/>
      <c r="F64" s="41"/>
      <c r="G64" s="41"/>
      <c r="H64" s="41" t="str">
        <f>IFERROR(__xludf.DUMMYFUNCTION("""COMPUTED_VALUE"""),"社群工單 複雜專案 超時費")</f>
        <v>社群工單 複雜專案 超時費</v>
      </c>
      <c r="I64" s="61">
        <f>IFERROR(__xludf.DUMMYFUNCTION("""COMPUTED_VALUE"""),750.0)</f>
        <v>750</v>
      </c>
      <c r="J64" s="61" t="str">
        <f>IFERROR(__xludf.DUMMYFUNCTION("""COMPUTED_VALUE"""),"小時")</f>
        <v>小時</v>
      </c>
      <c r="K64" s="41" t="str">
        <f>IFERROR(__xludf.DUMMYFUNCTION("""COMPUTED_VALUE"""),"行銷營運中心")</f>
        <v>行銷營運中心</v>
      </c>
      <c r="L64" s="41" t="str">
        <f>IFERROR(__xludf.DUMMYFUNCTION("""COMPUTED_VALUE"""),"行銷營運中心")</f>
        <v>行銷營運中心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>
      <c r="B65" s="41">
        <f>IFERROR(__xludf.DUMMYFUNCTION("""COMPUTED_VALUE"""),64.0)</f>
        <v>64</v>
      </c>
      <c r="C65" s="41" t="str">
        <f>IFERROR(__xludf.DUMMYFUNCTION("""COMPUTED_VALUE"""),"人事費用")</f>
        <v>人事費用</v>
      </c>
      <c r="D65" s="41" t="str">
        <f>IFERROR(__xludf.DUMMYFUNCTION("""COMPUTED_VALUE"""),"iCHEF")</f>
        <v>iCHEF</v>
      </c>
      <c r="E65" s="41"/>
      <c r="F65" s="41"/>
      <c r="G65" s="41"/>
      <c r="H65" s="41" t="str">
        <f>IFERROR(__xludf.DUMMYFUNCTION("""COMPUTED_VALUE"""),"社群工單 一般專案")</f>
        <v>社群工單 一般專案</v>
      </c>
      <c r="I65" s="61">
        <f>IFERROR(__xludf.DUMMYFUNCTION("""COMPUTED_VALUE"""),1000.0)</f>
        <v>1000</v>
      </c>
      <c r="J65" s="61" t="str">
        <f>IFERROR(__xludf.DUMMYFUNCTION("""COMPUTED_VALUE"""),"次")</f>
        <v>次</v>
      </c>
      <c r="K65" s="41" t="str">
        <f>IFERROR(__xludf.DUMMYFUNCTION("""COMPUTED_VALUE"""),"行銷營運中心")</f>
        <v>行銷營運中心</v>
      </c>
      <c r="L65" s="41" t="str">
        <f>IFERROR(__xludf.DUMMYFUNCTION("""COMPUTED_VALUE"""),"行銷營運中心")</f>
        <v>行銷營運中心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>
      <c r="B66" s="41">
        <f>IFERROR(__xludf.DUMMYFUNCTION("""COMPUTED_VALUE"""),65.0)</f>
        <v>65</v>
      </c>
      <c r="C66" s="41" t="str">
        <f>IFERROR(__xludf.DUMMYFUNCTION("""COMPUTED_VALUE"""),"人事費用")</f>
        <v>人事費用</v>
      </c>
      <c r="D66" s="41" t="str">
        <f>IFERROR(__xludf.DUMMYFUNCTION("""COMPUTED_VALUE"""),"iCHEF")</f>
        <v>iCHEF</v>
      </c>
      <c r="E66" s="41"/>
      <c r="F66" s="41"/>
      <c r="G66" s="41"/>
      <c r="H66" s="41" t="str">
        <f>IFERROR(__xludf.DUMMYFUNCTION("""COMPUTED_VALUE"""),"社群工單 一般專案 超時費")</f>
        <v>社群工單 一般專案 超時費</v>
      </c>
      <c r="I66" s="61">
        <f>IFERROR(__xludf.DUMMYFUNCTION("""COMPUTED_VALUE"""),400.0)</f>
        <v>400</v>
      </c>
      <c r="J66" s="61" t="str">
        <f>IFERROR(__xludf.DUMMYFUNCTION("""COMPUTED_VALUE"""),"小時")</f>
        <v>小時</v>
      </c>
      <c r="K66" s="41" t="str">
        <f>IFERROR(__xludf.DUMMYFUNCTION("""COMPUTED_VALUE"""),"行銷營運中心")</f>
        <v>行銷營運中心</v>
      </c>
      <c r="L66" s="41" t="str">
        <f>IFERROR(__xludf.DUMMYFUNCTION("""COMPUTED_VALUE"""),"行銷營運中心")</f>
        <v>行銷營運中心</v>
      </c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>
      <c r="B67" s="41">
        <f>IFERROR(__xludf.DUMMYFUNCTION("""COMPUTED_VALUE"""),66.0)</f>
        <v>66</v>
      </c>
      <c r="C67" s="41" t="str">
        <f>IFERROR(__xludf.DUMMYFUNCTION("""COMPUTED_VALUE"""),"人事費用")</f>
        <v>人事費用</v>
      </c>
      <c r="D67" s="41" t="str">
        <f>IFERROR(__xludf.DUMMYFUNCTION("""COMPUTED_VALUE"""),"iCHEF")</f>
        <v>iCHEF</v>
      </c>
      <c r="E67" s="41"/>
      <c r="F67" s="41"/>
      <c r="G67" s="41"/>
      <c r="H67" s="41" t="str">
        <f>IFERROR(__xludf.DUMMYFUNCTION("""COMPUTED_VALUE"""),"客服 一般工單")</f>
        <v>客服 一般工單</v>
      </c>
      <c r="I67" s="61">
        <f>IFERROR(__xludf.DUMMYFUNCTION("""COMPUTED_VALUE"""),750.0)</f>
        <v>750</v>
      </c>
      <c r="J67" s="61" t="str">
        <f>IFERROR(__xludf.DUMMYFUNCTION("""COMPUTED_VALUE"""),"次")</f>
        <v>次</v>
      </c>
      <c r="K67" s="41" t="str">
        <f>IFERROR(__xludf.DUMMYFUNCTION("""COMPUTED_VALUE"""),"研發中心")</f>
        <v>研發中心</v>
      </c>
      <c r="L67" s="41" t="str">
        <f>IFERROR(__xludf.DUMMYFUNCTION("""COMPUTED_VALUE"""),"研發中心")</f>
        <v>研發中心</v>
      </c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>
      <c r="B68" s="41">
        <f>IFERROR(__xludf.DUMMYFUNCTION("""COMPUTED_VALUE"""),67.0)</f>
        <v>67</v>
      </c>
      <c r="C68" s="41" t="str">
        <f>IFERROR(__xludf.DUMMYFUNCTION("""COMPUTED_VALUE"""),"人事費用")</f>
        <v>人事費用</v>
      </c>
      <c r="D68" s="41" t="str">
        <f>IFERROR(__xludf.DUMMYFUNCTION("""COMPUTED_VALUE"""),"iCHEF")</f>
        <v>iCHEF</v>
      </c>
      <c r="E68" s="41"/>
      <c r="F68" s="41"/>
      <c r="G68" s="41"/>
      <c r="H68" s="41" t="str">
        <f>IFERROR(__xludf.DUMMYFUNCTION("""COMPUTED_VALUE"""),"RD 值班費 ")</f>
        <v>RD 值班費 </v>
      </c>
      <c r="I68" s="61" t="str">
        <f>IFERROR(__xludf.DUMMYFUNCTION("""COMPUTED_VALUE"""),"不定")</f>
        <v>不定</v>
      </c>
      <c r="J68" s="61" t="str">
        <f>IFERROR(__xludf.DUMMYFUNCTION("""COMPUTED_VALUE"""),"每月 $1,667 (BE, iOS)")</f>
        <v>每月 $1,667 (BE, iOS)</v>
      </c>
      <c r="K68" s="41" t="str">
        <f>IFERROR(__xludf.DUMMYFUNCTION("""COMPUTED_VALUE"""),"研發中心")</f>
        <v>研發中心</v>
      </c>
      <c r="L68" s="41" t="str">
        <f>IFERROR(__xludf.DUMMYFUNCTION("""COMPUTED_VALUE"""),"研發中心")</f>
        <v>研發中心</v>
      </c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>
      <c r="B69" s="41">
        <f>IFERROR(__xludf.DUMMYFUNCTION("""COMPUTED_VALUE"""),68.0)</f>
        <v>68</v>
      </c>
      <c r="C69" s="41" t="str">
        <f>IFERROR(__xludf.DUMMYFUNCTION("""COMPUTED_VALUE"""),"人事費用")</f>
        <v>人事費用</v>
      </c>
      <c r="D69" s="41" t="str">
        <f>IFERROR(__xludf.DUMMYFUNCTION("""COMPUTED_VALUE"""),"iCHEF")</f>
        <v>iCHEF</v>
      </c>
      <c r="E69" s="41"/>
      <c r="F69" s="41"/>
      <c r="G69" s="41"/>
      <c r="H69" s="41" t="str">
        <f>IFERROR(__xludf.DUMMYFUNCTION("""COMPUTED_VALUE"""),"RD 加班費")</f>
        <v>RD 加班費</v>
      </c>
      <c r="I69" s="61" t="str">
        <f>IFERROR(__xludf.DUMMYFUNCTION("""COMPUTED_VALUE"""),"不定")</f>
        <v>不定</v>
      </c>
      <c r="J69" s="61" t="str">
        <f>IFERROR(__xludf.DUMMYFUNCTION("""COMPUTED_VALUE"""),"每月 $2,354 (SE, PM, DSN,QA,PE)")</f>
        <v>每月 $2,354 (SE, PM, DSN,QA,PE)</v>
      </c>
      <c r="K69" s="41" t="str">
        <f>IFERROR(__xludf.DUMMYFUNCTION("""COMPUTED_VALUE"""),"研發中心")</f>
        <v>研發中心</v>
      </c>
      <c r="L69" s="41" t="str">
        <f>IFERROR(__xludf.DUMMYFUNCTION("""COMPUTED_VALUE"""),"研發中心")</f>
        <v>研發中心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>
      <c r="B70" s="41">
        <f>IFERROR(__xludf.DUMMYFUNCTION("""COMPUTED_VALUE"""),69.0)</f>
        <v>69</v>
      </c>
      <c r="C70" s="41" t="str">
        <f>IFERROR(__xludf.DUMMYFUNCTION("""COMPUTED_VALUE"""),"非人事費用")</f>
        <v>非人事費用</v>
      </c>
      <c r="D70" s="41" t="str">
        <f>IFERROR(__xludf.DUMMYFUNCTION("""COMPUTED_VALUE"""),"iCHEF")</f>
        <v>iCHEF</v>
      </c>
      <c r="E70" s="41"/>
      <c r="F70" s="41"/>
      <c r="G70" s="41"/>
      <c r="H70" s="41" t="str">
        <f>IFERROR(__xludf.DUMMYFUNCTION("""COMPUTED_VALUE"""),"資訊裝置")</f>
        <v>資訊裝置</v>
      </c>
      <c r="I70" s="61" t="str">
        <f>IFERROR(__xludf.DUMMYFUNCTION("""COMPUTED_VALUE"""),"計算參照：中心設備明細（滿三年、新人）")</f>
        <v>計算參照：中心設備明細（滿三年、新人）</v>
      </c>
      <c r="J70" s="61" t="str">
        <f>IFERROR(__xludf.DUMMYFUNCTION("""COMPUTED_VALUE"""),"4年/人")</f>
        <v>4年/人</v>
      </c>
      <c r="K70" s="41" t="str">
        <f>IFERROR(__xludf.DUMMYFUNCTION("""COMPUTED_VALUE"""),"各專業中心")</f>
        <v>各專業中心</v>
      </c>
      <c r="L70" s="41" t="str">
        <f>IFERROR(__xludf.DUMMYFUNCTION("""COMPUTED_VALUE"""),"各專業中心")</f>
        <v>各專業中心</v>
      </c>
      <c r="M70" s="41" t="str">
        <f>IFERROR(__xludf.DUMMYFUNCTION("""COMPUTED_VALUE"""),"金額請參考中心設備明細（滿三年、新人）")</f>
        <v>金額請參考中心設備明細（滿三年、新人）</v>
      </c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>
      <c r="B71" s="41">
        <f>IFERROR(__xludf.DUMMYFUNCTION("""COMPUTED_VALUE"""),70.0)</f>
        <v>70</v>
      </c>
      <c r="C71" s="41" t="str">
        <f>IFERROR(__xludf.DUMMYFUNCTION("""COMPUTED_VALUE"""),"非人事費用")</f>
        <v>非人事費用</v>
      </c>
      <c r="D71" s="41" t="str">
        <f>IFERROR(__xludf.DUMMYFUNCTION("""COMPUTED_VALUE"""),"iCHEF")</f>
        <v>iCHEF</v>
      </c>
      <c r="E71" s="41" t="str">
        <f>IFERROR(__xludf.DUMMYFUNCTION("""COMPUTED_VALUE"""),"6x3201")</f>
        <v>6x3201</v>
      </c>
      <c r="F71" s="41" t="str">
        <f>IFERROR(__xludf.DUMMYFUNCTION("""COMPUTED_VALUE"""),"其他費用")</f>
        <v>其他費用</v>
      </c>
      <c r="G71" s="41" t="str">
        <f>IFERROR(__xludf.DUMMYFUNCTION("""COMPUTED_VALUE"""),"辦公軟體")</f>
        <v>辦公軟體</v>
      </c>
      <c r="H71" s="41" t="str">
        <f>IFERROR(__xludf.DUMMYFUNCTION("""COMPUTED_VALUE"""),"通用軟體 GWS")</f>
        <v>通用軟體 GWS</v>
      </c>
      <c r="I71" s="61">
        <f>IFERROR(__xludf.DUMMYFUNCTION("""COMPUTED_VALUE"""),412.0)</f>
        <v>412</v>
      </c>
      <c r="J71" s="61">
        <f>IFERROR(__xludf.DUMMYFUNCTION("""COMPUTED_VALUE"""),4944.0)</f>
        <v>4944</v>
      </c>
      <c r="K71" s="41" t="str">
        <f>IFERROR(__xludf.DUMMYFUNCTION("""COMPUTED_VALUE"""),"各專業中心")</f>
        <v>各專業中心</v>
      </c>
      <c r="L71" s="41" t="str">
        <f>IFERROR(__xludf.DUMMYFUNCTION("""COMPUTED_VALUE"""),"各專業中心")</f>
        <v>各專業中心</v>
      </c>
      <c r="M71" s="41" t="str">
        <f>IFERROR(__xludf.DUMMYFUNCTION("""COMPUTED_VALUE"""),"牌價上漲USD 12/月 -&gt; USD 14/月")</f>
        <v>牌價上漲USD 12/月 -&gt; USD 14/月</v>
      </c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>
      <c r="B72" s="41">
        <f>IFERROR(__xludf.DUMMYFUNCTION("""COMPUTED_VALUE"""),71.0)</f>
        <v>71</v>
      </c>
      <c r="C72" s="41" t="str">
        <f>IFERROR(__xludf.DUMMYFUNCTION("""COMPUTED_VALUE"""),"非人事費用")</f>
        <v>非人事費用</v>
      </c>
      <c r="D72" s="41" t="str">
        <f>IFERROR(__xludf.DUMMYFUNCTION("""COMPUTED_VALUE"""),"iCHEF")</f>
        <v>iCHEF</v>
      </c>
      <c r="E72" s="41" t="str">
        <f>IFERROR(__xludf.DUMMYFUNCTION("""COMPUTED_VALUE"""),"6x3201")</f>
        <v>6x3201</v>
      </c>
      <c r="F72" s="41" t="str">
        <f>IFERROR(__xludf.DUMMYFUNCTION("""COMPUTED_VALUE"""),"其他費用")</f>
        <v>其他費用</v>
      </c>
      <c r="G72" s="41" t="str">
        <f>IFERROR(__xludf.DUMMYFUNCTION("""COMPUTED_VALUE"""),"辦公軟體")</f>
        <v>辦公軟體</v>
      </c>
      <c r="H72" s="41" t="str">
        <f>IFERROR(__xludf.DUMMYFUNCTION("""COMPUTED_VALUE"""),"專用軟體 MAC (JAMF) 裝置控管")</f>
        <v>專用軟體 MAC (JAMF) 裝置控管</v>
      </c>
      <c r="I72" s="61">
        <f>IFERROR(__xludf.DUMMYFUNCTION("""COMPUTED_VALUE"""),300.0)</f>
        <v>300</v>
      </c>
      <c r="J72" s="61">
        <f>IFERROR(__xludf.DUMMYFUNCTION("""COMPUTED_VALUE"""),3600.0)</f>
        <v>3600</v>
      </c>
      <c r="K72" s="41" t="str">
        <f>IFERROR(__xludf.DUMMYFUNCTION("""COMPUTED_VALUE"""),"各專業中心")</f>
        <v>各專業中心</v>
      </c>
      <c r="L72" s="41" t="str">
        <f>IFERROR(__xludf.DUMMYFUNCTION("""COMPUTED_VALUE"""),"各專業中心")</f>
        <v>各專業中心</v>
      </c>
      <c r="M72" s="41" t="str">
        <f>IFERROR(__xludf.DUMMYFUNCTION("""COMPUTED_VALUE"""),"2025 新方案, 單價下降 NT 4548 -&gt; NT 3600")</f>
        <v>2025 新方案, 單價下降 NT 4548 -&gt; NT 3600</v>
      </c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>
      <c r="B73" s="41">
        <f>IFERROR(__xludf.DUMMYFUNCTION("""COMPUTED_VALUE"""),72.0)</f>
        <v>72</v>
      </c>
      <c r="C73" s="41" t="str">
        <f>IFERROR(__xludf.DUMMYFUNCTION("""COMPUTED_VALUE"""),"非人事費用")</f>
        <v>非人事費用</v>
      </c>
      <c r="D73" s="41" t="str">
        <f>IFERROR(__xludf.DUMMYFUNCTION("""COMPUTED_VALUE"""),"iCHEF")</f>
        <v>iCHEF</v>
      </c>
      <c r="E73" s="41" t="str">
        <f>IFERROR(__xludf.DUMMYFUNCTION("""COMPUTED_VALUE"""),"6x3201")</f>
        <v>6x3201</v>
      </c>
      <c r="F73" s="41" t="str">
        <f>IFERROR(__xludf.DUMMYFUNCTION("""COMPUTED_VALUE"""),"其他費用")</f>
        <v>其他費用</v>
      </c>
      <c r="G73" s="41" t="str">
        <f>IFERROR(__xludf.DUMMYFUNCTION("""COMPUTED_VALUE"""),"辦公軟體")</f>
        <v>辦公軟體</v>
      </c>
      <c r="H73" s="41" t="str">
        <f>IFERROR(__xludf.DUMMYFUNCTION("""COMPUTED_VALUE"""),"通用軟體 Apollo")</f>
        <v>通用軟體 Apollo</v>
      </c>
      <c r="I73" s="61">
        <f>IFERROR(__xludf.DUMMYFUNCTION("""COMPUTED_VALUE"""),124.0)</f>
        <v>124</v>
      </c>
      <c r="J73" s="61">
        <f>IFERROR(__xludf.DUMMYFUNCTION("""COMPUTED_VALUE"""),1482.0)</f>
        <v>1482</v>
      </c>
      <c r="K73" s="41" t="str">
        <f>IFERROR(__xludf.DUMMYFUNCTION("""COMPUTED_VALUE"""),"各專業中心")</f>
        <v>各專業中心</v>
      </c>
      <c r="L73" s="41" t="str">
        <f>IFERROR(__xludf.DUMMYFUNCTION("""COMPUTED_VALUE"""),"各專業中心")</f>
        <v>各專業中心</v>
      </c>
      <c r="M73" s="41" t="str">
        <f>IFERROR(__xludf.DUMMYFUNCTION("""COMPUTED_VALUE"""),"2026/1/1 改成 通用軟體 104人資系統")</f>
        <v>2026/1/1 改成 通用軟體 104人資系統</v>
      </c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>
      <c r="B74" s="41">
        <f>IFERROR(__xludf.DUMMYFUNCTION("""COMPUTED_VALUE"""),73.0)</f>
        <v>73</v>
      </c>
      <c r="C74" s="41" t="str">
        <f>IFERROR(__xludf.DUMMYFUNCTION("""COMPUTED_VALUE"""),"非人事費用")</f>
        <v>非人事費用</v>
      </c>
      <c r="D74" s="41" t="str">
        <f>IFERROR(__xludf.DUMMYFUNCTION("""COMPUTED_VALUE"""),"iCHEF")</f>
        <v>iCHEF</v>
      </c>
      <c r="E74" s="41" t="str">
        <f>IFERROR(__xludf.DUMMYFUNCTION("""COMPUTED_VALUE"""),"6x3201")</f>
        <v>6x3201</v>
      </c>
      <c r="F74" s="41" t="str">
        <f>IFERROR(__xludf.DUMMYFUNCTION("""COMPUTED_VALUE"""),"其他費用")</f>
        <v>其他費用</v>
      </c>
      <c r="G74" s="41" t="str">
        <f>IFERROR(__xludf.DUMMYFUNCTION("""COMPUTED_VALUE"""),"辦公軟體")</f>
        <v>辦公軟體</v>
      </c>
      <c r="H74" s="41" t="str">
        <f>IFERROR(__xludf.DUMMYFUNCTION("""COMPUTED_VALUE"""),"專用軟體 Netsuite 主管/看管報帳號")</f>
        <v>專用軟體 Netsuite 主管/看管報帳號</v>
      </c>
      <c r="I74" s="45">
        <f>IFERROR(__xludf.DUMMYFUNCTION("""COMPUTED_VALUE"""),1384.0)</f>
        <v>1384</v>
      </c>
      <c r="J74" s="45">
        <f>IFERROR(__xludf.DUMMYFUNCTION("""COMPUTED_VALUE"""),16608.0)</f>
        <v>16608</v>
      </c>
      <c r="K74" s="41" t="str">
        <f>IFERROR(__xludf.DUMMYFUNCTION("""COMPUTED_VALUE"""),"各專業中心")</f>
        <v>各專業中心</v>
      </c>
      <c r="L74" s="41" t="str">
        <f>IFERROR(__xludf.DUMMYFUNCTION("""COMPUTED_VALUE"""),"各專業中心")</f>
        <v>各專業中心</v>
      </c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>
      <c r="B75" s="41">
        <f>IFERROR(__xludf.DUMMYFUNCTION("""COMPUTED_VALUE"""),74.0)</f>
        <v>74</v>
      </c>
      <c r="C75" s="41" t="str">
        <f>IFERROR(__xludf.DUMMYFUNCTION("""COMPUTED_VALUE"""),"非人事費用")</f>
        <v>非人事費用</v>
      </c>
      <c r="D75" s="41" t="str">
        <f>IFERROR(__xludf.DUMMYFUNCTION("""COMPUTED_VALUE"""),"iCHEF")</f>
        <v>iCHEF</v>
      </c>
      <c r="E75" s="41" t="str">
        <f>IFERROR(__xludf.DUMMYFUNCTION("""COMPUTED_VALUE"""),"6x3201")</f>
        <v>6x3201</v>
      </c>
      <c r="F75" s="41" t="str">
        <f>IFERROR(__xludf.DUMMYFUNCTION("""COMPUTED_VALUE"""),"其他費用")</f>
        <v>其他費用</v>
      </c>
      <c r="G75" s="41" t="str">
        <f>IFERROR(__xludf.DUMMYFUNCTION("""COMPUTED_VALUE"""),"辦公軟體")</f>
        <v>辦公軟體</v>
      </c>
      <c r="H75" s="41" t="str">
        <f>IFERROR(__xludf.DUMMYFUNCTION("""COMPUTED_VALUE"""),"專用軟體 Netsuite 員工帳號")</f>
        <v>專用軟體 Netsuite 員工帳號</v>
      </c>
      <c r="I75" s="45">
        <f>IFERROR(__xludf.DUMMYFUNCTION("""COMPUTED_VALUE"""),229.0)</f>
        <v>229</v>
      </c>
      <c r="J75" s="45">
        <f>IFERROR(__xludf.DUMMYFUNCTION("""COMPUTED_VALUE"""),2748.0)</f>
        <v>2748</v>
      </c>
      <c r="K75" s="41" t="str">
        <f>IFERROR(__xludf.DUMMYFUNCTION("""COMPUTED_VALUE"""),"各專業中心")</f>
        <v>各專業中心</v>
      </c>
      <c r="L75" s="41" t="str">
        <f>IFERROR(__xludf.DUMMYFUNCTION("""COMPUTED_VALUE"""),"各專業中心")</f>
        <v>各專業中心</v>
      </c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>
      <c r="B76" s="41">
        <f>IFERROR(__xludf.DUMMYFUNCTION("""COMPUTED_VALUE"""),75.0)</f>
        <v>75</v>
      </c>
      <c r="C76" s="41" t="str">
        <f>IFERROR(__xludf.DUMMYFUNCTION("""COMPUTED_VALUE"""),"非人事費用")</f>
        <v>非人事費用</v>
      </c>
      <c r="D76" s="41" t="str">
        <f>IFERROR(__xludf.DUMMYFUNCTION("""COMPUTED_VALUE"""),"iCHEF")</f>
        <v>iCHEF</v>
      </c>
      <c r="E76" s="41" t="str">
        <f>IFERROR(__xludf.DUMMYFUNCTION("""COMPUTED_VALUE"""),"6x3201")</f>
        <v>6x3201</v>
      </c>
      <c r="F76" s="41" t="str">
        <f>IFERROR(__xludf.DUMMYFUNCTION("""COMPUTED_VALUE"""),"其他費用")</f>
        <v>其他費用</v>
      </c>
      <c r="G76" s="41" t="str">
        <f>IFERROR(__xludf.DUMMYFUNCTION("""COMPUTED_VALUE"""),"辦公軟體")</f>
        <v>辦公軟體</v>
      </c>
      <c r="H76" s="41" t="str">
        <f>IFERROR(__xludf.DUMMYFUNCTION("""COMPUTED_VALUE"""),"專用軟體 Office")</f>
        <v>專用軟體 Office</v>
      </c>
      <c r="I76" s="61">
        <f>IFERROR(__xludf.DUMMYFUNCTION("""COMPUTED_VALUE"""),282.0)</f>
        <v>282</v>
      </c>
      <c r="J76" s="61">
        <f>IFERROR(__xludf.DUMMYFUNCTION("""COMPUTED_VALUE"""),3381.0)</f>
        <v>3381</v>
      </c>
      <c r="K76" s="41" t="str">
        <f>IFERROR(__xludf.DUMMYFUNCTION("""COMPUTED_VALUE"""),"各專業中心")</f>
        <v>各專業中心</v>
      </c>
      <c r="L76" s="41" t="str">
        <f>IFERROR(__xludf.DUMMYFUNCTION("""COMPUTED_VALUE"""),"各專業中心")</f>
        <v>各專業中心</v>
      </c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>
      <c r="B77" s="41">
        <f>IFERROR(__xludf.DUMMYFUNCTION("""COMPUTED_VALUE"""),76.0)</f>
        <v>76</v>
      </c>
      <c r="C77" s="41" t="str">
        <f>IFERROR(__xludf.DUMMYFUNCTION("""COMPUTED_VALUE"""),"非人事費用")</f>
        <v>非人事費用</v>
      </c>
      <c r="D77" s="41" t="str">
        <f>IFERROR(__xludf.DUMMYFUNCTION("""COMPUTED_VALUE"""),"iCHEF")</f>
        <v>iCHEF</v>
      </c>
      <c r="E77" s="41" t="str">
        <f>IFERROR(__xludf.DUMMYFUNCTION("""COMPUTED_VALUE"""),"6x3201")</f>
        <v>6x3201</v>
      </c>
      <c r="F77" s="41" t="str">
        <f>IFERROR(__xludf.DUMMYFUNCTION("""COMPUTED_VALUE"""),"其他費用")</f>
        <v>其他費用</v>
      </c>
      <c r="G77" s="41" t="str">
        <f>IFERROR(__xludf.DUMMYFUNCTION("""COMPUTED_VALUE"""),"辦公軟體")</f>
        <v>辦公軟體</v>
      </c>
      <c r="H77" s="41" t="str">
        <f>IFERROR(__xludf.DUMMYFUNCTION("""COMPUTED_VALUE"""),"專用軟體 Tableau Viewer")</f>
        <v>專用軟體 Tableau Viewer</v>
      </c>
      <c r="I77" s="45">
        <f>IFERROR(__xludf.DUMMYFUNCTION("""COMPUTED_VALUE"""),352.0)</f>
        <v>352</v>
      </c>
      <c r="J77" s="45">
        <f>IFERROR(__xludf.DUMMYFUNCTION("""COMPUTED_VALUE"""),4224.0)</f>
        <v>4224</v>
      </c>
      <c r="K77" s="41" t="str">
        <f>IFERROR(__xludf.DUMMYFUNCTION("""COMPUTED_VALUE"""),"各專業中心")</f>
        <v>各專業中心</v>
      </c>
      <c r="L77" s="41" t="str">
        <f>IFERROR(__xludf.DUMMYFUNCTION("""COMPUTED_VALUE"""),"各專業中心")</f>
        <v>各專業中心</v>
      </c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>
      <c r="B78" s="41">
        <f>IFERROR(__xludf.DUMMYFUNCTION("""COMPUTED_VALUE"""),77.0)</f>
        <v>77</v>
      </c>
      <c r="C78" s="41" t="str">
        <f>IFERROR(__xludf.DUMMYFUNCTION("""COMPUTED_VALUE"""),"非人事費用")</f>
        <v>非人事費用</v>
      </c>
      <c r="D78" s="41" t="str">
        <f>IFERROR(__xludf.DUMMYFUNCTION("""COMPUTED_VALUE"""),"iCHEF")</f>
        <v>iCHEF</v>
      </c>
      <c r="E78" s="41" t="str">
        <f>IFERROR(__xludf.DUMMYFUNCTION("""COMPUTED_VALUE"""),"6x3201")</f>
        <v>6x3201</v>
      </c>
      <c r="F78" s="41" t="str">
        <f>IFERROR(__xludf.DUMMYFUNCTION("""COMPUTED_VALUE"""),"其他費用")</f>
        <v>其他費用</v>
      </c>
      <c r="G78" s="41" t="str">
        <f>IFERROR(__xludf.DUMMYFUNCTION("""COMPUTED_VALUE"""),"辦公軟體")</f>
        <v>辦公軟體</v>
      </c>
      <c r="H78" s="41" t="str">
        <f>IFERROR(__xludf.DUMMYFUNCTION("""COMPUTED_VALUE"""),"專用軟體 Tableau Creator")</f>
        <v>專用軟體 Tableau Creator</v>
      </c>
      <c r="I78" s="45">
        <f>IFERROR(__xludf.DUMMYFUNCTION("""COMPUTED_VALUE"""),2354.0)</f>
        <v>2354</v>
      </c>
      <c r="J78" s="45">
        <f>IFERROR(__xludf.DUMMYFUNCTION("""COMPUTED_VALUE"""),28248.0)</f>
        <v>28248</v>
      </c>
      <c r="K78" s="41" t="str">
        <f>IFERROR(__xludf.DUMMYFUNCTION("""COMPUTED_VALUE"""),"各專業中心")</f>
        <v>各專業中心</v>
      </c>
      <c r="L78" s="41" t="str">
        <f>IFERROR(__xludf.DUMMYFUNCTION("""COMPUTED_VALUE"""),"各專業中心")</f>
        <v>各專業中心</v>
      </c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>
      <c r="B79" s="41">
        <f>IFERROR(__xludf.DUMMYFUNCTION("""COMPUTED_VALUE"""),78.0)</f>
        <v>78</v>
      </c>
      <c r="C79" s="41" t="str">
        <f>IFERROR(__xludf.DUMMYFUNCTION("""COMPUTED_VALUE"""),"非人事費用")</f>
        <v>非人事費用</v>
      </c>
      <c r="D79" s="41" t="str">
        <f>IFERROR(__xludf.DUMMYFUNCTION("""COMPUTED_VALUE"""),"iCHEF")</f>
        <v>iCHEF</v>
      </c>
      <c r="E79" s="41" t="str">
        <f>IFERROR(__xludf.DUMMYFUNCTION("""COMPUTED_VALUE"""),"6x3201")</f>
        <v>6x3201</v>
      </c>
      <c r="F79" s="41" t="str">
        <f>IFERROR(__xludf.DUMMYFUNCTION("""COMPUTED_VALUE"""),"其他費用")</f>
        <v>其他費用</v>
      </c>
      <c r="G79" s="41" t="str">
        <f>IFERROR(__xludf.DUMMYFUNCTION("""COMPUTED_VALUE"""),"辦公軟體")</f>
        <v>辦公軟體</v>
      </c>
      <c r="H79" s="41" t="str">
        <f>IFERROR(__xludf.DUMMYFUNCTION("""COMPUTED_VALUE"""),"專用軟體 Adobe Std")</f>
        <v>專用軟體 Adobe Std</v>
      </c>
      <c r="I79" s="61">
        <f>IFERROR(__xludf.DUMMYFUNCTION("""COMPUTED_VALUE"""),510.0)</f>
        <v>510</v>
      </c>
      <c r="J79" s="61">
        <f>IFERROR(__xludf.DUMMYFUNCTION("""COMPUTED_VALUE"""),6120.0)</f>
        <v>6120</v>
      </c>
      <c r="K79" s="41" t="str">
        <f>IFERROR(__xludf.DUMMYFUNCTION("""COMPUTED_VALUE"""),"各專業中心")</f>
        <v>各專業中心</v>
      </c>
      <c r="L79" s="41" t="str">
        <f>IFERROR(__xludf.DUMMYFUNCTION("""COMPUTED_VALUE"""),"各專業中心")</f>
        <v>各專業中心</v>
      </c>
      <c r="M79" s="41" t="str">
        <f>IFERROR(__xludf.DUMMYFUNCTION("""COMPUTED_VALUE"""),"匯差")</f>
        <v>匯差</v>
      </c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>
      <c r="B80" s="41">
        <f>IFERROR(__xludf.DUMMYFUNCTION("""COMPUTED_VALUE"""),79.0)</f>
        <v>79</v>
      </c>
      <c r="C80" s="41" t="str">
        <f>IFERROR(__xludf.DUMMYFUNCTION("""COMPUTED_VALUE"""),"非人事費用")</f>
        <v>非人事費用</v>
      </c>
      <c r="D80" s="41" t="str">
        <f>IFERROR(__xludf.DUMMYFUNCTION("""COMPUTED_VALUE"""),"iCHEF")</f>
        <v>iCHEF</v>
      </c>
      <c r="E80" s="41" t="str">
        <f>IFERROR(__xludf.DUMMYFUNCTION("""COMPUTED_VALUE"""),"6x3201")</f>
        <v>6x3201</v>
      </c>
      <c r="F80" s="41" t="str">
        <f>IFERROR(__xludf.DUMMYFUNCTION("""COMPUTED_VALUE"""),"其他費用")</f>
        <v>其他費用</v>
      </c>
      <c r="G80" s="41" t="str">
        <f>IFERROR(__xludf.DUMMYFUNCTION("""COMPUTED_VALUE"""),"辦公軟體")</f>
        <v>辦公軟體</v>
      </c>
      <c r="H80" s="41" t="str">
        <f>IFERROR(__xludf.DUMMYFUNCTION("""COMPUTED_VALUE"""),"專用軟體 Adobe Creative Cloud")</f>
        <v>專用軟體 Adobe Creative Cloud</v>
      </c>
      <c r="I80" s="61">
        <f>IFERROR(__xludf.DUMMYFUNCTION("""COMPUTED_VALUE"""),3000.0)</f>
        <v>3000</v>
      </c>
      <c r="J80" s="61">
        <f>IFERROR(__xludf.DUMMYFUNCTION("""COMPUTED_VALUE"""),36000.0)</f>
        <v>36000</v>
      </c>
      <c r="K80" s="41" t="str">
        <f>IFERROR(__xludf.DUMMYFUNCTION("""COMPUTED_VALUE"""),"各專業中心")</f>
        <v>各專業中心</v>
      </c>
      <c r="L80" s="41" t="str">
        <f>IFERROR(__xludf.DUMMYFUNCTION("""COMPUTED_VALUE"""),"各專業中心")</f>
        <v>各專業中心</v>
      </c>
      <c r="M80" s="41" t="str">
        <f>IFERROR(__xludf.DUMMYFUNCTION("""COMPUTED_VALUE"""),"匯差")</f>
        <v>匯差</v>
      </c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>
      <c r="B81" s="41">
        <f>IFERROR(__xludf.DUMMYFUNCTION("""COMPUTED_VALUE"""),80.0)</f>
        <v>80</v>
      </c>
      <c r="C81" s="41" t="str">
        <f>IFERROR(__xludf.DUMMYFUNCTION("""COMPUTED_VALUE"""),"非人事費用")</f>
        <v>非人事費用</v>
      </c>
      <c r="D81" s="41" t="str">
        <f>IFERROR(__xludf.DUMMYFUNCTION("""COMPUTED_VALUE"""),"iCHEF")</f>
        <v>iCHEF</v>
      </c>
      <c r="E81" s="41" t="str">
        <f>IFERROR(__xludf.DUMMYFUNCTION("""COMPUTED_VALUE"""),"6x3201")</f>
        <v>6x3201</v>
      </c>
      <c r="F81" s="41" t="str">
        <f>IFERROR(__xludf.DUMMYFUNCTION("""COMPUTED_VALUE"""),"其他費用")</f>
        <v>其他費用</v>
      </c>
      <c r="G81" s="41" t="str">
        <f>IFERROR(__xludf.DUMMYFUNCTION("""COMPUTED_VALUE"""),"辦公軟體")</f>
        <v>辦公軟體</v>
      </c>
      <c r="H81" s="41" t="str">
        <f>IFERROR(__xludf.DUMMYFUNCTION("""COMPUTED_VALUE"""),"專用軟體 Salesforce Sales Cloud")</f>
        <v>專用軟體 Salesforce Sales Cloud</v>
      </c>
      <c r="I81" s="61">
        <f>IFERROR(__xludf.DUMMYFUNCTION("""COMPUTED_VALUE"""),3728.0)</f>
        <v>3728</v>
      </c>
      <c r="J81" s="61">
        <f>IFERROR(__xludf.DUMMYFUNCTION("""COMPUTED_VALUE"""),44730.0)</f>
        <v>44730</v>
      </c>
      <c r="K81" s="41" t="str">
        <f>IFERROR(__xludf.DUMMYFUNCTION("""COMPUTED_VALUE"""),"各專業中心")</f>
        <v>各專業中心</v>
      </c>
      <c r="L81" s="41" t="str">
        <f>IFERROR(__xludf.DUMMYFUNCTION("""COMPUTED_VALUE"""),"各專業中心")</f>
        <v>各專業中心</v>
      </c>
      <c r="M81" s="41" t="str">
        <f>IFERROR(__xludf.DUMMYFUNCTION("""COMPUTED_VALUE"""),"續約單價上漲 USD 115.5 -&gt; USD 124.25, 匯率下降")</f>
        <v>續約單價上漲 USD 115.5 -&gt; USD 124.25, 匯率下降</v>
      </c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>
      <c r="B82" s="41">
        <f>IFERROR(__xludf.DUMMYFUNCTION("""COMPUTED_VALUE"""),81.0)</f>
        <v>81</v>
      </c>
      <c r="C82" s="41" t="str">
        <f>IFERROR(__xludf.DUMMYFUNCTION("""COMPUTED_VALUE"""),"非人事費用")</f>
        <v>非人事費用</v>
      </c>
      <c r="D82" s="41" t="str">
        <f>IFERROR(__xludf.DUMMYFUNCTION("""COMPUTED_VALUE"""),"iCHEF")</f>
        <v>iCHEF</v>
      </c>
      <c r="E82" s="41" t="str">
        <f>IFERROR(__xludf.DUMMYFUNCTION("""COMPUTED_VALUE"""),"6x3201")</f>
        <v>6x3201</v>
      </c>
      <c r="F82" s="41" t="str">
        <f>IFERROR(__xludf.DUMMYFUNCTION("""COMPUTED_VALUE"""),"其他費用")</f>
        <v>其他費用</v>
      </c>
      <c r="G82" s="41" t="str">
        <f>IFERROR(__xludf.DUMMYFUNCTION("""COMPUTED_VALUE"""),"辦公軟體")</f>
        <v>辦公軟體</v>
      </c>
      <c r="H82" s="41" t="str">
        <f>IFERROR(__xludf.DUMMYFUNCTION("""COMPUTED_VALUE"""),"專用軟體 Salesforce Service Cloud")</f>
        <v>專用軟體 Salesforce Service Cloud</v>
      </c>
      <c r="I82" s="61">
        <f>IFERROR(__xludf.DUMMYFUNCTION("""COMPUTED_VALUE"""),3728.0)</f>
        <v>3728</v>
      </c>
      <c r="J82" s="61">
        <f>IFERROR(__xludf.DUMMYFUNCTION("""COMPUTED_VALUE"""),44730.0)</f>
        <v>44730</v>
      </c>
      <c r="K82" s="41" t="str">
        <f>IFERROR(__xludf.DUMMYFUNCTION("""COMPUTED_VALUE"""),"各專業中心")</f>
        <v>各專業中心</v>
      </c>
      <c r="L82" s="41" t="str">
        <f>IFERROR(__xludf.DUMMYFUNCTION("""COMPUTED_VALUE"""),"各專業中心")</f>
        <v>各專業中心</v>
      </c>
      <c r="M82" s="41" t="str">
        <f>IFERROR(__xludf.DUMMYFUNCTION("""COMPUTED_VALUE"""),"續約單價上漲 USD 115.5 -&gt; USD 124.25, 匯率下降")</f>
        <v>續約單價上漲 USD 115.5 -&gt; USD 124.25, 匯率下降</v>
      </c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>
      <c r="B83" s="41">
        <f>IFERROR(__xludf.DUMMYFUNCTION("""COMPUTED_VALUE"""),82.0)</f>
        <v>82</v>
      </c>
      <c r="C83" s="41" t="str">
        <f>IFERROR(__xludf.DUMMYFUNCTION("""COMPUTED_VALUE"""),"非人事費用")</f>
        <v>非人事費用</v>
      </c>
      <c r="D83" s="41" t="str">
        <f>IFERROR(__xludf.DUMMYFUNCTION("""COMPUTED_VALUE"""),"iCHEF")</f>
        <v>iCHEF</v>
      </c>
      <c r="E83" s="41" t="str">
        <f>IFERROR(__xludf.DUMMYFUNCTION("""COMPUTED_VALUE"""),"6x3201")</f>
        <v>6x3201</v>
      </c>
      <c r="F83" s="41" t="str">
        <f>IFERROR(__xludf.DUMMYFUNCTION("""COMPUTED_VALUE"""),"其他費用")</f>
        <v>其他費用</v>
      </c>
      <c r="G83" s="41" t="str">
        <f>IFERROR(__xludf.DUMMYFUNCTION("""COMPUTED_VALUE"""),"辦公軟體")</f>
        <v>辦公軟體</v>
      </c>
      <c r="H83" s="41" t="str">
        <f>IFERROR(__xludf.DUMMYFUNCTION("""COMPUTED_VALUE"""),"專用軟體 Salesforce Sales+Service Cloud")</f>
        <v>專用軟體 Salesforce Sales+Service Cloud</v>
      </c>
      <c r="I83" s="61">
        <f>IFERROR(__xludf.DUMMYFUNCTION("""COMPUTED_VALUE"""),4680.0)</f>
        <v>4680</v>
      </c>
      <c r="J83" s="61">
        <f>IFERROR(__xludf.DUMMYFUNCTION("""COMPUTED_VALUE"""),56160.0)</f>
        <v>56160</v>
      </c>
      <c r="K83" s="41" t="str">
        <f>IFERROR(__xludf.DUMMYFUNCTION("""COMPUTED_VALUE"""),"各專業中心")</f>
        <v>各專業中心</v>
      </c>
      <c r="L83" s="41" t="str">
        <f>IFERROR(__xludf.DUMMYFUNCTION("""COMPUTED_VALUE"""),"各專業中心")</f>
        <v>各專業中心</v>
      </c>
      <c r="M83" s="41" t="str">
        <f>IFERROR(__xludf.DUMMYFUNCTION("""COMPUTED_VALUE"""),"續約單價上漲 USD 147-&gt; USD 156, 匯率下降")</f>
        <v>續約單價上漲 USD 147-&gt; USD 156, 匯率下降</v>
      </c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>
      <c r="B84" s="41">
        <f>IFERROR(__xludf.DUMMYFUNCTION("""COMPUTED_VALUE"""),83.0)</f>
        <v>83</v>
      </c>
      <c r="C84" s="41" t="str">
        <f>IFERROR(__xludf.DUMMYFUNCTION("""COMPUTED_VALUE"""),"非人事費用")</f>
        <v>非人事費用</v>
      </c>
      <c r="D84" s="41" t="str">
        <f>IFERROR(__xludf.DUMMYFUNCTION("""COMPUTED_VALUE"""),"iCHEF")</f>
        <v>iCHEF</v>
      </c>
      <c r="E84" s="41" t="str">
        <f>IFERROR(__xludf.DUMMYFUNCTION("""COMPUTED_VALUE"""),"6x3201")</f>
        <v>6x3201</v>
      </c>
      <c r="F84" s="41" t="str">
        <f>IFERROR(__xludf.DUMMYFUNCTION("""COMPUTED_VALUE"""),"其他費用")</f>
        <v>其他費用</v>
      </c>
      <c r="G84" s="41" t="str">
        <f>IFERROR(__xludf.DUMMYFUNCTION("""COMPUTED_VALUE"""),"辦公軟體")</f>
        <v>辦公軟體</v>
      </c>
      <c r="H84" s="41" t="str">
        <f>IFERROR(__xludf.DUMMYFUNCTION("""COMPUTED_VALUE"""),"通用軟體 Asana")</f>
        <v>通用軟體 Asana</v>
      </c>
      <c r="I84" s="61">
        <f>IFERROR(__xludf.DUMMYFUNCTION("""COMPUTED_VALUE"""),830.0)</f>
        <v>830</v>
      </c>
      <c r="J84" s="61">
        <f>IFERROR(__xludf.DUMMYFUNCTION("""COMPUTED_VALUE"""),9960.0)</f>
        <v>9960</v>
      </c>
      <c r="K84" s="41" t="str">
        <f>IFERROR(__xludf.DUMMYFUNCTION("""COMPUTED_VALUE"""),"各專業中心")</f>
        <v>各專業中心</v>
      </c>
      <c r="L84" s="41" t="str">
        <f>IFERROR(__xludf.DUMMYFUNCTION("""COMPUTED_VALUE"""),"各專業中心")</f>
        <v>各專業中心</v>
      </c>
      <c r="M84" s="41" t="str">
        <f>IFERROR(__xludf.DUMMYFUNCTION("""COMPUTED_VALUE"""),"新項目, 通用軟體單獨計算")</f>
        <v>新項目, 通用軟體單獨計算</v>
      </c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>
      <c r="B85" s="41">
        <f>IFERROR(__xludf.DUMMYFUNCTION("""COMPUTED_VALUE"""),84.0)</f>
        <v>84</v>
      </c>
      <c r="C85" s="41" t="str">
        <f>IFERROR(__xludf.DUMMYFUNCTION("""COMPUTED_VALUE"""),"非人事費用")</f>
        <v>非人事費用</v>
      </c>
      <c r="D85" s="41" t="str">
        <f>IFERROR(__xludf.DUMMYFUNCTION("""COMPUTED_VALUE"""),"iCHEF")</f>
        <v>iCHEF</v>
      </c>
      <c r="E85" s="41" t="str">
        <f>IFERROR(__xludf.DUMMYFUNCTION("""COMPUTED_VALUE"""),"6x3201")</f>
        <v>6x3201</v>
      </c>
      <c r="F85" s="41" t="str">
        <f>IFERROR(__xludf.DUMMYFUNCTION("""COMPUTED_VALUE"""),"其他費用")</f>
        <v>其他費用</v>
      </c>
      <c r="G85" s="41" t="str">
        <f>IFERROR(__xludf.DUMMYFUNCTION("""COMPUTED_VALUE"""),"辦公軟體")</f>
        <v>辦公軟體</v>
      </c>
      <c r="H85" s="41" t="str">
        <f>IFERROR(__xludf.DUMMYFUNCTION("""COMPUTED_VALUE"""),"通用軟體 Notion")</f>
        <v>通用軟體 Notion</v>
      </c>
      <c r="I85" s="61">
        <f>IFERROR(__xludf.DUMMYFUNCTION("""COMPUTED_VALUE"""),300.0)</f>
        <v>300</v>
      </c>
      <c r="J85" s="61">
        <f>IFERROR(__xludf.DUMMYFUNCTION("""COMPUTED_VALUE"""),3600.0)</f>
        <v>3600</v>
      </c>
      <c r="K85" s="41" t="str">
        <f>IFERROR(__xludf.DUMMYFUNCTION("""COMPUTED_VALUE"""),"各專業中心")</f>
        <v>各專業中心</v>
      </c>
      <c r="L85" s="41" t="str">
        <f>IFERROR(__xludf.DUMMYFUNCTION("""COMPUTED_VALUE"""),"各專業中心")</f>
        <v>各專業中心</v>
      </c>
      <c r="M85" s="41" t="str">
        <f>IFERROR(__xludf.DUMMYFUNCTION("""COMPUTED_VALUE"""),"新項目, 通用軟體單獨計算")</f>
        <v>新項目, 通用軟體單獨計算</v>
      </c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>
      <c r="B86" s="41">
        <f>IFERROR(__xludf.DUMMYFUNCTION("""COMPUTED_VALUE"""),85.0)</f>
        <v>85</v>
      </c>
      <c r="C86" s="41" t="str">
        <f>IFERROR(__xludf.DUMMYFUNCTION("""COMPUTED_VALUE"""),"非人事費用")</f>
        <v>非人事費用</v>
      </c>
      <c r="D86" s="41" t="str">
        <f>IFERROR(__xludf.DUMMYFUNCTION("""COMPUTED_VALUE"""),"iCHEF")</f>
        <v>iCHEF</v>
      </c>
      <c r="E86" s="41" t="str">
        <f>IFERROR(__xludf.DUMMYFUNCTION("""COMPUTED_VALUE"""),"6x3201")</f>
        <v>6x3201</v>
      </c>
      <c r="F86" s="41" t="str">
        <f>IFERROR(__xludf.DUMMYFUNCTION("""COMPUTED_VALUE"""),"其他費用")</f>
        <v>其他費用</v>
      </c>
      <c r="G86" s="41" t="str">
        <f>IFERROR(__xludf.DUMMYFUNCTION("""COMPUTED_VALUE"""),"辦公軟體")</f>
        <v>辦公軟體</v>
      </c>
      <c r="H86" s="41" t="str">
        <f>IFERROR(__xludf.DUMMYFUNCTION("""COMPUTED_VALUE"""),"通用軟體 Slack")</f>
        <v>通用軟體 Slack</v>
      </c>
      <c r="I86" s="61">
        <f>IFERROR(__xludf.DUMMYFUNCTION("""COMPUTED_VALUE"""),218.0)</f>
        <v>218</v>
      </c>
      <c r="J86" s="61">
        <f>IFERROR(__xludf.DUMMYFUNCTION("""COMPUTED_VALUE"""),2616.0)</f>
        <v>2616</v>
      </c>
      <c r="K86" s="41" t="str">
        <f>IFERROR(__xludf.DUMMYFUNCTION("""COMPUTED_VALUE"""),"各專業中心")</f>
        <v>各專業中心</v>
      </c>
      <c r="L86" s="41" t="str">
        <f>IFERROR(__xludf.DUMMYFUNCTION("""COMPUTED_VALUE"""),"各專業中心")</f>
        <v>各專業中心</v>
      </c>
      <c r="M86" s="41" t="str">
        <f>IFERROR(__xludf.DUMMYFUNCTION("""COMPUTED_VALUE"""),"新項目, 通用軟體單獨計算")</f>
        <v>新項目, 通用軟體單獨計算</v>
      </c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>
      <c r="B87" s="41">
        <f>IFERROR(__xludf.DUMMYFUNCTION("""COMPUTED_VALUE"""),86.0)</f>
        <v>86</v>
      </c>
      <c r="C87" s="41" t="str">
        <f>IFERROR(__xludf.DUMMYFUNCTION("""COMPUTED_VALUE"""),"非人事費用")</f>
        <v>非人事費用</v>
      </c>
      <c r="D87" s="41" t="str">
        <f>IFERROR(__xludf.DUMMYFUNCTION("""COMPUTED_VALUE"""),"iCHEF")</f>
        <v>iCHEF</v>
      </c>
      <c r="E87" s="41" t="str">
        <f>IFERROR(__xludf.DUMMYFUNCTION("""COMPUTED_VALUE"""),"6x3201")</f>
        <v>6x3201</v>
      </c>
      <c r="F87" s="41" t="str">
        <f>IFERROR(__xludf.DUMMYFUNCTION("""COMPUTED_VALUE"""),"其他費用")</f>
        <v>其他費用</v>
      </c>
      <c r="G87" s="41" t="str">
        <f>IFERROR(__xludf.DUMMYFUNCTION("""COMPUTED_VALUE"""),"辦公軟體")</f>
        <v>辦公軟體</v>
      </c>
      <c r="H87" s="41" t="str">
        <f>IFERROR(__xludf.DUMMYFUNCTION("""COMPUTED_VALUE"""),"辦公室VPN")</f>
        <v>辦公室VPN</v>
      </c>
      <c r="I87" s="61">
        <f>IFERROR(__xludf.DUMMYFUNCTION("""COMPUTED_VALUE"""),100.0)</f>
        <v>100</v>
      </c>
      <c r="J87" s="61">
        <f>IFERROR(__xludf.DUMMYFUNCTION("""COMPUTED_VALUE"""),1200.0)</f>
        <v>1200</v>
      </c>
      <c r="K87" s="41" t="str">
        <f>IFERROR(__xludf.DUMMYFUNCTION("""COMPUTED_VALUE"""),"各專業中心")</f>
        <v>各專業中心</v>
      </c>
      <c r="L87" s="41" t="str">
        <f>IFERROR(__xludf.DUMMYFUNCTION("""COMPUTED_VALUE"""),"各專業中心")</f>
        <v>各專業中心</v>
      </c>
      <c r="M87" s="41" t="str">
        <f>IFERROR(__xludf.DUMMYFUNCTION("""COMPUTED_VALUE"""),"新項目, 2025 沒攤給各中心, 2026 攤給各中心")</f>
        <v>新項目, 2025 沒攤給各中心, 2026 攤給各中心</v>
      </c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>
      <c r="B88" s="41">
        <f>IFERROR(__xludf.DUMMYFUNCTION("""COMPUTED_VALUE"""),87.0)</f>
        <v>87</v>
      </c>
      <c r="C88" s="41" t="str">
        <f>IFERROR(__xludf.DUMMYFUNCTION("""COMPUTED_VALUE"""),"非人事費用")</f>
        <v>非人事費用</v>
      </c>
      <c r="D88" s="41" t="str">
        <f>IFERROR(__xludf.DUMMYFUNCTION("""COMPUTED_VALUE"""),"iCHEF")</f>
        <v>iCHEF</v>
      </c>
      <c r="E88" s="41" t="str">
        <f>IFERROR(__xludf.DUMMYFUNCTION("""COMPUTED_VALUE"""),"6x3201")</f>
        <v>6x3201</v>
      </c>
      <c r="F88" s="41" t="str">
        <f>IFERROR(__xludf.DUMMYFUNCTION("""COMPUTED_VALUE"""),"其他費用")</f>
        <v>其他費用</v>
      </c>
      <c r="G88" s="41" t="str">
        <f>IFERROR(__xludf.DUMMYFUNCTION("""COMPUTED_VALUE"""),"辦公軟體")</f>
        <v>辦公軟體</v>
      </c>
      <c r="H88" s="41" t="str">
        <f>IFERROR(__xludf.DUMMYFUNCTION("""COMPUTED_VALUE"""),"點點簽")</f>
        <v>點點簽</v>
      </c>
      <c r="I88" s="61">
        <f>IFERROR(__xludf.DUMMYFUNCTION("""COMPUTED_VALUE"""),450.0)</f>
        <v>450</v>
      </c>
      <c r="J88" s="61">
        <f>IFERROR(__xludf.DUMMYFUNCTION("""COMPUTED_VALUE"""),5400.0)</f>
        <v>5400</v>
      </c>
      <c r="K88" s="41" t="str">
        <f>IFERROR(__xludf.DUMMYFUNCTION("""COMPUTED_VALUE"""),"各專業中心")</f>
        <v>各專業中心</v>
      </c>
      <c r="L88" s="41" t="str">
        <f>IFERROR(__xludf.DUMMYFUNCTION("""COMPUTED_VALUE"""),"各專業中心")</f>
        <v>各專業中心</v>
      </c>
      <c r="M88" s="41" t="str">
        <f>IFERROR(__xludf.DUMMYFUNCTION("""COMPUTED_VALUE"""),"新項目, 2025 轉給資訊管理")</f>
        <v>新項目, 2025 轉給資訊管理</v>
      </c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>
      <c r="B89" s="41">
        <f>IFERROR(__xludf.DUMMYFUNCTION("""COMPUTED_VALUE"""),88.0)</f>
        <v>88</v>
      </c>
      <c r="C89" s="41" t="str">
        <f>IFERROR(__xludf.DUMMYFUNCTION("""COMPUTED_VALUE"""),"非人事費用")</f>
        <v>非人事費用</v>
      </c>
      <c r="D89" s="41" t="str">
        <f>IFERROR(__xludf.DUMMYFUNCTION("""COMPUTED_VALUE"""),"QLR")</f>
        <v>QLR</v>
      </c>
      <c r="E89" s="41" t="str">
        <f>IFERROR(__xludf.DUMMYFUNCTION("""COMPUTED_VALUE"""),"6x3201")</f>
        <v>6x3201</v>
      </c>
      <c r="F89" s="41" t="str">
        <f>IFERROR(__xludf.DUMMYFUNCTION("""COMPUTED_VALUE"""),"其他費用")</f>
        <v>其他費用</v>
      </c>
      <c r="G89" s="41" t="str">
        <f>IFERROR(__xludf.DUMMYFUNCTION("""COMPUTED_VALUE"""),"辦公軟體")</f>
        <v>辦公軟體</v>
      </c>
      <c r="H89" s="41" t="str">
        <f>IFERROR(__xludf.DUMMYFUNCTION("""COMPUTED_VALUE"""),"通用軟體 GWS")</f>
        <v>通用軟體 GWS</v>
      </c>
      <c r="I89" s="61">
        <f>IFERROR(__xludf.DUMMYFUNCTION("""COMPUTED_VALUE"""),180.0)</f>
        <v>180</v>
      </c>
      <c r="J89" s="61">
        <f>IFERROR(__xludf.DUMMYFUNCTION("""COMPUTED_VALUE"""),2160.0)</f>
        <v>2160</v>
      </c>
      <c r="K89" s="41" t="str">
        <f>IFERROR(__xludf.DUMMYFUNCTION("""COMPUTED_VALUE"""),"各專業中心")</f>
        <v>各專業中心</v>
      </c>
      <c r="L89" s="41" t="str">
        <f>IFERROR(__xludf.DUMMYFUNCTION("""COMPUTED_VALUE"""),"各專業中心")</f>
        <v>各專業中心</v>
      </c>
      <c r="M89" s="41" t="str">
        <f>IFERROR(__xludf.DUMMYFUNCTION("""COMPUTED_VALUE"""),"新項目, 通用軟體單獨計算")</f>
        <v>新項目, 通用軟體單獨計算</v>
      </c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>
      <c r="B90" s="41">
        <f>IFERROR(__xludf.DUMMYFUNCTION("""COMPUTED_VALUE"""),89.0)</f>
        <v>89</v>
      </c>
      <c r="C90" s="41" t="str">
        <f>IFERROR(__xludf.DUMMYFUNCTION("""COMPUTED_VALUE"""),"非人事費用")</f>
        <v>非人事費用</v>
      </c>
      <c r="D90" s="41" t="str">
        <f>IFERROR(__xludf.DUMMYFUNCTION("""COMPUTED_VALUE"""),"QLR")</f>
        <v>QLR</v>
      </c>
      <c r="E90" s="41" t="str">
        <f>IFERROR(__xludf.DUMMYFUNCTION("""COMPUTED_VALUE"""),"6x3201")</f>
        <v>6x3201</v>
      </c>
      <c r="F90" s="41" t="str">
        <f>IFERROR(__xludf.DUMMYFUNCTION("""COMPUTED_VALUE"""),"其他費用")</f>
        <v>其他費用</v>
      </c>
      <c r="G90" s="41" t="str">
        <f>IFERROR(__xludf.DUMMYFUNCTION("""COMPUTED_VALUE"""),"辦公軟體")</f>
        <v>辦公軟體</v>
      </c>
      <c r="H90" s="41" t="str">
        <f>IFERROR(__xludf.DUMMYFUNCTION("""COMPUTED_VALUE"""),"專用軟體 Netsuite 主管/看管報帳號")</f>
        <v>專用軟體 Netsuite 主管/看管報帳號</v>
      </c>
      <c r="I90" s="45">
        <f>IFERROR(__xludf.DUMMYFUNCTION("""COMPUTED_VALUE"""),1384.0)</f>
        <v>1384</v>
      </c>
      <c r="J90" s="45">
        <f>IFERROR(__xludf.DUMMYFUNCTION("""COMPUTED_VALUE"""),16608.0)</f>
        <v>16608</v>
      </c>
      <c r="K90" s="41" t="str">
        <f>IFERROR(__xludf.DUMMYFUNCTION("""COMPUTED_VALUE"""),"各專業中心")</f>
        <v>各專業中心</v>
      </c>
      <c r="L90" s="41" t="str">
        <f>IFERROR(__xludf.DUMMYFUNCTION("""COMPUTED_VALUE"""),"各專業中心")</f>
        <v>各專業中心</v>
      </c>
      <c r="M90" s="41" t="str">
        <f>IFERROR(__xludf.DUMMYFUNCTION("""COMPUTED_VALUE"""),"新項目, 通用軟體單獨計算")</f>
        <v>新項目, 通用軟體單獨計算</v>
      </c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>
      <c r="B91" s="41">
        <f>IFERROR(__xludf.DUMMYFUNCTION("""COMPUTED_VALUE"""),90.0)</f>
        <v>90</v>
      </c>
      <c r="C91" s="41" t="str">
        <f>IFERROR(__xludf.DUMMYFUNCTION("""COMPUTED_VALUE"""),"非人事費用")</f>
        <v>非人事費用</v>
      </c>
      <c r="D91" s="41" t="str">
        <f>IFERROR(__xludf.DUMMYFUNCTION("""COMPUTED_VALUE"""),"QLR")</f>
        <v>QLR</v>
      </c>
      <c r="E91" s="41" t="str">
        <f>IFERROR(__xludf.DUMMYFUNCTION("""COMPUTED_VALUE"""),"6x3201")</f>
        <v>6x3201</v>
      </c>
      <c r="F91" s="41" t="str">
        <f>IFERROR(__xludf.DUMMYFUNCTION("""COMPUTED_VALUE"""),"其他費用")</f>
        <v>其他費用</v>
      </c>
      <c r="G91" s="41" t="str">
        <f>IFERROR(__xludf.DUMMYFUNCTION("""COMPUTED_VALUE"""),"辦公軟體")</f>
        <v>辦公軟體</v>
      </c>
      <c r="H91" s="41" t="str">
        <f>IFERROR(__xludf.DUMMYFUNCTION("""COMPUTED_VALUE"""),"專用軟體 Netsuite 員工帳號")</f>
        <v>專用軟體 Netsuite 員工帳號</v>
      </c>
      <c r="I91" s="45">
        <f>IFERROR(__xludf.DUMMYFUNCTION("""COMPUTED_VALUE"""),229.0)</f>
        <v>229</v>
      </c>
      <c r="J91" s="45">
        <f>IFERROR(__xludf.DUMMYFUNCTION("""COMPUTED_VALUE"""),2748.0)</f>
        <v>2748</v>
      </c>
      <c r="K91" s="41" t="str">
        <f>IFERROR(__xludf.DUMMYFUNCTION("""COMPUTED_VALUE"""),"各專業中心")</f>
        <v>各專業中心</v>
      </c>
      <c r="L91" s="41" t="str">
        <f>IFERROR(__xludf.DUMMYFUNCTION("""COMPUTED_VALUE"""),"各專業中心")</f>
        <v>各專業中心</v>
      </c>
      <c r="M91" s="41" t="str">
        <f>IFERROR(__xludf.DUMMYFUNCTION("""COMPUTED_VALUE"""),"新項目, 通用軟體單獨計算")</f>
        <v>新項目, 通用軟體單獨計算</v>
      </c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>
      <c r="B92" s="41">
        <f>IFERROR(__xludf.DUMMYFUNCTION("""COMPUTED_VALUE"""),91.0)</f>
        <v>91</v>
      </c>
      <c r="C92" s="41" t="str">
        <f>IFERROR(__xludf.DUMMYFUNCTION("""COMPUTED_VALUE"""),"非人事費用")</f>
        <v>非人事費用</v>
      </c>
      <c r="D92" s="41" t="str">
        <f>IFERROR(__xludf.DUMMYFUNCTION("""COMPUTED_VALUE"""),"QLR")</f>
        <v>QLR</v>
      </c>
      <c r="E92" s="41" t="str">
        <f>IFERROR(__xludf.DUMMYFUNCTION("""COMPUTED_VALUE"""),"6x3201")</f>
        <v>6x3201</v>
      </c>
      <c r="F92" s="41" t="str">
        <f>IFERROR(__xludf.DUMMYFUNCTION("""COMPUTED_VALUE"""),"其他費用")</f>
        <v>其他費用</v>
      </c>
      <c r="G92" s="41" t="str">
        <f>IFERROR(__xludf.DUMMYFUNCTION("""COMPUTED_VALUE"""),"辦公軟體")</f>
        <v>辦公軟體</v>
      </c>
      <c r="H92" s="41" t="str">
        <f>IFERROR(__xludf.DUMMYFUNCTION("""COMPUTED_VALUE"""),"通用軟體 Asana")</f>
        <v>通用軟體 Asana</v>
      </c>
      <c r="I92" s="61">
        <f>IFERROR(__xludf.DUMMYFUNCTION("""COMPUTED_VALUE"""),750.0)</f>
        <v>750</v>
      </c>
      <c r="J92" s="61">
        <f>IFERROR(__xludf.DUMMYFUNCTION("""COMPUTED_VALUE"""),9000.0)</f>
        <v>9000</v>
      </c>
      <c r="K92" s="41" t="str">
        <f>IFERROR(__xludf.DUMMYFUNCTION("""COMPUTED_VALUE"""),"各專業中心")</f>
        <v>各專業中心</v>
      </c>
      <c r="L92" s="41" t="str">
        <f>IFERROR(__xludf.DUMMYFUNCTION("""COMPUTED_VALUE"""),"各專業中心")</f>
        <v>各專業中心</v>
      </c>
      <c r="M92" s="41" t="str">
        <f>IFERROR(__xludf.DUMMYFUNCTION("""COMPUTED_VALUE"""),"新項目, 通用軟體單獨計算")</f>
        <v>新項目, 通用軟體單獨計算</v>
      </c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>
      <c r="B93" s="41">
        <f>IFERROR(__xludf.DUMMYFUNCTION("""COMPUTED_VALUE"""),92.0)</f>
        <v>92</v>
      </c>
      <c r="C93" s="41" t="str">
        <f>IFERROR(__xludf.DUMMYFUNCTION("""COMPUTED_VALUE"""),"非人事費用")</f>
        <v>非人事費用</v>
      </c>
      <c r="D93" s="41" t="str">
        <f>IFERROR(__xludf.DUMMYFUNCTION("""COMPUTED_VALUE"""),"QLR")</f>
        <v>QLR</v>
      </c>
      <c r="E93" s="41" t="str">
        <f>IFERROR(__xludf.DUMMYFUNCTION("""COMPUTED_VALUE"""),"6x3201")</f>
        <v>6x3201</v>
      </c>
      <c r="F93" s="41" t="str">
        <f>IFERROR(__xludf.DUMMYFUNCTION("""COMPUTED_VALUE"""),"其他費用")</f>
        <v>其他費用</v>
      </c>
      <c r="G93" s="41" t="str">
        <f>IFERROR(__xludf.DUMMYFUNCTION("""COMPUTED_VALUE"""),"辦公軟體")</f>
        <v>辦公軟體</v>
      </c>
      <c r="H93" s="41" t="str">
        <f>IFERROR(__xludf.DUMMYFUNCTION("""COMPUTED_VALUE"""),"通用軟體 Notion")</f>
        <v>通用軟體 Notion</v>
      </c>
      <c r="I93" s="61">
        <f>IFERROR(__xludf.DUMMYFUNCTION("""COMPUTED_VALUE"""),300.0)</f>
        <v>300</v>
      </c>
      <c r="J93" s="61">
        <f>IFERROR(__xludf.DUMMYFUNCTION("""COMPUTED_VALUE"""),3600.0)</f>
        <v>3600</v>
      </c>
      <c r="K93" s="41" t="str">
        <f>IFERROR(__xludf.DUMMYFUNCTION("""COMPUTED_VALUE"""),"各專業中心")</f>
        <v>各專業中心</v>
      </c>
      <c r="L93" s="41" t="str">
        <f>IFERROR(__xludf.DUMMYFUNCTION("""COMPUTED_VALUE"""),"各專業中心")</f>
        <v>各專業中心</v>
      </c>
      <c r="M93" s="41" t="str">
        <f>IFERROR(__xludf.DUMMYFUNCTION("""COMPUTED_VALUE"""),"新項目, 通用軟體單獨計算")</f>
        <v>新項目, 通用軟體單獨計算</v>
      </c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>
      <c r="B94" s="41">
        <f>IFERROR(__xludf.DUMMYFUNCTION("""COMPUTED_VALUE"""),93.0)</f>
        <v>93</v>
      </c>
      <c r="C94" s="41" t="str">
        <f>IFERROR(__xludf.DUMMYFUNCTION("""COMPUTED_VALUE"""),"非人事費用")</f>
        <v>非人事費用</v>
      </c>
      <c r="D94" s="41" t="str">
        <f>IFERROR(__xludf.DUMMYFUNCTION("""COMPUTED_VALUE"""),"QLR")</f>
        <v>QLR</v>
      </c>
      <c r="E94" s="41" t="str">
        <f>IFERROR(__xludf.DUMMYFUNCTION("""COMPUTED_VALUE"""),"6x3201")</f>
        <v>6x3201</v>
      </c>
      <c r="F94" s="41" t="str">
        <f>IFERROR(__xludf.DUMMYFUNCTION("""COMPUTED_VALUE"""),"其他費用")</f>
        <v>其他費用</v>
      </c>
      <c r="G94" s="41" t="str">
        <f>IFERROR(__xludf.DUMMYFUNCTION("""COMPUTED_VALUE"""),"辦公軟體")</f>
        <v>辦公軟體</v>
      </c>
      <c r="H94" s="41" t="str">
        <f>IFERROR(__xludf.DUMMYFUNCTION("""COMPUTED_VALUE"""),"通用軟體 Slack")</f>
        <v>通用軟體 Slack</v>
      </c>
      <c r="I94" s="61">
        <f>IFERROR(__xludf.DUMMYFUNCTION("""COMPUTED_VALUE"""),203.0)</f>
        <v>203</v>
      </c>
      <c r="J94" s="61">
        <f>IFERROR(__xludf.DUMMYFUNCTION("""COMPUTED_VALUE"""),2436.0)</f>
        <v>2436</v>
      </c>
      <c r="K94" s="41" t="str">
        <f>IFERROR(__xludf.DUMMYFUNCTION("""COMPUTED_VALUE"""),"各專業中心")</f>
        <v>各專業中心</v>
      </c>
      <c r="L94" s="41" t="str">
        <f>IFERROR(__xludf.DUMMYFUNCTION("""COMPUTED_VALUE"""),"各專業中心")</f>
        <v>各專業中心</v>
      </c>
      <c r="M94" s="41" t="str">
        <f>IFERROR(__xludf.DUMMYFUNCTION("""COMPUTED_VALUE"""),"新項目, 通用軟體單獨計算")</f>
        <v>新項目, 通用軟體單獨計算</v>
      </c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</row>
    <row r="97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</cols>
  <sheetData>
    <row r="1">
      <c r="B1" s="41" t="str">
        <f>IFERROR(__xludf.DUMMYFUNCTION("IMPORTRANGE(""https://docs.google.com/spreadsheets/d/1gsXoI5zM-IbJ26IzdPrtU33yQaJeMN9ebORVtKwXYdI/edit?gid=613934984#gid=613934984"",""2026 各中心需求匯總!A1:z"")"),"子公司")</f>
        <v>子公司</v>
      </c>
      <c r="C1" s="41" t="str">
        <f>IFERROR(__xludf.DUMMYFUNCTION("""COMPUTED_VALUE"""),"事業單位")</f>
        <v>事業單位</v>
      </c>
      <c r="D1" s="41" t="str">
        <f>IFERROR(__xludf.DUMMYFUNCTION("""COMPUTED_VALUE"""),"Si 編號")</f>
        <v>Si 編號</v>
      </c>
      <c r="E1" s="41" t="str">
        <f>IFERROR(__xludf.DUMMYFUNCTION("""COMPUTED_VALUE"""),"TA 編號")</f>
        <v>TA 編號</v>
      </c>
      <c r="F1" s="41" t="str">
        <f>IFERROR(__xludf.DUMMYFUNCTION("""COMPUTED_VALUE"""),"費用單位")</f>
        <v>費用單位</v>
      </c>
      <c r="G1" s="41" t="str">
        <f>IFERROR(__xludf.DUMMYFUNCTION("""COMPUTED_VALUE"""),"費用項目")</f>
        <v>費用項目</v>
      </c>
      <c r="H1" s="62" t="str">
        <f>IFERROR(__xludf.DUMMYFUNCTION("""COMPUTED_VALUE"""),"單價")</f>
        <v>單價</v>
      </c>
      <c r="I1" s="41" t="str">
        <f>IFERROR(__xludf.DUMMYFUNCTION("""COMPUTED_VALUE"""),"現有帳號數量")</f>
        <v>現有帳號數量</v>
      </c>
      <c r="J1" s="41" t="str">
        <f>IFERROR(__xludf.DUMMYFUNCTION("""COMPUTED_VALUE"""),"現有每月費用")</f>
        <v>現有每月費用</v>
      </c>
      <c r="K1" s="41" t="str">
        <f>IFERROR(__xludf.DUMMYFUNCTION("""COMPUTED_VALUE"""),"預計新人帳號數量")</f>
        <v>預計新人帳號數量</v>
      </c>
      <c r="L1" s="41" t="str">
        <f>IFERROR(__xludf.DUMMYFUNCTION("""COMPUTED_VALUE"""),"預計新人費用")</f>
        <v>預計新人費用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B2" s="41" t="str">
        <f>IFERROR(__xludf.DUMMYFUNCTION("""COMPUTED_VALUE"""),"歸屬子公司，例如:TW、QLR")</f>
        <v>歸屬子公司，例如:TW、QLR</v>
      </c>
      <c r="C2" s="41" t="str">
        <f>IFERROR(__xludf.DUMMYFUNCTION("""COMPUTED_VALUE"""),"不需填寫")</f>
        <v>不需填寫</v>
      </c>
      <c r="D2" s="41" t="str">
        <f>IFERROR(__xludf.DUMMYFUNCTION("""COMPUTED_VALUE"""),"不需填寫")</f>
        <v>不需填寫</v>
      </c>
      <c r="E2" s="41" t="str">
        <f>IFERROR(__xludf.DUMMYFUNCTION("""COMPUTED_VALUE"""),"不需填寫")</f>
        <v>不需填寫</v>
      </c>
      <c r="F2" s="41" t="str">
        <f>IFERROR(__xludf.DUMMYFUNCTION("""COMPUTED_VALUE"""),"需按中心/部門/團隊規格，例如：行銷營運中心:銷售營運部:導入教練團隊")</f>
        <v>需按中心/部門/團隊規格，例如：行銷營運中心:銷售營運部:導入教練團隊</v>
      </c>
      <c r="G2" s="41" t="str">
        <f>IFERROR(__xludf.DUMMYFUNCTION("""COMPUTED_VALUE"""),"請填寫工具名稱與品項，例如：Tableau Viewer 帳號")</f>
        <v>請填寫工具名稱與品項，例如：Tableau Viewer 帳號</v>
      </c>
      <c r="H2" s="62" t="str">
        <f>IFERROR(__xludf.DUMMYFUNCTION("""COMPUTED_VALUE"""),"填品項金額，例如 300")</f>
        <v>填品項金額，例如 300</v>
      </c>
      <c r="I2" s="41" t="str">
        <f>IFERROR(__xludf.DUMMYFUNCTION("""COMPUTED_VALUE"""),"填寫現有員工帳號數，例如：3")</f>
        <v>填寫現有員工帳號數，例如：3</v>
      </c>
      <c r="J2" s="41" t="str">
        <f>IFERROR(__xludf.DUMMYFUNCTION("""COMPUTED_VALUE"""),"公式：單價 x 現有帳號數量")</f>
        <v>公式：單價 x 現有帳號數量</v>
      </c>
      <c r="K2" s="41" t="str">
        <f>IFERROR(__xludf.DUMMYFUNCTION("""COMPUTED_VALUE"""),"填寫新員工帳號數，例如：3")</f>
        <v>填寫新員工帳號數，例如：3</v>
      </c>
      <c r="L2" s="41" t="str">
        <f>IFERROR(__xludf.DUMMYFUNCTION("""COMPUTED_VALUE"""),"公式：單價 x 預計新人帳號數量")</f>
        <v>公式：單價 x 預計新人帳號數量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B3" s="41" t="str">
        <f>IFERROR(__xludf.DUMMYFUNCTION("""COMPUTED_VALUE"""),"TW")</f>
        <v>TW</v>
      </c>
      <c r="C3" s="41"/>
      <c r="D3" s="41"/>
      <c r="E3" s="41"/>
      <c r="F3" s="41" t="str">
        <f>IFERROR(__xludf.DUMMYFUNCTION("""COMPUTED_VALUE"""),"行銷營運中心")</f>
        <v>行銷營運中心</v>
      </c>
      <c r="G3" s="41" t="str">
        <f>IFERROR(__xludf.DUMMYFUNCTION("""COMPUTED_VALUE"""),"VPN (辦公室網路)")</f>
        <v>VPN (辦公室網路)</v>
      </c>
      <c r="H3" s="62">
        <f>IFERROR(__xludf.DUMMYFUNCTION("""COMPUTED_VALUE"""),100.0)</f>
        <v>100</v>
      </c>
      <c r="I3" s="41">
        <f>IFERROR(__xludf.DUMMYFUNCTION("""COMPUTED_VALUE"""),26.0)</f>
        <v>26</v>
      </c>
      <c r="J3" s="62">
        <f>IFERROR(__xludf.DUMMYFUNCTION("""COMPUTED_VALUE"""),2600.0)</f>
        <v>2600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B4" s="41" t="str">
        <f>IFERROR(__xludf.DUMMYFUNCTION("""COMPUTED_VALUE"""),"TW")</f>
        <v>TW</v>
      </c>
      <c r="C4" s="41"/>
      <c r="D4" s="41"/>
      <c r="E4" s="41"/>
      <c r="F4" s="41" t="str">
        <f>IFERROR(__xludf.DUMMYFUNCTION("""COMPUTED_VALUE"""),"研發中心")</f>
        <v>研發中心</v>
      </c>
      <c r="G4" s="41" t="str">
        <f>IFERROR(__xludf.DUMMYFUNCTION("""COMPUTED_VALUE"""),"VPN (辦公室網路)")</f>
        <v>VPN (辦公室網路)</v>
      </c>
      <c r="H4" s="62">
        <f>IFERROR(__xludf.DUMMYFUNCTION("""COMPUTED_VALUE"""),100.0)</f>
        <v>100</v>
      </c>
      <c r="I4" s="41">
        <f>IFERROR(__xludf.DUMMYFUNCTION("""COMPUTED_VALUE"""),31.0)</f>
        <v>31</v>
      </c>
      <c r="J4" s="62">
        <f>IFERROR(__xludf.DUMMYFUNCTION("""COMPUTED_VALUE"""),3100.0)</f>
        <v>3100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B5" s="41" t="str">
        <f>IFERROR(__xludf.DUMMYFUNCTION("""COMPUTED_VALUE"""),"TW")</f>
        <v>TW</v>
      </c>
      <c r="C5" s="41"/>
      <c r="D5" s="41"/>
      <c r="E5" s="41"/>
      <c r="F5" s="41" t="str">
        <f>IFERROR(__xludf.DUMMYFUNCTION("""COMPUTED_VALUE"""),"客戶價值中心")</f>
        <v>客戶價值中心</v>
      </c>
      <c r="G5" s="41" t="str">
        <f>IFERROR(__xludf.DUMMYFUNCTION("""COMPUTED_VALUE"""),"VPN (辦公室網路)")</f>
        <v>VPN (辦公室網路)</v>
      </c>
      <c r="H5" s="62">
        <f>IFERROR(__xludf.DUMMYFUNCTION("""COMPUTED_VALUE"""),100.0)</f>
        <v>100</v>
      </c>
      <c r="I5" s="41">
        <f>IFERROR(__xludf.DUMMYFUNCTION("""COMPUTED_VALUE"""),27.0)</f>
        <v>27</v>
      </c>
      <c r="J5" s="62">
        <f>IFERROR(__xludf.DUMMYFUNCTION("""COMPUTED_VALUE"""),2700.0)</f>
        <v>2700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B6" s="41" t="str">
        <f>IFERROR(__xludf.DUMMYFUNCTION("""COMPUTED_VALUE"""),"TW")</f>
        <v>TW</v>
      </c>
      <c r="C6" s="41"/>
      <c r="D6" s="41"/>
      <c r="E6" s="41"/>
      <c r="F6" s="41" t="str">
        <f>IFERROR(__xludf.DUMMYFUNCTION("""COMPUTED_VALUE"""),"管理中心")</f>
        <v>管理中心</v>
      </c>
      <c r="G6" s="41" t="str">
        <f>IFERROR(__xludf.DUMMYFUNCTION("""COMPUTED_VALUE"""),"VPN (辦公室網路)")</f>
        <v>VPN (辦公室網路)</v>
      </c>
      <c r="H6" s="62">
        <f>IFERROR(__xludf.DUMMYFUNCTION("""COMPUTED_VALUE"""),100.0)</f>
        <v>100</v>
      </c>
      <c r="I6" s="41">
        <f>IFERROR(__xludf.DUMMYFUNCTION("""COMPUTED_VALUE"""),0.0)</f>
        <v>0</v>
      </c>
      <c r="J6" s="62">
        <f>IFERROR(__xludf.DUMMYFUNCTION("""COMPUTED_VALUE"""),0.0)</f>
        <v>0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B7" s="41" t="str">
        <f>IFERROR(__xludf.DUMMYFUNCTION("""COMPUTED_VALUE"""),"TW")</f>
        <v>TW</v>
      </c>
      <c r="C7" s="41"/>
      <c r="D7" s="41"/>
      <c r="E7" s="41"/>
      <c r="F7" s="41" t="str">
        <f>IFERROR(__xludf.DUMMYFUNCTION("""COMPUTED_VALUE"""),"執行長室")</f>
        <v>執行長室</v>
      </c>
      <c r="G7" s="41" t="str">
        <f>IFERROR(__xludf.DUMMYFUNCTION("""COMPUTED_VALUE"""),"VPN (辦公室網路)")</f>
        <v>VPN (辦公室網路)</v>
      </c>
      <c r="H7" s="62">
        <f>IFERROR(__xludf.DUMMYFUNCTION("""COMPUTED_VALUE"""),100.0)</f>
        <v>100</v>
      </c>
      <c r="I7" s="41">
        <f>IFERROR(__xludf.DUMMYFUNCTION("""COMPUTED_VALUE"""),0.0)</f>
        <v>0</v>
      </c>
      <c r="J7" s="62">
        <f>IFERROR(__xludf.DUMMYFUNCTION("""COMPUTED_VALUE"""),0.0)</f>
        <v>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B8" s="41" t="str">
        <f>IFERROR(__xludf.DUMMYFUNCTION("""COMPUTED_VALUE"""),"TW")</f>
        <v>TW</v>
      </c>
      <c r="C8" s="41"/>
      <c r="D8" s="41"/>
      <c r="E8" s="41"/>
      <c r="F8" s="41" t="str">
        <f>IFERROR(__xludf.DUMMYFUNCTION("""COMPUTED_VALUE"""),"財務中心")</f>
        <v>財務中心</v>
      </c>
      <c r="G8" s="41" t="str">
        <f>IFERROR(__xludf.DUMMYFUNCTION("""COMPUTED_VALUE"""),"VPN (辦公室網路)")</f>
        <v>VPN (辦公室網路)</v>
      </c>
      <c r="H8" s="62">
        <f>IFERROR(__xludf.DUMMYFUNCTION("""COMPUTED_VALUE"""),100.0)</f>
        <v>100</v>
      </c>
      <c r="I8" s="41">
        <f>IFERROR(__xludf.DUMMYFUNCTION("""COMPUTED_VALUE"""),0.0)</f>
        <v>0</v>
      </c>
      <c r="J8" s="62">
        <f>IFERROR(__xludf.DUMMYFUNCTION("""COMPUTED_VALUE"""),0.0)</f>
        <v>0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B9" s="41" t="str">
        <f>IFERROR(__xludf.DUMMYFUNCTION("""COMPUTED_VALUE"""),"QLR")</f>
        <v>QLR</v>
      </c>
      <c r="C9" s="41"/>
      <c r="D9" s="41"/>
      <c r="E9" s="41"/>
      <c r="F9" s="41" t="str">
        <f>IFERROR(__xludf.DUMMYFUNCTION("""COMPUTED_VALUE"""),"Qlieer")</f>
        <v>Qlieer</v>
      </c>
      <c r="G9" s="41" t="str">
        <f>IFERROR(__xludf.DUMMYFUNCTION("""COMPUTED_VALUE"""),"VPN (辦公室網路)")</f>
        <v>VPN (辦公室網路)</v>
      </c>
      <c r="H9" s="62">
        <f>IFERROR(__xludf.DUMMYFUNCTION("""COMPUTED_VALUE"""),100.0)</f>
        <v>100</v>
      </c>
      <c r="I9" s="41">
        <f>IFERROR(__xludf.DUMMYFUNCTION("""COMPUTED_VALUE"""),0.0)</f>
        <v>0</v>
      </c>
      <c r="J9" s="62">
        <f>IFERROR(__xludf.DUMMYFUNCTION("""COMPUTED_VALUE"""),0.0)</f>
        <v>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B10" s="41" t="str">
        <f>IFERROR(__xludf.DUMMYFUNCTION("""COMPUTED_VALUE"""),"TW")</f>
        <v>TW</v>
      </c>
      <c r="C10" s="41"/>
      <c r="D10" s="41"/>
      <c r="E10" s="41"/>
      <c r="F10" s="41" t="str">
        <f>IFERROR(__xludf.DUMMYFUNCTION("""COMPUTED_VALUE"""),"策略資料中心")</f>
        <v>策略資料中心</v>
      </c>
      <c r="G10" s="41" t="str">
        <f>IFERROR(__xludf.DUMMYFUNCTION("""COMPUTED_VALUE"""),"VPN (辦公室網路)")</f>
        <v>VPN (辦公室網路)</v>
      </c>
      <c r="H10" s="62">
        <f>IFERROR(__xludf.DUMMYFUNCTION("""COMPUTED_VALUE"""),100.0)</f>
        <v>100</v>
      </c>
      <c r="I10" s="41">
        <f>IFERROR(__xludf.DUMMYFUNCTION("""COMPUTED_VALUE"""),0.0)</f>
        <v>0</v>
      </c>
      <c r="J10" s="62">
        <f>IFERROR(__xludf.DUMMYFUNCTION("""COMPUTED_VALUE"""),0.0)</f>
        <v>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B11" s="41" t="str">
        <f>IFERROR(__xludf.DUMMYFUNCTION("""COMPUTED_VALUE"""),"HK")</f>
        <v>HK</v>
      </c>
      <c r="C11" s="41"/>
      <c r="D11" s="41"/>
      <c r="E11" s="41"/>
      <c r="F11" s="41" t="str">
        <f>IFERROR(__xludf.DUMMYFUNCTION("""COMPUTED_VALUE"""),"海外執行長室")</f>
        <v>海外執行長室</v>
      </c>
      <c r="G11" s="41" t="str">
        <f>IFERROR(__xludf.DUMMYFUNCTION("""COMPUTED_VALUE"""),"VPN (辦公室網路)")</f>
        <v>VPN (辦公室網路)</v>
      </c>
      <c r="H11" s="62">
        <f>IFERROR(__xludf.DUMMYFUNCTION("""COMPUTED_VALUE"""),100.0)</f>
        <v>100</v>
      </c>
      <c r="I11" s="41">
        <f>IFERROR(__xludf.DUMMYFUNCTION("""COMPUTED_VALUE"""),0.0)</f>
        <v>0</v>
      </c>
      <c r="J11" s="62">
        <f>IFERROR(__xludf.DUMMYFUNCTION("""COMPUTED_VALUE"""),0.0)</f>
        <v>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B12" s="41" t="str">
        <f>IFERROR(__xludf.DUMMYFUNCTION("""COMPUTED_VALUE"""),"TW")</f>
        <v>TW</v>
      </c>
      <c r="C12" s="41"/>
      <c r="D12" s="41"/>
      <c r="E12" s="41"/>
      <c r="F12" s="41" t="str">
        <f>IFERROR(__xludf.DUMMYFUNCTION("""COMPUTED_VALUE"""),"行銷營運中心")</f>
        <v>行銷營運中心</v>
      </c>
      <c r="G12" s="41" t="str">
        <f>IFERROR(__xludf.DUMMYFUNCTION("""COMPUTED_VALUE"""),"Tableau (Creator)")</f>
        <v>Tableau (Creator)</v>
      </c>
      <c r="H12" s="45">
        <f>IFERROR(__xludf.DUMMYFUNCTION("""COMPUTED_VALUE"""),2354.0)</f>
        <v>2354</v>
      </c>
      <c r="I12" s="41">
        <f>IFERROR(__xludf.DUMMYFUNCTION("""COMPUTED_VALUE"""),3.0)</f>
        <v>3</v>
      </c>
      <c r="J12" s="45">
        <f>IFERROR(__xludf.DUMMYFUNCTION("""COMPUTED_VALUE"""),7062.0)</f>
        <v>7062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B13" s="41" t="str">
        <f>IFERROR(__xludf.DUMMYFUNCTION("""COMPUTED_VALUE"""),"TW")</f>
        <v>TW</v>
      </c>
      <c r="C13" s="41"/>
      <c r="D13" s="41"/>
      <c r="E13" s="41"/>
      <c r="F13" s="41" t="str">
        <f>IFERROR(__xludf.DUMMYFUNCTION("""COMPUTED_VALUE"""),"研發中心")</f>
        <v>研發中心</v>
      </c>
      <c r="G13" s="41" t="str">
        <f>IFERROR(__xludf.DUMMYFUNCTION("""COMPUTED_VALUE"""),"Tableau (Creator)")</f>
        <v>Tableau (Creator)</v>
      </c>
      <c r="H13" s="45">
        <f>IFERROR(__xludf.DUMMYFUNCTION("""COMPUTED_VALUE"""),2354.0)</f>
        <v>2354</v>
      </c>
      <c r="I13" s="41">
        <f>IFERROR(__xludf.DUMMYFUNCTION("""COMPUTED_VALUE"""),6.0)</f>
        <v>6</v>
      </c>
      <c r="J13" s="45">
        <f>IFERROR(__xludf.DUMMYFUNCTION("""COMPUTED_VALUE"""),14124.0)</f>
        <v>14124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B14" s="41" t="str">
        <f>IFERROR(__xludf.DUMMYFUNCTION("""COMPUTED_VALUE"""),"TW")</f>
        <v>TW</v>
      </c>
      <c r="C14" s="41"/>
      <c r="D14" s="41"/>
      <c r="E14" s="41"/>
      <c r="F14" s="41" t="str">
        <f>IFERROR(__xludf.DUMMYFUNCTION("""COMPUTED_VALUE"""),"客戶價值中心")</f>
        <v>客戶價值中心</v>
      </c>
      <c r="G14" s="41" t="str">
        <f>IFERROR(__xludf.DUMMYFUNCTION("""COMPUTED_VALUE"""),"Tableau (Creator)")</f>
        <v>Tableau (Creator)</v>
      </c>
      <c r="H14" s="45">
        <f>IFERROR(__xludf.DUMMYFUNCTION("""COMPUTED_VALUE"""),2354.0)</f>
        <v>2354</v>
      </c>
      <c r="I14" s="41">
        <f>IFERROR(__xludf.DUMMYFUNCTION("""COMPUTED_VALUE"""),1.0)</f>
        <v>1</v>
      </c>
      <c r="J14" s="45">
        <f>IFERROR(__xludf.DUMMYFUNCTION("""COMPUTED_VALUE"""),2354.0)</f>
        <v>2354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B15" s="41" t="str">
        <f>IFERROR(__xludf.DUMMYFUNCTION("""COMPUTED_VALUE"""),"TW")</f>
        <v>TW</v>
      </c>
      <c r="C15" s="41"/>
      <c r="D15" s="41"/>
      <c r="E15" s="41"/>
      <c r="F15" s="41" t="str">
        <f>IFERROR(__xludf.DUMMYFUNCTION("""COMPUTED_VALUE"""),"管理中心")</f>
        <v>管理中心</v>
      </c>
      <c r="G15" s="41" t="str">
        <f>IFERROR(__xludf.DUMMYFUNCTION("""COMPUTED_VALUE"""),"Tableau (Creator)")</f>
        <v>Tableau (Creator)</v>
      </c>
      <c r="H15" s="45">
        <f>IFERROR(__xludf.DUMMYFUNCTION("""COMPUTED_VALUE"""),2354.0)</f>
        <v>2354</v>
      </c>
      <c r="I15" s="41">
        <f>IFERROR(__xludf.DUMMYFUNCTION("""COMPUTED_VALUE"""),0.0)</f>
        <v>0</v>
      </c>
      <c r="J15" s="45">
        <f>IFERROR(__xludf.DUMMYFUNCTION("""COMPUTED_VALUE"""),0.0)</f>
        <v>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B16" s="41" t="str">
        <f>IFERROR(__xludf.DUMMYFUNCTION("""COMPUTED_VALUE"""),"TW")</f>
        <v>TW</v>
      </c>
      <c r="C16" s="41"/>
      <c r="D16" s="41"/>
      <c r="E16" s="41"/>
      <c r="F16" s="41" t="str">
        <f>IFERROR(__xludf.DUMMYFUNCTION("""COMPUTED_VALUE"""),"執行長室")</f>
        <v>執行長室</v>
      </c>
      <c r="G16" s="41" t="str">
        <f>IFERROR(__xludf.DUMMYFUNCTION("""COMPUTED_VALUE"""),"Tableau (Creator)")</f>
        <v>Tableau (Creator)</v>
      </c>
      <c r="H16" s="45">
        <f>IFERROR(__xludf.DUMMYFUNCTION("""COMPUTED_VALUE"""),2354.0)</f>
        <v>2354</v>
      </c>
      <c r="I16" s="41">
        <f>IFERROR(__xludf.DUMMYFUNCTION("""COMPUTED_VALUE"""),0.0)</f>
        <v>0</v>
      </c>
      <c r="J16" s="45">
        <f>IFERROR(__xludf.DUMMYFUNCTION("""COMPUTED_VALUE"""),0.0)</f>
        <v>0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B17" s="41" t="str">
        <f>IFERROR(__xludf.DUMMYFUNCTION("""COMPUTED_VALUE"""),"TW")</f>
        <v>TW</v>
      </c>
      <c r="C17" s="41"/>
      <c r="D17" s="41"/>
      <c r="E17" s="41"/>
      <c r="F17" s="41" t="str">
        <f>IFERROR(__xludf.DUMMYFUNCTION("""COMPUTED_VALUE"""),"財務中心")</f>
        <v>財務中心</v>
      </c>
      <c r="G17" s="41" t="str">
        <f>IFERROR(__xludf.DUMMYFUNCTION("""COMPUTED_VALUE"""),"Tableau (Creator)")</f>
        <v>Tableau (Creator)</v>
      </c>
      <c r="H17" s="45">
        <f>IFERROR(__xludf.DUMMYFUNCTION("""COMPUTED_VALUE"""),2354.0)</f>
        <v>2354</v>
      </c>
      <c r="I17" s="41">
        <f>IFERROR(__xludf.DUMMYFUNCTION("""COMPUTED_VALUE"""),0.0)</f>
        <v>0</v>
      </c>
      <c r="J17" s="45">
        <f>IFERROR(__xludf.DUMMYFUNCTION("""COMPUTED_VALUE"""),0.0)</f>
        <v>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B18" s="41" t="str">
        <f>IFERROR(__xludf.DUMMYFUNCTION("""COMPUTED_VALUE"""),"QLR")</f>
        <v>QLR</v>
      </c>
      <c r="C18" s="41"/>
      <c r="D18" s="41"/>
      <c r="E18" s="41"/>
      <c r="F18" s="41" t="str">
        <f>IFERROR(__xludf.DUMMYFUNCTION("""COMPUTED_VALUE"""),"Qlieer")</f>
        <v>Qlieer</v>
      </c>
      <c r="G18" s="41" t="str">
        <f>IFERROR(__xludf.DUMMYFUNCTION("""COMPUTED_VALUE"""),"Tableau (Creator)")</f>
        <v>Tableau (Creator)</v>
      </c>
      <c r="H18" s="45">
        <f>IFERROR(__xludf.DUMMYFUNCTION("""COMPUTED_VALUE"""),2354.0)</f>
        <v>2354</v>
      </c>
      <c r="I18" s="41">
        <f>IFERROR(__xludf.DUMMYFUNCTION("""COMPUTED_VALUE"""),0.0)</f>
        <v>0</v>
      </c>
      <c r="J18" s="45">
        <f>IFERROR(__xludf.DUMMYFUNCTION("""COMPUTED_VALUE"""),0.0)</f>
        <v>0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B19" s="41" t="str">
        <f>IFERROR(__xludf.DUMMYFUNCTION("""COMPUTED_VALUE"""),"TW")</f>
        <v>TW</v>
      </c>
      <c r="C19" s="41"/>
      <c r="D19" s="41"/>
      <c r="E19" s="41"/>
      <c r="F19" s="41" t="str">
        <f>IFERROR(__xludf.DUMMYFUNCTION("""COMPUTED_VALUE"""),"策略資料中心")</f>
        <v>策略資料中心</v>
      </c>
      <c r="G19" s="41" t="str">
        <f>IFERROR(__xludf.DUMMYFUNCTION("""COMPUTED_VALUE"""),"Tableau (Creator)")</f>
        <v>Tableau (Creator)</v>
      </c>
      <c r="H19" s="45">
        <f>IFERROR(__xludf.DUMMYFUNCTION("""COMPUTED_VALUE"""),2354.0)</f>
        <v>2354</v>
      </c>
      <c r="I19" s="41">
        <f>IFERROR(__xludf.DUMMYFUNCTION("""COMPUTED_VALUE"""),4.0)</f>
        <v>4</v>
      </c>
      <c r="J19" s="45">
        <f>IFERROR(__xludf.DUMMYFUNCTION("""COMPUTED_VALUE"""),9416.0)</f>
        <v>9416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B20" s="41" t="str">
        <f>IFERROR(__xludf.DUMMYFUNCTION("""COMPUTED_VALUE"""),"HK")</f>
        <v>HK</v>
      </c>
      <c r="C20" s="41"/>
      <c r="D20" s="41"/>
      <c r="E20" s="41"/>
      <c r="F20" s="41" t="str">
        <f>IFERROR(__xludf.DUMMYFUNCTION("""COMPUTED_VALUE"""),"海外執行長室")</f>
        <v>海外執行長室</v>
      </c>
      <c r="G20" s="41" t="str">
        <f>IFERROR(__xludf.DUMMYFUNCTION("""COMPUTED_VALUE"""),"Tableau (Creator)")</f>
        <v>Tableau (Creator)</v>
      </c>
      <c r="H20" s="45">
        <f>IFERROR(__xludf.DUMMYFUNCTION("""COMPUTED_VALUE"""),2354.0)</f>
        <v>2354</v>
      </c>
      <c r="I20" s="41">
        <f>IFERROR(__xludf.DUMMYFUNCTION("""COMPUTED_VALUE"""),0.0)</f>
        <v>0</v>
      </c>
      <c r="J20" s="45">
        <f>IFERROR(__xludf.DUMMYFUNCTION("""COMPUTED_VALUE"""),0.0)</f>
        <v>0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B21" s="41" t="str">
        <f>IFERROR(__xludf.DUMMYFUNCTION("""COMPUTED_VALUE"""),"TW")</f>
        <v>TW</v>
      </c>
      <c r="C21" s="41"/>
      <c r="D21" s="41"/>
      <c r="E21" s="41"/>
      <c r="F21" s="41" t="str">
        <f>IFERROR(__xludf.DUMMYFUNCTION("""COMPUTED_VALUE"""),"行銷營運中心")</f>
        <v>行銷營運中心</v>
      </c>
      <c r="G21" s="41" t="str">
        <f>IFERROR(__xludf.DUMMYFUNCTION("""COMPUTED_VALUE"""),"Tableau (Viewer)")</f>
        <v>Tableau (Viewer)</v>
      </c>
      <c r="H21" s="45">
        <f>IFERROR(__xludf.DUMMYFUNCTION("""COMPUTED_VALUE"""),352.0)</f>
        <v>352</v>
      </c>
      <c r="I21" s="41">
        <f>IFERROR(__xludf.DUMMYFUNCTION("""COMPUTED_VALUE"""),13.0)</f>
        <v>13</v>
      </c>
      <c r="J21" s="45">
        <f>IFERROR(__xludf.DUMMYFUNCTION("""COMPUTED_VALUE"""),4576.0)</f>
        <v>4576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B22" s="41" t="str">
        <f>IFERROR(__xludf.DUMMYFUNCTION("""COMPUTED_VALUE"""),"TW")</f>
        <v>TW</v>
      </c>
      <c r="C22" s="41"/>
      <c r="D22" s="41"/>
      <c r="E22" s="41"/>
      <c r="F22" s="41" t="str">
        <f>IFERROR(__xludf.DUMMYFUNCTION("""COMPUTED_VALUE"""),"研發中心")</f>
        <v>研發中心</v>
      </c>
      <c r="G22" s="41" t="str">
        <f>IFERROR(__xludf.DUMMYFUNCTION("""COMPUTED_VALUE"""),"Tableau (Viewer)")</f>
        <v>Tableau (Viewer)</v>
      </c>
      <c r="H22" s="45">
        <f>IFERROR(__xludf.DUMMYFUNCTION("""COMPUTED_VALUE"""),352.0)</f>
        <v>352</v>
      </c>
      <c r="I22" s="41">
        <f>IFERROR(__xludf.DUMMYFUNCTION("""COMPUTED_VALUE"""),2.0)</f>
        <v>2</v>
      </c>
      <c r="J22" s="45">
        <f>IFERROR(__xludf.DUMMYFUNCTION("""COMPUTED_VALUE"""),704.0)</f>
        <v>704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B23" s="41" t="str">
        <f>IFERROR(__xludf.DUMMYFUNCTION("""COMPUTED_VALUE"""),"TW")</f>
        <v>TW</v>
      </c>
      <c r="C23" s="41"/>
      <c r="D23" s="41"/>
      <c r="E23" s="41"/>
      <c r="F23" s="41" t="str">
        <f>IFERROR(__xludf.DUMMYFUNCTION("""COMPUTED_VALUE"""),"客戶價值中心")</f>
        <v>客戶價值中心</v>
      </c>
      <c r="G23" s="41" t="str">
        <f>IFERROR(__xludf.DUMMYFUNCTION("""COMPUTED_VALUE"""),"Tableau (Viewer)")</f>
        <v>Tableau (Viewer)</v>
      </c>
      <c r="H23" s="45">
        <f>IFERROR(__xludf.DUMMYFUNCTION("""COMPUTED_VALUE"""),352.0)</f>
        <v>352</v>
      </c>
      <c r="I23" s="41">
        <f>IFERROR(__xludf.DUMMYFUNCTION("""COMPUTED_VALUE"""),2.0)</f>
        <v>2</v>
      </c>
      <c r="J23" s="45">
        <f>IFERROR(__xludf.DUMMYFUNCTION("""COMPUTED_VALUE"""),704.0)</f>
        <v>704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B24" s="41" t="str">
        <f>IFERROR(__xludf.DUMMYFUNCTION("""COMPUTED_VALUE"""),"TW")</f>
        <v>TW</v>
      </c>
      <c r="C24" s="41"/>
      <c r="D24" s="41"/>
      <c r="E24" s="41"/>
      <c r="F24" s="41" t="str">
        <f>IFERROR(__xludf.DUMMYFUNCTION("""COMPUTED_VALUE"""),"管理中心")</f>
        <v>管理中心</v>
      </c>
      <c r="G24" s="41" t="str">
        <f>IFERROR(__xludf.DUMMYFUNCTION("""COMPUTED_VALUE"""),"Tableau (Viewer)")</f>
        <v>Tableau (Viewer)</v>
      </c>
      <c r="H24" s="45">
        <f>IFERROR(__xludf.DUMMYFUNCTION("""COMPUTED_VALUE"""),352.0)</f>
        <v>352</v>
      </c>
      <c r="I24" s="41">
        <f>IFERROR(__xludf.DUMMYFUNCTION("""COMPUTED_VALUE"""),0.0)</f>
        <v>0</v>
      </c>
      <c r="J24" s="45">
        <f>IFERROR(__xludf.DUMMYFUNCTION("""COMPUTED_VALUE"""),0.0)</f>
        <v>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B25" s="41" t="str">
        <f>IFERROR(__xludf.DUMMYFUNCTION("""COMPUTED_VALUE"""),"TW")</f>
        <v>TW</v>
      </c>
      <c r="C25" s="41"/>
      <c r="D25" s="41"/>
      <c r="E25" s="41"/>
      <c r="F25" s="41" t="str">
        <f>IFERROR(__xludf.DUMMYFUNCTION("""COMPUTED_VALUE"""),"執行長室")</f>
        <v>執行長室</v>
      </c>
      <c r="G25" s="41" t="str">
        <f>IFERROR(__xludf.DUMMYFUNCTION("""COMPUTED_VALUE"""),"Tableau (Viewer)")</f>
        <v>Tableau (Viewer)</v>
      </c>
      <c r="H25" s="45">
        <f>IFERROR(__xludf.DUMMYFUNCTION("""COMPUTED_VALUE"""),352.0)</f>
        <v>352</v>
      </c>
      <c r="I25" s="41">
        <f>IFERROR(__xludf.DUMMYFUNCTION("""COMPUTED_VALUE"""),2.0)</f>
        <v>2</v>
      </c>
      <c r="J25" s="45">
        <f>IFERROR(__xludf.DUMMYFUNCTION("""COMPUTED_VALUE"""),704.0)</f>
        <v>704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B26" s="41" t="str">
        <f>IFERROR(__xludf.DUMMYFUNCTION("""COMPUTED_VALUE"""),"TW")</f>
        <v>TW</v>
      </c>
      <c r="C26" s="41"/>
      <c r="D26" s="41"/>
      <c r="E26" s="41"/>
      <c r="F26" s="41" t="str">
        <f>IFERROR(__xludf.DUMMYFUNCTION("""COMPUTED_VALUE"""),"財務中心")</f>
        <v>財務中心</v>
      </c>
      <c r="G26" s="41" t="str">
        <f>IFERROR(__xludf.DUMMYFUNCTION("""COMPUTED_VALUE"""),"Tableau (Viewer)")</f>
        <v>Tableau (Viewer)</v>
      </c>
      <c r="H26" s="45">
        <f>IFERROR(__xludf.DUMMYFUNCTION("""COMPUTED_VALUE"""),352.0)</f>
        <v>352</v>
      </c>
      <c r="I26" s="41">
        <f>IFERROR(__xludf.DUMMYFUNCTION("""COMPUTED_VALUE"""),5.0)</f>
        <v>5</v>
      </c>
      <c r="J26" s="45">
        <f>IFERROR(__xludf.DUMMYFUNCTION("""COMPUTED_VALUE"""),1760.0)</f>
        <v>1760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B27" s="41" t="str">
        <f>IFERROR(__xludf.DUMMYFUNCTION("""COMPUTED_VALUE"""),"QLR")</f>
        <v>QLR</v>
      </c>
      <c r="C27" s="41"/>
      <c r="D27" s="41"/>
      <c r="E27" s="41"/>
      <c r="F27" s="41" t="str">
        <f>IFERROR(__xludf.DUMMYFUNCTION("""COMPUTED_VALUE"""),"Qlieer")</f>
        <v>Qlieer</v>
      </c>
      <c r="G27" s="41" t="str">
        <f>IFERROR(__xludf.DUMMYFUNCTION("""COMPUTED_VALUE"""),"Tableau (Viewer)")</f>
        <v>Tableau (Viewer)</v>
      </c>
      <c r="H27" s="45">
        <f>IFERROR(__xludf.DUMMYFUNCTION("""COMPUTED_VALUE"""),352.0)</f>
        <v>352</v>
      </c>
      <c r="I27" s="41">
        <f>IFERROR(__xludf.DUMMYFUNCTION("""COMPUTED_VALUE"""),1.0)</f>
        <v>1</v>
      </c>
      <c r="J27" s="45">
        <f>IFERROR(__xludf.DUMMYFUNCTION("""COMPUTED_VALUE"""),352.0)</f>
        <v>352</v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B28" s="41" t="str">
        <f>IFERROR(__xludf.DUMMYFUNCTION("""COMPUTED_VALUE"""),"TW")</f>
        <v>TW</v>
      </c>
      <c r="C28" s="41"/>
      <c r="D28" s="41"/>
      <c r="E28" s="41"/>
      <c r="F28" s="41" t="str">
        <f>IFERROR(__xludf.DUMMYFUNCTION("""COMPUTED_VALUE"""),"策略資料中心")</f>
        <v>策略資料中心</v>
      </c>
      <c r="G28" s="41" t="str">
        <f>IFERROR(__xludf.DUMMYFUNCTION("""COMPUTED_VALUE"""),"Tableau (Viewer)")</f>
        <v>Tableau (Viewer)</v>
      </c>
      <c r="H28" s="45">
        <f>IFERROR(__xludf.DUMMYFUNCTION("""COMPUTED_VALUE"""),352.0)</f>
        <v>352</v>
      </c>
      <c r="I28" s="41">
        <f>IFERROR(__xludf.DUMMYFUNCTION("""COMPUTED_VALUE"""),0.0)</f>
        <v>0</v>
      </c>
      <c r="J28" s="45">
        <f>IFERROR(__xludf.DUMMYFUNCTION("""COMPUTED_VALUE"""),0.0)</f>
        <v>0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B29" s="41" t="str">
        <f>IFERROR(__xludf.DUMMYFUNCTION("""COMPUTED_VALUE"""),"HK")</f>
        <v>HK</v>
      </c>
      <c r="C29" s="41"/>
      <c r="D29" s="41"/>
      <c r="E29" s="41"/>
      <c r="F29" s="41" t="str">
        <f>IFERROR(__xludf.DUMMYFUNCTION("""COMPUTED_VALUE"""),"海外執行長室")</f>
        <v>海外執行長室</v>
      </c>
      <c r="G29" s="41" t="str">
        <f>IFERROR(__xludf.DUMMYFUNCTION("""COMPUTED_VALUE"""),"Tableau (Viewer)")</f>
        <v>Tableau (Viewer)</v>
      </c>
      <c r="H29" s="45">
        <f>IFERROR(__xludf.DUMMYFUNCTION("""COMPUTED_VALUE"""),352.0)</f>
        <v>352</v>
      </c>
      <c r="I29" s="41">
        <f>IFERROR(__xludf.DUMMYFUNCTION("""COMPUTED_VALUE"""),0.0)</f>
        <v>0</v>
      </c>
      <c r="J29" s="45">
        <f>IFERROR(__xludf.DUMMYFUNCTION("""COMPUTED_VALUE"""),0.0)</f>
        <v>0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B30" s="41" t="str">
        <f>IFERROR(__xludf.DUMMYFUNCTION("""COMPUTED_VALUE"""),"TW")</f>
        <v>TW</v>
      </c>
      <c r="C30" s="41"/>
      <c r="D30" s="41"/>
      <c r="E30" s="41"/>
      <c r="F30" s="41" t="str">
        <f>IFERROR(__xludf.DUMMYFUNCTION("""COMPUTED_VALUE"""),"行銷營運中心")</f>
        <v>行銷營運中心</v>
      </c>
      <c r="G30" s="41" t="str">
        <f>IFERROR(__xludf.DUMMYFUNCTION("""COMPUTED_VALUE"""),"Office")</f>
        <v>Office</v>
      </c>
      <c r="H30" s="61">
        <f>IFERROR(__xludf.DUMMYFUNCTION("""COMPUTED_VALUE"""),254.0)</f>
        <v>254</v>
      </c>
      <c r="I30" s="41">
        <f>IFERROR(__xludf.DUMMYFUNCTION("""COMPUTED_VALUE"""),18.0)</f>
        <v>18</v>
      </c>
      <c r="J30" s="41">
        <f>IFERROR(__xludf.DUMMYFUNCTION("""COMPUTED_VALUE"""),4572.0)</f>
        <v>4572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B31" s="41" t="str">
        <f>IFERROR(__xludf.DUMMYFUNCTION("""COMPUTED_VALUE"""),"TW")</f>
        <v>TW</v>
      </c>
      <c r="C31" s="41"/>
      <c r="D31" s="41"/>
      <c r="E31" s="41"/>
      <c r="F31" s="41" t="str">
        <f>IFERROR(__xludf.DUMMYFUNCTION("""COMPUTED_VALUE"""),"研發中心")</f>
        <v>研發中心</v>
      </c>
      <c r="G31" s="41" t="str">
        <f>IFERROR(__xludf.DUMMYFUNCTION("""COMPUTED_VALUE"""),"Office")</f>
        <v>Office</v>
      </c>
      <c r="H31" s="61">
        <f>IFERROR(__xludf.DUMMYFUNCTION("""COMPUTED_VALUE"""),254.0)</f>
        <v>254</v>
      </c>
      <c r="I31" s="41">
        <f>IFERROR(__xludf.DUMMYFUNCTION("""COMPUTED_VALUE"""),0.0)</f>
        <v>0</v>
      </c>
      <c r="J31" s="41">
        <f>IFERROR(__xludf.DUMMYFUNCTION("""COMPUTED_VALUE"""),0.0)</f>
        <v>0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B32" s="41" t="str">
        <f>IFERROR(__xludf.DUMMYFUNCTION("""COMPUTED_VALUE"""),"TW")</f>
        <v>TW</v>
      </c>
      <c r="C32" s="41"/>
      <c r="D32" s="41"/>
      <c r="E32" s="41"/>
      <c r="F32" s="41" t="str">
        <f>IFERROR(__xludf.DUMMYFUNCTION("""COMPUTED_VALUE"""),"客戶價值中心")</f>
        <v>客戶價值中心</v>
      </c>
      <c r="G32" s="41" t="str">
        <f>IFERROR(__xludf.DUMMYFUNCTION("""COMPUTED_VALUE"""),"Office")</f>
        <v>Office</v>
      </c>
      <c r="H32" s="61">
        <f>IFERROR(__xludf.DUMMYFUNCTION("""COMPUTED_VALUE"""),254.0)</f>
        <v>254</v>
      </c>
      <c r="I32" s="41">
        <f>IFERROR(__xludf.DUMMYFUNCTION("""COMPUTED_VALUE"""),9.0)</f>
        <v>9</v>
      </c>
      <c r="J32" s="41">
        <f>IFERROR(__xludf.DUMMYFUNCTION("""COMPUTED_VALUE"""),2286.0)</f>
        <v>2286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B33" s="41" t="str">
        <f>IFERROR(__xludf.DUMMYFUNCTION("""COMPUTED_VALUE"""),"TW")</f>
        <v>TW</v>
      </c>
      <c r="C33" s="41"/>
      <c r="D33" s="41"/>
      <c r="E33" s="41"/>
      <c r="F33" s="41" t="str">
        <f>IFERROR(__xludf.DUMMYFUNCTION("""COMPUTED_VALUE"""),"管理中心")</f>
        <v>管理中心</v>
      </c>
      <c r="G33" s="41" t="str">
        <f>IFERROR(__xludf.DUMMYFUNCTION("""COMPUTED_VALUE"""),"Office")</f>
        <v>Office</v>
      </c>
      <c r="H33" s="61">
        <f>IFERROR(__xludf.DUMMYFUNCTION("""COMPUTED_VALUE"""),254.0)</f>
        <v>254</v>
      </c>
      <c r="I33" s="41">
        <f>IFERROR(__xludf.DUMMYFUNCTION("""COMPUTED_VALUE"""),6.0)</f>
        <v>6</v>
      </c>
      <c r="J33" s="41">
        <f>IFERROR(__xludf.DUMMYFUNCTION("""COMPUTED_VALUE"""),1524.0)</f>
        <v>1524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B34" s="41" t="str">
        <f>IFERROR(__xludf.DUMMYFUNCTION("""COMPUTED_VALUE"""),"TW")</f>
        <v>TW</v>
      </c>
      <c r="C34" s="41"/>
      <c r="D34" s="41"/>
      <c r="E34" s="41"/>
      <c r="F34" s="41" t="str">
        <f>IFERROR(__xludf.DUMMYFUNCTION("""COMPUTED_VALUE"""),"執行長室")</f>
        <v>執行長室</v>
      </c>
      <c r="G34" s="41" t="str">
        <f>IFERROR(__xludf.DUMMYFUNCTION("""COMPUTED_VALUE"""),"Office")</f>
        <v>Office</v>
      </c>
      <c r="H34" s="61">
        <f>IFERROR(__xludf.DUMMYFUNCTION("""COMPUTED_VALUE"""),254.0)</f>
        <v>254</v>
      </c>
      <c r="I34" s="41">
        <f>IFERROR(__xludf.DUMMYFUNCTION("""COMPUTED_VALUE"""),1.0)</f>
        <v>1</v>
      </c>
      <c r="J34" s="41">
        <f>IFERROR(__xludf.DUMMYFUNCTION("""COMPUTED_VALUE"""),254.0)</f>
        <v>254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B35" s="41" t="str">
        <f>IFERROR(__xludf.DUMMYFUNCTION("""COMPUTED_VALUE"""),"TW")</f>
        <v>TW</v>
      </c>
      <c r="C35" s="41"/>
      <c r="D35" s="41"/>
      <c r="E35" s="41"/>
      <c r="F35" s="41" t="str">
        <f>IFERROR(__xludf.DUMMYFUNCTION("""COMPUTED_VALUE"""),"財務中心")</f>
        <v>財務中心</v>
      </c>
      <c r="G35" s="41" t="str">
        <f>IFERROR(__xludf.DUMMYFUNCTION("""COMPUTED_VALUE"""),"Office")</f>
        <v>Office</v>
      </c>
      <c r="H35" s="61">
        <f>IFERROR(__xludf.DUMMYFUNCTION("""COMPUTED_VALUE"""),254.0)</f>
        <v>254</v>
      </c>
      <c r="I35" s="41">
        <f>IFERROR(__xludf.DUMMYFUNCTION("""COMPUTED_VALUE"""),3.0)</f>
        <v>3</v>
      </c>
      <c r="J35" s="41">
        <f>IFERROR(__xludf.DUMMYFUNCTION("""COMPUTED_VALUE"""),762.0)</f>
        <v>762</v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B36" s="41" t="str">
        <f>IFERROR(__xludf.DUMMYFUNCTION("""COMPUTED_VALUE"""),"QLR")</f>
        <v>QLR</v>
      </c>
      <c r="C36" s="41"/>
      <c r="D36" s="41"/>
      <c r="E36" s="41"/>
      <c r="F36" s="41" t="str">
        <f>IFERROR(__xludf.DUMMYFUNCTION("""COMPUTED_VALUE"""),"Qlieer")</f>
        <v>Qlieer</v>
      </c>
      <c r="G36" s="41" t="str">
        <f>IFERROR(__xludf.DUMMYFUNCTION("""COMPUTED_VALUE"""),"Office")</f>
        <v>Office</v>
      </c>
      <c r="H36" s="61">
        <f>IFERROR(__xludf.DUMMYFUNCTION("""COMPUTED_VALUE"""),254.0)</f>
        <v>254</v>
      </c>
      <c r="I36" s="41">
        <f>IFERROR(__xludf.DUMMYFUNCTION("""COMPUTED_VALUE"""),0.0)</f>
        <v>0</v>
      </c>
      <c r="J36" s="41">
        <f>IFERROR(__xludf.DUMMYFUNCTION("""COMPUTED_VALUE"""),0.0)</f>
        <v>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B37" s="41" t="str">
        <f>IFERROR(__xludf.DUMMYFUNCTION("""COMPUTED_VALUE"""),"TW")</f>
        <v>TW</v>
      </c>
      <c r="C37" s="41"/>
      <c r="D37" s="41"/>
      <c r="E37" s="41"/>
      <c r="F37" s="41" t="str">
        <f>IFERROR(__xludf.DUMMYFUNCTION("""COMPUTED_VALUE"""),"策略資料中心")</f>
        <v>策略資料中心</v>
      </c>
      <c r="G37" s="41" t="str">
        <f>IFERROR(__xludf.DUMMYFUNCTION("""COMPUTED_VALUE"""),"Office")</f>
        <v>Office</v>
      </c>
      <c r="H37" s="61">
        <f>IFERROR(__xludf.DUMMYFUNCTION("""COMPUTED_VALUE"""),254.0)</f>
        <v>254</v>
      </c>
      <c r="I37" s="41">
        <f>IFERROR(__xludf.DUMMYFUNCTION("""COMPUTED_VALUE"""),1.0)</f>
        <v>1</v>
      </c>
      <c r="J37" s="41">
        <f>IFERROR(__xludf.DUMMYFUNCTION("""COMPUTED_VALUE"""),254.0)</f>
        <v>254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B38" s="41" t="str">
        <f>IFERROR(__xludf.DUMMYFUNCTION("""COMPUTED_VALUE"""),"HK")</f>
        <v>HK</v>
      </c>
      <c r="C38" s="41"/>
      <c r="D38" s="41"/>
      <c r="E38" s="41"/>
      <c r="F38" s="41" t="str">
        <f>IFERROR(__xludf.DUMMYFUNCTION("""COMPUTED_VALUE"""),"海外執行長室")</f>
        <v>海外執行長室</v>
      </c>
      <c r="G38" s="41" t="str">
        <f>IFERROR(__xludf.DUMMYFUNCTION("""COMPUTED_VALUE"""),"Office")</f>
        <v>Office</v>
      </c>
      <c r="H38" s="61">
        <f>IFERROR(__xludf.DUMMYFUNCTION("""COMPUTED_VALUE"""),254.0)</f>
        <v>254</v>
      </c>
      <c r="I38" s="41">
        <f>IFERROR(__xludf.DUMMYFUNCTION("""COMPUTED_VALUE"""),0.0)</f>
        <v>0</v>
      </c>
      <c r="J38" s="41">
        <f>IFERROR(__xludf.DUMMYFUNCTION("""COMPUTED_VALUE"""),0.0)</f>
        <v>0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B39" s="41" t="str">
        <f>IFERROR(__xludf.DUMMYFUNCTION("""COMPUTED_VALUE"""),"TW")</f>
        <v>TW</v>
      </c>
      <c r="C39" s="41"/>
      <c r="D39" s="41"/>
      <c r="E39" s="41"/>
      <c r="F39" s="41" t="str">
        <f>IFERROR(__xludf.DUMMYFUNCTION("""COMPUTED_VALUE"""),"行銷營運中心")</f>
        <v>行銷營運中心</v>
      </c>
      <c r="G39" s="41" t="str">
        <f>IFERROR(__xludf.DUMMYFUNCTION("""COMPUTED_VALUE"""),"Adobe Creative Cloud")</f>
        <v>Adobe Creative Cloud</v>
      </c>
      <c r="H39" s="62">
        <f>IFERROR(__xludf.DUMMYFUNCTION("""COMPUTED_VALUE"""),3000.0)</f>
        <v>3000</v>
      </c>
      <c r="I39" s="41">
        <f>IFERROR(__xludf.DUMMYFUNCTION("""COMPUTED_VALUE"""),4.0)</f>
        <v>4</v>
      </c>
      <c r="J39" s="62">
        <f>IFERROR(__xludf.DUMMYFUNCTION("""COMPUTED_VALUE"""),12000.0)</f>
        <v>12000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B40" s="41" t="str">
        <f>IFERROR(__xludf.DUMMYFUNCTION("""COMPUTED_VALUE"""),"TW")</f>
        <v>TW</v>
      </c>
      <c r="C40" s="41"/>
      <c r="D40" s="41"/>
      <c r="E40" s="41"/>
      <c r="F40" s="41" t="str">
        <f>IFERROR(__xludf.DUMMYFUNCTION("""COMPUTED_VALUE"""),"研發中心")</f>
        <v>研發中心</v>
      </c>
      <c r="G40" s="41" t="str">
        <f>IFERROR(__xludf.DUMMYFUNCTION("""COMPUTED_VALUE"""),"Adobe Creative Cloud")</f>
        <v>Adobe Creative Cloud</v>
      </c>
      <c r="H40" s="62">
        <f>IFERROR(__xludf.DUMMYFUNCTION("""COMPUTED_VALUE"""),3000.0)</f>
        <v>3000</v>
      </c>
      <c r="I40" s="41">
        <f>IFERROR(__xludf.DUMMYFUNCTION("""COMPUTED_VALUE"""),0.0)</f>
        <v>0</v>
      </c>
      <c r="J40" s="62">
        <f>IFERROR(__xludf.DUMMYFUNCTION("""COMPUTED_VALUE"""),0.0)</f>
        <v>0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B41" s="41" t="str">
        <f>IFERROR(__xludf.DUMMYFUNCTION("""COMPUTED_VALUE"""),"TW")</f>
        <v>TW</v>
      </c>
      <c r="C41" s="41"/>
      <c r="D41" s="41"/>
      <c r="E41" s="41"/>
      <c r="F41" s="41" t="str">
        <f>IFERROR(__xludf.DUMMYFUNCTION("""COMPUTED_VALUE"""),"客戶價值中心")</f>
        <v>客戶價值中心</v>
      </c>
      <c r="G41" s="41" t="str">
        <f>IFERROR(__xludf.DUMMYFUNCTION("""COMPUTED_VALUE"""),"Adobe Creative Cloud")</f>
        <v>Adobe Creative Cloud</v>
      </c>
      <c r="H41" s="62">
        <f>IFERROR(__xludf.DUMMYFUNCTION("""COMPUTED_VALUE"""),3000.0)</f>
        <v>3000</v>
      </c>
      <c r="I41" s="41">
        <f>IFERROR(__xludf.DUMMYFUNCTION("""COMPUTED_VALUE"""),0.0)</f>
        <v>0</v>
      </c>
      <c r="J41" s="62">
        <f>IFERROR(__xludf.DUMMYFUNCTION("""COMPUTED_VALUE"""),0.0)</f>
        <v>0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B42" s="41" t="str">
        <f>IFERROR(__xludf.DUMMYFUNCTION("""COMPUTED_VALUE"""),"TW")</f>
        <v>TW</v>
      </c>
      <c r="C42" s="41"/>
      <c r="D42" s="41"/>
      <c r="E42" s="41"/>
      <c r="F42" s="41" t="str">
        <f>IFERROR(__xludf.DUMMYFUNCTION("""COMPUTED_VALUE"""),"管理中心")</f>
        <v>管理中心</v>
      </c>
      <c r="G42" s="41" t="str">
        <f>IFERROR(__xludf.DUMMYFUNCTION("""COMPUTED_VALUE"""),"Adobe Creative Cloud")</f>
        <v>Adobe Creative Cloud</v>
      </c>
      <c r="H42" s="62">
        <f>IFERROR(__xludf.DUMMYFUNCTION("""COMPUTED_VALUE"""),3000.0)</f>
        <v>3000</v>
      </c>
      <c r="I42" s="41">
        <f>IFERROR(__xludf.DUMMYFUNCTION("""COMPUTED_VALUE"""),0.0)</f>
        <v>0</v>
      </c>
      <c r="J42" s="62">
        <f>IFERROR(__xludf.DUMMYFUNCTION("""COMPUTED_VALUE"""),0.0)</f>
        <v>0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B43" s="41" t="str">
        <f>IFERROR(__xludf.DUMMYFUNCTION("""COMPUTED_VALUE"""),"TW")</f>
        <v>TW</v>
      </c>
      <c r="C43" s="41"/>
      <c r="D43" s="41"/>
      <c r="E43" s="41"/>
      <c r="F43" s="41" t="str">
        <f>IFERROR(__xludf.DUMMYFUNCTION("""COMPUTED_VALUE"""),"執行長室")</f>
        <v>執行長室</v>
      </c>
      <c r="G43" s="41" t="str">
        <f>IFERROR(__xludf.DUMMYFUNCTION("""COMPUTED_VALUE"""),"Adobe Creative Cloud")</f>
        <v>Adobe Creative Cloud</v>
      </c>
      <c r="H43" s="62">
        <f>IFERROR(__xludf.DUMMYFUNCTION("""COMPUTED_VALUE"""),3000.0)</f>
        <v>3000</v>
      </c>
      <c r="I43" s="41">
        <f>IFERROR(__xludf.DUMMYFUNCTION("""COMPUTED_VALUE"""),0.0)</f>
        <v>0</v>
      </c>
      <c r="J43" s="62">
        <f>IFERROR(__xludf.DUMMYFUNCTION("""COMPUTED_VALUE"""),0.0)</f>
        <v>0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B44" s="41" t="str">
        <f>IFERROR(__xludf.DUMMYFUNCTION("""COMPUTED_VALUE"""),"TW")</f>
        <v>TW</v>
      </c>
      <c r="C44" s="41"/>
      <c r="D44" s="41"/>
      <c r="E44" s="41"/>
      <c r="F44" s="41" t="str">
        <f>IFERROR(__xludf.DUMMYFUNCTION("""COMPUTED_VALUE"""),"財務中心")</f>
        <v>財務中心</v>
      </c>
      <c r="G44" s="41" t="str">
        <f>IFERROR(__xludf.DUMMYFUNCTION("""COMPUTED_VALUE"""),"Adobe Creative Cloud")</f>
        <v>Adobe Creative Cloud</v>
      </c>
      <c r="H44" s="62">
        <f>IFERROR(__xludf.DUMMYFUNCTION("""COMPUTED_VALUE"""),3000.0)</f>
        <v>3000</v>
      </c>
      <c r="I44" s="41">
        <f>IFERROR(__xludf.DUMMYFUNCTION("""COMPUTED_VALUE"""),0.0)</f>
        <v>0</v>
      </c>
      <c r="J44" s="62">
        <f>IFERROR(__xludf.DUMMYFUNCTION("""COMPUTED_VALUE"""),0.0)</f>
        <v>0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B45" s="41" t="str">
        <f>IFERROR(__xludf.DUMMYFUNCTION("""COMPUTED_VALUE"""),"QLR")</f>
        <v>QLR</v>
      </c>
      <c r="C45" s="41"/>
      <c r="D45" s="41"/>
      <c r="E45" s="41"/>
      <c r="F45" s="41" t="str">
        <f>IFERROR(__xludf.DUMMYFUNCTION("""COMPUTED_VALUE"""),"Qlieer")</f>
        <v>Qlieer</v>
      </c>
      <c r="G45" s="41" t="str">
        <f>IFERROR(__xludf.DUMMYFUNCTION("""COMPUTED_VALUE"""),"Adobe Creative Cloud")</f>
        <v>Adobe Creative Cloud</v>
      </c>
      <c r="H45" s="62">
        <f>IFERROR(__xludf.DUMMYFUNCTION("""COMPUTED_VALUE"""),3000.0)</f>
        <v>3000</v>
      </c>
      <c r="I45" s="41">
        <f>IFERROR(__xludf.DUMMYFUNCTION("""COMPUTED_VALUE"""),0.0)</f>
        <v>0</v>
      </c>
      <c r="J45" s="62">
        <f>IFERROR(__xludf.DUMMYFUNCTION("""COMPUTED_VALUE"""),0.0)</f>
        <v>0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B46" s="41" t="str">
        <f>IFERROR(__xludf.DUMMYFUNCTION("""COMPUTED_VALUE"""),"TW")</f>
        <v>TW</v>
      </c>
      <c r="C46" s="41"/>
      <c r="D46" s="41"/>
      <c r="E46" s="41"/>
      <c r="F46" s="41" t="str">
        <f>IFERROR(__xludf.DUMMYFUNCTION("""COMPUTED_VALUE"""),"策略資料中心")</f>
        <v>策略資料中心</v>
      </c>
      <c r="G46" s="41" t="str">
        <f>IFERROR(__xludf.DUMMYFUNCTION("""COMPUTED_VALUE"""),"Adobe Creative Cloud")</f>
        <v>Adobe Creative Cloud</v>
      </c>
      <c r="H46" s="62">
        <f>IFERROR(__xludf.DUMMYFUNCTION("""COMPUTED_VALUE"""),3000.0)</f>
        <v>3000</v>
      </c>
      <c r="I46" s="41">
        <f>IFERROR(__xludf.DUMMYFUNCTION("""COMPUTED_VALUE"""),0.0)</f>
        <v>0</v>
      </c>
      <c r="J46" s="62">
        <f>IFERROR(__xludf.DUMMYFUNCTION("""COMPUTED_VALUE"""),0.0)</f>
        <v>0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B47" s="41" t="str">
        <f>IFERROR(__xludf.DUMMYFUNCTION("""COMPUTED_VALUE"""),"HK")</f>
        <v>HK</v>
      </c>
      <c r="C47" s="41"/>
      <c r="D47" s="41"/>
      <c r="E47" s="41"/>
      <c r="F47" s="41" t="str">
        <f>IFERROR(__xludf.DUMMYFUNCTION("""COMPUTED_VALUE"""),"海外執行長室")</f>
        <v>海外執行長室</v>
      </c>
      <c r="G47" s="41" t="str">
        <f>IFERROR(__xludf.DUMMYFUNCTION("""COMPUTED_VALUE"""),"Adobe Creative Cloud")</f>
        <v>Adobe Creative Cloud</v>
      </c>
      <c r="H47" s="62">
        <f>IFERROR(__xludf.DUMMYFUNCTION("""COMPUTED_VALUE"""),3000.0)</f>
        <v>3000</v>
      </c>
      <c r="I47" s="41">
        <f>IFERROR(__xludf.DUMMYFUNCTION("""COMPUTED_VALUE"""),0.0)</f>
        <v>0</v>
      </c>
      <c r="J47" s="62">
        <f>IFERROR(__xludf.DUMMYFUNCTION("""COMPUTED_VALUE"""),0.0)</f>
        <v>0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B48" s="41" t="str">
        <f>IFERROR(__xludf.DUMMYFUNCTION("""COMPUTED_VALUE"""),"TW")</f>
        <v>TW</v>
      </c>
      <c r="C48" s="41"/>
      <c r="D48" s="41"/>
      <c r="E48" s="41"/>
      <c r="F48" s="41" t="str">
        <f>IFERROR(__xludf.DUMMYFUNCTION("""COMPUTED_VALUE"""),"行銷營運中心")</f>
        <v>行銷營運中心</v>
      </c>
      <c r="G48" s="41" t="str">
        <f>IFERROR(__xludf.DUMMYFUNCTION("""COMPUTED_VALUE"""),"Adobe Arcobat")</f>
        <v>Adobe Arcobat</v>
      </c>
      <c r="H48" s="62">
        <f>IFERROR(__xludf.DUMMYFUNCTION("""COMPUTED_VALUE"""),510.0)</f>
        <v>510</v>
      </c>
      <c r="I48" s="41">
        <f>IFERROR(__xludf.DUMMYFUNCTION("""COMPUTED_VALUE"""),0.0)</f>
        <v>0</v>
      </c>
      <c r="J48" s="62">
        <f>IFERROR(__xludf.DUMMYFUNCTION("""COMPUTED_VALUE"""),0.0)</f>
        <v>0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B49" s="41" t="str">
        <f>IFERROR(__xludf.DUMMYFUNCTION("""COMPUTED_VALUE"""),"TW")</f>
        <v>TW</v>
      </c>
      <c r="C49" s="41"/>
      <c r="D49" s="41"/>
      <c r="E49" s="41"/>
      <c r="F49" s="41" t="str">
        <f>IFERROR(__xludf.DUMMYFUNCTION("""COMPUTED_VALUE"""),"研發中心")</f>
        <v>研發中心</v>
      </c>
      <c r="G49" s="41" t="str">
        <f>IFERROR(__xludf.DUMMYFUNCTION("""COMPUTED_VALUE"""),"Adobe Arcobat")</f>
        <v>Adobe Arcobat</v>
      </c>
      <c r="H49" s="62">
        <f>IFERROR(__xludf.DUMMYFUNCTION("""COMPUTED_VALUE"""),510.0)</f>
        <v>510</v>
      </c>
      <c r="I49" s="41">
        <f>IFERROR(__xludf.DUMMYFUNCTION("""COMPUTED_VALUE"""),0.0)</f>
        <v>0</v>
      </c>
      <c r="J49" s="62">
        <f>IFERROR(__xludf.DUMMYFUNCTION("""COMPUTED_VALUE"""),0.0)</f>
        <v>0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B50" s="41" t="str">
        <f>IFERROR(__xludf.DUMMYFUNCTION("""COMPUTED_VALUE"""),"TW")</f>
        <v>TW</v>
      </c>
      <c r="C50" s="41"/>
      <c r="D50" s="41"/>
      <c r="E50" s="41"/>
      <c r="F50" s="41" t="str">
        <f>IFERROR(__xludf.DUMMYFUNCTION("""COMPUTED_VALUE"""),"客戶價值中心")</f>
        <v>客戶價值中心</v>
      </c>
      <c r="G50" s="41" t="str">
        <f>IFERROR(__xludf.DUMMYFUNCTION("""COMPUTED_VALUE"""),"Adobe Arcobat")</f>
        <v>Adobe Arcobat</v>
      </c>
      <c r="H50" s="62">
        <f>IFERROR(__xludf.DUMMYFUNCTION("""COMPUTED_VALUE"""),510.0)</f>
        <v>510</v>
      </c>
      <c r="I50" s="41">
        <f>IFERROR(__xludf.DUMMYFUNCTION("""COMPUTED_VALUE"""),0.0)</f>
        <v>0</v>
      </c>
      <c r="J50" s="62">
        <f>IFERROR(__xludf.DUMMYFUNCTION("""COMPUTED_VALUE"""),0.0)</f>
        <v>0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B51" s="41" t="str">
        <f>IFERROR(__xludf.DUMMYFUNCTION("""COMPUTED_VALUE"""),"TW")</f>
        <v>TW</v>
      </c>
      <c r="C51" s="41"/>
      <c r="D51" s="41"/>
      <c r="E51" s="41"/>
      <c r="F51" s="41" t="str">
        <f>IFERROR(__xludf.DUMMYFUNCTION("""COMPUTED_VALUE"""),"管理中心")</f>
        <v>管理中心</v>
      </c>
      <c r="G51" s="41" t="str">
        <f>IFERROR(__xludf.DUMMYFUNCTION("""COMPUTED_VALUE"""),"Adobe Arcobat")</f>
        <v>Adobe Arcobat</v>
      </c>
      <c r="H51" s="62">
        <f>IFERROR(__xludf.DUMMYFUNCTION("""COMPUTED_VALUE"""),510.0)</f>
        <v>510</v>
      </c>
      <c r="I51" s="41">
        <f>IFERROR(__xludf.DUMMYFUNCTION("""COMPUTED_VALUE"""),0.0)</f>
        <v>0</v>
      </c>
      <c r="J51" s="62">
        <f>IFERROR(__xludf.DUMMYFUNCTION("""COMPUTED_VALUE"""),0.0)</f>
        <v>0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B52" s="41" t="str">
        <f>IFERROR(__xludf.DUMMYFUNCTION("""COMPUTED_VALUE"""),"TW")</f>
        <v>TW</v>
      </c>
      <c r="C52" s="41"/>
      <c r="D52" s="41"/>
      <c r="E52" s="41"/>
      <c r="F52" s="41" t="str">
        <f>IFERROR(__xludf.DUMMYFUNCTION("""COMPUTED_VALUE"""),"執行長室")</f>
        <v>執行長室</v>
      </c>
      <c r="G52" s="41" t="str">
        <f>IFERROR(__xludf.DUMMYFUNCTION("""COMPUTED_VALUE"""),"Adobe Arcobat")</f>
        <v>Adobe Arcobat</v>
      </c>
      <c r="H52" s="62">
        <f>IFERROR(__xludf.DUMMYFUNCTION("""COMPUTED_VALUE"""),510.0)</f>
        <v>510</v>
      </c>
      <c r="I52" s="41">
        <f>IFERROR(__xludf.DUMMYFUNCTION("""COMPUTED_VALUE"""),1.0)</f>
        <v>1</v>
      </c>
      <c r="J52" s="62">
        <f>IFERROR(__xludf.DUMMYFUNCTION("""COMPUTED_VALUE"""),510.0)</f>
        <v>510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B53" s="41" t="str">
        <f>IFERROR(__xludf.DUMMYFUNCTION("""COMPUTED_VALUE"""),"TW")</f>
        <v>TW</v>
      </c>
      <c r="C53" s="41"/>
      <c r="D53" s="41"/>
      <c r="E53" s="41"/>
      <c r="F53" s="41" t="str">
        <f>IFERROR(__xludf.DUMMYFUNCTION("""COMPUTED_VALUE"""),"財務中心")</f>
        <v>財務中心</v>
      </c>
      <c r="G53" s="41" t="str">
        <f>IFERROR(__xludf.DUMMYFUNCTION("""COMPUTED_VALUE"""),"Adobe Arcobat")</f>
        <v>Adobe Arcobat</v>
      </c>
      <c r="H53" s="62">
        <f>IFERROR(__xludf.DUMMYFUNCTION("""COMPUTED_VALUE"""),510.0)</f>
        <v>510</v>
      </c>
      <c r="I53" s="41">
        <f>IFERROR(__xludf.DUMMYFUNCTION("""COMPUTED_VALUE"""),1.0)</f>
        <v>1</v>
      </c>
      <c r="J53" s="62">
        <f>IFERROR(__xludf.DUMMYFUNCTION("""COMPUTED_VALUE"""),510.0)</f>
        <v>510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B54" s="41" t="str">
        <f>IFERROR(__xludf.DUMMYFUNCTION("""COMPUTED_VALUE"""),"QLR")</f>
        <v>QLR</v>
      </c>
      <c r="C54" s="41"/>
      <c r="D54" s="41"/>
      <c r="E54" s="41"/>
      <c r="F54" s="41" t="str">
        <f>IFERROR(__xludf.DUMMYFUNCTION("""COMPUTED_VALUE"""),"Qlieer")</f>
        <v>Qlieer</v>
      </c>
      <c r="G54" s="41" t="str">
        <f>IFERROR(__xludf.DUMMYFUNCTION("""COMPUTED_VALUE"""),"Adobe Arcobat")</f>
        <v>Adobe Arcobat</v>
      </c>
      <c r="H54" s="62">
        <f>IFERROR(__xludf.DUMMYFUNCTION("""COMPUTED_VALUE"""),510.0)</f>
        <v>510</v>
      </c>
      <c r="I54" s="41">
        <f>IFERROR(__xludf.DUMMYFUNCTION("""COMPUTED_VALUE"""),0.0)</f>
        <v>0</v>
      </c>
      <c r="J54" s="62">
        <f>IFERROR(__xludf.DUMMYFUNCTION("""COMPUTED_VALUE"""),0.0)</f>
        <v>0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B55" s="41" t="str">
        <f>IFERROR(__xludf.DUMMYFUNCTION("""COMPUTED_VALUE"""),"TW")</f>
        <v>TW</v>
      </c>
      <c r="C55" s="41"/>
      <c r="D55" s="41"/>
      <c r="E55" s="41"/>
      <c r="F55" s="41" t="str">
        <f>IFERROR(__xludf.DUMMYFUNCTION("""COMPUTED_VALUE"""),"策略資料中心")</f>
        <v>策略資料中心</v>
      </c>
      <c r="G55" s="41" t="str">
        <f>IFERROR(__xludf.DUMMYFUNCTION("""COMPUTED_VALUE"""),"Adobe Arcobat")</f>
        <v>Adobe Arcobat</v>
      </c>
      <c r="H55" s="62">
        <f>IFERROR(__xludf.DUMMYFUNCTION("""COMPUTED_VALUE"""),510.0)</f>
        <v>510</v>
      </c>
      <c r="I55" s="41">
        <f>IFERROR(__xludf.DUMMYFUNCTION("""COMPUTED_VALUE"""),0.0)</f>
        <v>0</v>
      </c>
      <c r="J55" s="62">
        <f>IFERROR(__xludf.DUMMYFUNCTION("""COMPUTED_VALUE"""),0.0)</f>
        <v>0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B56" s="41" t="str">
        <f>IFERROR(__xludf.DUMMYFUNCTION("""COMPUTED_VALUE"""),"HK")</f>
        <v>HK</v>
      </c>
      <c r="C56" s="41"/>
      <c r="D56" s="41"/>
      <c r="E56" s="41"/>
      <c r="F56" s="41" t="str">
        <f>IFERROR(__xludf.DUMMYFUNCTION("""COMPUTED_VALUE"""),"海外執行長室")</f>
        <v>海外執行長室</v>
      </c>
      <c r="G56" s="41" t="str">
        <f>IFERROR(__xludf.DUMMYFUNCTION("""COMPUTED_VALUE"""),"Adobe Arcobat")</f>
        <v>Adobe Arcobat</v>
      </c>
      <c r="H56" s="62">
        <f>IFERROR(__xludf.DUMMYFUNCTION("""COMPUTED_VALUE"""),510.0)</f>
        <v>510</v>
      </c>
      <c r="I56" s="41">
        <f>IFERROR(__xludf.DUMMYFUNCTION("""COMPUTED_VALUE"""),0.0)</f>
        <v>0</v>
      </c>
      <c r="J56" s="62">
        <f>IFERROR(__xludf.DUMMYFUNCTION("""COMPUTED_VALUE"""),0.0)</f>
        <v>0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B57" s="41" t="str">
        <f>IFERROR(__xludf.DUMMYFUNCTION("""COMPUTED_VALUE"""),"TW")</f>
        <v>TW</v>
      </c>
      <c r="C57" s="41"/>
      <c r="D57" s="41"/>
      <c r="E57" s="41"/>
      <c r="F57" s="41" t="str">
        <f>IFERROR(__xludf.DUMMYFUNCTION("""COMPUTED_VALUE"""),"行銷營運中心")</f>
        <v>行銷營運中心</v>
      </c>
      <c r="G57" s="41" t="str">
        <f>IFERROR(__xludf.DUMMYFUNCTION("""COMPUTED_VALUE"""),"Salesforce Sales Cloud")</f>
        <v>Salesforce Sales Cloud</v>
      </c>
      <c r="H57" s="62">
        <f>IFERROR(__xludf.DUMMYFUNCTION("""COMPUTED_VALUE"""),3728.0)</f>
        <v>3728</v>
      </c>
      <c r="I57" s="41">
        <f>IFERROR(__xludf.DUMMYFUNCTION("""COMPUTED_VALUE"""),40.0)</f>
        <v>40</v>
      </c>
      <c r="J57" s="62">
        <f>IFERROR(__xludf.DUMMYFUNCTION("""COMPUTED_VALUE"""),149120.0)</f>
        <v>149120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B58" s="41" t="str">
        <f>IFERROR(__xludf.DUMMYFUNCTION("""COMPUTED_VALUE"""),"TW")</f>
        <v>TW</v>
      </c>
      <c r="C58" s="41"/>
      <c r="D58" s="41"/>
      <c r="E58" s="41"/>
      <c r="F58" s="41" t="str">
        <f>IFERROR(__xludf.DUMMYFUNCTION("""COMPUTED_VALUE"""),"研發中心")</f>
        <v>研發中心</v>
      </c>
      <c r="G58" s="41" t="str">
        <f>IFERROR(__xludf.DUMMYFUNCTION("""COMPUTED_VALUE"""),"Salesforce Sales Cloud")</f>
        <v>Salesforce Sales Cloud</v>
      </c>
      <c r="H58" s="62">
        <f>IFERROR(__xludf.DUMMYFUNCTION("""COMPUTED_VALUE"""),3728.0)</f>
        <v>3728</v>
      </c>
      <c r="I58" s="41">
        <f>IFERROR(__xludf.DUMMYFUNCTION("""COMPUTED_VALUE"""),2.0)</f>
        <v>2</v>
      </c>
      <c r="J58" s="62">
        <f>IFERROR(__xludf.DUMMYFUNCTION("""COMPUTED_VALUE"""),7456.0)</f>
        <v>7456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B59" s="41" t="str">
        <f>IFERROR(__xludf.DUMMYFUNCTION("""COMPUTED_VALUE"""),"TW")</f>
        <v>TW</v>
      </c>
      <c r="C59" s="41"/>
      <c r="D59" s="41"/>
      <c r="E59" s="41"/>
      <c r="F59" s="41" t="str">
        <f>IFERROR(__xludf.DUMMYFUNCTION("""COMPUTED_VALUE"""),"客戶價值中心")</f>
        <v>客戶價值中心</v>
      </c>
      <c r="G59" s="41" t="str">
        <f>IFERROR(__xludf.DUMMYFUNCTION("""COMPUTED_VALUE"""),"Salesforce Sales Cloud")</f>
        <v>Salesforce Sales Cloud</v>
      </c>
      <c r="H59" s="62">
        <f>IFERROR(__xludf.DUMMYFUNCTION("""COMPUTED_VALUE"""),3728.0)</f>
        <v>3728</v>
      </c>
      <c r="I59" s="41">
        <f>IFERROR(__xludf.DUMMYFUNCTION("""COMPUTED_VALUE"""),0.0)</f>
        <v>0</v>
      </c>
      <c r="J59" s="62">
        <f>IFERROR(__xludf.DUMMYFUNCTION("""COMPUTED_VALUE"""),0.0)</f>
        <v>0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B60" s="41" t="str">
        <f>IFERROR(__xludf.DUMMYFUNCTION("""COMPUTED_VALUE"""),"TW")</f>
        <v>TW</v>
      </c>
      <c r="C60" s="41"/>
      <c r="D60" s="41"/>
      <c r="E60" s="41"/>
      <c r="F60" s="41" t="str">
        <f>IFERROR(__xludf.DUMMYFUNCTION("""COMPUTED_VALUE"""),"管理中心")</f>
        <v>管理中心</v>
      </c>
      <c r="G60" s="41" t="str">
        <f>IFERROR(__xludf.DUMMYFUNCTION("""COMPUTED_VALUE"""),"Salesforce Sales Cloud")</f>
        <v>Salesforce Sales Cloud</v>
      </c>
      <c r="H60" s="62">
        <f>IFERROR(__xludf.DUMMYFUNCTION("""COMPUTED_VALUE"""),3728.0)</f>
        <v>3728</v>
      </c>
      <c r="I60" s="41">
        <f>IFERROR(__xludf.DUMMYFUNCTION("""COMPUTED_VALUE"""),2.0)</f>
        <v>2</v>
      </c>
      <c r="J60" s="62">
        <f>IFERROR(__xludf.DUMMYFUNCTION("""COMPUTED_VALUE"""),7456.0)</f>
        <v>7456</v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B61" s="41" t="str">
        <f>IFERROR(__xludf.DUMMYFUNCTION("""COMPUTED_VALUE"""),"TW")</f>
        <v>TW</v>
      </c>
      <c r="C61" s="41"/>
      <c r="D61" s="41"/>
      <c r="E61" s="41"/>
      <c r="F61" s="41" t="str">
        <f>IFERROR(__xludf.DUMMYFUNCTION("""COMPUTED_VALUE"""),"執行長室")</f>
        <v>執行長室</v>
      </c>
      <c r="G61" s="41" t="str">
        <f>IFERROR(__xludf.DUMMYFUNCTION("""COMPUTED_VALUE"""),"Salesforce Sales Cloud")</f>
        <v>Salesforce Sales Cloud</v>
      </c>
      <c r="H61" s="62">
        <f>IFERROR(__xludf.DUMMYFUNCTION("""COMPUTED_VALUE"""),3728.0)</f>
        <v>3728</v>
      </c>
      <c r="I61" s="41">
        <f>IFERROR(__xludf.DUMMYFUNCTION("""COMPUTED_VALUE"""),2.0)</f>
        <v>2</v>
      </c>
      <c r="J61" s="62">
        <f>IFERROR(__xludf.DUMMYFUNCTION("""COMPUTED_VALUE"""),7456.0)</f>
        <v>7456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B62" s="41" t="str">
        <f>IFERROR(__xludf.DUMMYFUNCTION("""COMPUTED_VALUE"""),"TW")</f>
        <v>TW</v>
      </c>
      <c r="C62" s="41"/>
      <c r="D62" s="41"/>
      <c r="E62" s="41"/>
      <c r="F62" s="41" t="str">
        <f>IFERROR(__xludf.DUMMYFUNCTION("""COMPUTED_VALUE"""),"財務中心")</f>
        <v>財務中心</v>
      </c>
      <c r="G62" s="41" t="str">
        <f>IFERROR(__xludf.DUMMYFUNCTION("""COMPUTED_VALUE"""),"Salesforce Sales Cloud")</f>
        <v>Salesforce Sales Cloud</v>
      </c>
      <c r="H62" s="62">
        <f>IFERROR(__xludf.DUMMYFUNCTION("""COMPUTED_VALUE"""),3728.0)</f>
        <v>3728</v>
      </c>
      <c r="I62" s="41">
        <f>IFERROR(__xludf.DUMMYFUNCTION("""COMPUTED_VALUE"""),0.0)</f>
        <v>0</v>
      </c>
      <c r="J62" s="62">
        <f>IFERROR(__xludf.DUMMYFUNCTION("""COMPUTED_VALUE"""),0.0)</f>
        <v>0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B63" s="41" t="str">
        <f>IFERROR(__xludf.DUMMYFUNCTION("""COMPUTED_VALUE"""),"QLR")</f>
        <v>QLR</v>
      </c>
      <c r="C63" s="41"/>
      <c r="D63" s="41"/>
      <c r="E63" s="41"/>
      <c r="F63" s="41" t="str">
        <f>IFERROR(__xludf.DUMMYFUNCTION("""COMPUTED_VALUE"""),"Qlieer")</f>
        <v>Qlieer</v>
      </c>
      <c r="G63" s="41" t="str">
        <f>IFERROR(__xludf.DUMMYFUNCTION("""COMPUTED_VALUE"""),"Salesforce Sales Cloud")</f>
        <v>Salesforce Sales Cloud</v>
      </c>
      <c r="H63" s="62">
        <f>IFERROR(__xludf.DUMMYFUNCTION("""COMPUTED_VALUE"""),3728.0)</f>
        <v>3728</v>
      </c>
      <c r="I63" s="41">
        <f>IFERROR(__xludf.DUMMYFUNCTION("""COMPUTED_VALUE"""),0.0)</f>
        <v>0</v>
      </c>
      <c r="J63" s="62">
        <f>IFERROR(__xludf.DUMMYFUNCTION("""COMPUTED_VALUE"""),0.0)</f>
        <v>0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B64" s="41" t="str">
        <f>IFERROR(__xludf.DUMMYFUNCTION("""COMPUTED_VALUE"""),"TW")</f>
        <v>TW</v>
      </c>
      <c r="C64" s="41"/>
      <c r="D64" s="41"/>
      <c r="E64" s="41"/>
      <c r="F64" s="41" t="str">
        <f>IFERROR(__xludf.DUMMYFUNCTION("""COMPUTED_VALUE"""),"策略資料中心")</f>
        <v>策略資料中心</v>
      </c>
      <c r="G64" s="41" t="str">
        <f>IFERROR(__xludf.DUMMYFUNCTION("""COMPUTED_VALUE"""),"Salesforce Sales Cloud")</f>
        <v>Salesforce Sales Cloud</v>
      </c>
      <c r="H64" s="62">
        <f>IFERROR(__xludf.DUMMYFUNCTION("""COMPUTED_VALUE"""),3728.0)</f>
        <v>3728</v>
      </c>
      <c r="I64" s="41">
        <f>IFERROR(__xludf.DUMMYFUNCTION("""COMPUTED_VALUE"""),2.0)</f>
        <v>2</v>
      </c>
      <c r="J64" s="62">
        <f>IFERROR(__xludf.DUMMYFUNCTION("""COMPUTED_VALUE"""),7456.0)</f>
        <v>7456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B65" s="41" t="str">
        <f>IFERROR(__xludf.DUMMYFUNCTION("""COMPUTED_VALUE"""),"HK")</f>
        <v>HK</v>
      </c>
      <c r="C65" s="41"/>
      <c r="D65" s="41"/>
      <c r="E65" s="41"/>
      <c r="F65" s="41" t="str">
        <f>IFERROR(__xludf.DUMMYFUNCTION("""COMPUTED_VALUE"""),"海外執行長室")</f>
        <v>海外執行長室</v>
      </c>
      <c r="G65" s="41" t="str">
        <f>IFERROR(__xludf.DUMMYFUNCTION("""COMPUTED_VALUE"""),"Salesforce Sales Cloud")</f>
        <v>Salesforce Sales Cloud</v>
      </c>
      <c r="H65" s="62">
        <f>IFERROR(__xludf.DUMMYFUNCTION("""COMPUTED_VALUE"""),3728.0)</f>
        <v>3728</v>
      </c>
      <c r="I65" s="41">
        <f>IFERROR(__xludf.DUMMYFUNCTION("""COMPUTED_VALUE"""),0.0)</f>
        <v>0</v>
      </c>
      <c r="J65" s="62">
        <f>IFERROR(__xludf.DUMMYFUNCTION("""COMPUTED_VALUE"""),0.0)</f>
        <v>0</v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B66" s="41" t="str">
        <f>IFERROR(__xludf.DUMMYFUNCTION("""COMPUTED_VALUE"""),"TW")</f>
        <v>TW</v>
      </c>
      <c r="C66" s="41"/>
      <c r="D66" s="41"/>
      <c r="E66" s="41"/>
      <c r="F66" s="41" t="str">
        <f>IFERROR(__xludf.DUMMYFUNCTION("""COMPUTED_VALUE"""),"行銷營運中心")</f>
        <v>行銷營運中心</v>
      </c>
      <c r="G66" s="41" t="str">
        <f>IFERROR(__xludf.DUMMYFUNCTION("""COMPUTED_VALUE"""),"Salesforce Service Cloud")</f>
        <v>Salesforce Service Cloud</v>
      </c>
      <c r="H66" s="62">
        <f>IFERROR(__xludf.DUMMYFUNCTION("""COMPUTED_VALUE"""),3728.0)</f>
        <v>3728</v>
      </c>
      <c r="I66" s="41">
        <f>IFERROR(__xludf.DUMMYFUNCTION("""COMPUTED_VALUE"""),0.0)</f>
        <v>0</v>
      </c>
      <c r="J66" s="62">
        <f>IFERROR(__xludf.DUMMYFUNCTION("""COMPUTED_VALUE"""),0.0)</f>
        <v>0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B67" s="41" t="str">
        <f>IFERROR(__xludf.DUMMYFUNCTION("""COMPUTED_VALUE"""),"TW")</f>
        <v>TW</v>
      </c>
      <c r="C67" s="41"/>
      <c r="D67" s="41"/>
      <c r="E67" s="41"/>
      <c r="F67" s="41" t="str">
        <f>IFERROR(__xludf.DUMMYFUNCTION("""COMPUTED_VALUE"""),"研發中心")</f>
        <v>研發中心</v>
      </c>
      <c r="G67" s="41" t="str">
        <f>IFERROR(__xludf.DUMMYFUNCTION("""COMPUTED_VALUE"""),"Salesforce Service Cloud")</f>
        <v>Salesforce Service Cloud</v>
      </c>
      <c r="H67" s="62">
        <f>IFERROR(__xludf.DUMMYFUNCTION("""COMPUTED_VALUE"""),3728.0)</f>
        <v>3728</v>
      </c>
      <c r="I67" s="41">
        <f>IFERROR(__xludf.DUMMYFUNCTION("""COMPUTED_VALUE"""),0.0)</f>
        <v>0</v>
      </c>
      <c r="J67" s="62">
        <f>IFERROR(__xludf.DUMMYFUNCTION("""COMPUTED_VALUE"""),0.0)</f>
        <v>0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B68" s="41" t="str">
        <f>IFERROR(__xludf.DUMMYFUNCTION("""COMPUTED_VALUE"""),"TW")</f>
        <v>TW</v>
      </c>
      <c r="C68" s="41"/>
      <c r="D68" s="41"/>
      <c r="E68" s="41"/>
      <c r="F68" s="41" t="str">
        <f>IFERROR(__xludf.DUMMYFUNCTION("""COMPUTED_VALUE"""),"客戶價值中心")</f>
        <v>客戶價值中心</v>
      </c>
      <c r="G68" s="41" t="str">
        <f>IFERROR(__xludf.DUMMYFUNCTION("""COMPUTED_VALUE"""),"Salesforce Service Cloud")</f>
        <v>Salesforce Service Cloud</v>
      </c>
      <c r="H68" s="62">
        <f>IFERROR(__xludf.DUMMYFUNCTION("""COMPUTED_VALUE"""),3728.0)</f>
        <v>3728</v>
      </c>
      <c r="I68" s="41">
        <f>IFERROR(__xludf.DUMMYFUNCTION("""COMPUTED_VALUE"""),28.0)</f>
        <v>28</v>
      </c>
      <c r="J68" s="62">
        <f>IFERROR(__xludf.DUMMYFUNCTION("""COMPUTED_VALUE"""),104384.0)</f>
        <v>104384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B69" s="41" t="str">
        <f>IFERROR(__xludf.DUMMYFUNCTION("""COMPUTED_VALUE"""),"TW")</f>
        <v>TW</v>
      </c>
      <c r="C69" s="41"/>
      <c r="D69" s="41"/>
      <c r="E69" s="41"/>
      <c r="F69" s="41" t="str">
        <f>IFERROR(__xludf.DUMMYFUNCTION("""COMPUTED_VALUE"""),"管理中心")</f>
        <v>管理中心</v>
      </c>
      <c r="G69" s="41" t="str">
        <f>IFERROR(__xludf.DUMMYFUNCTION("""COMPUTED_VALUE"""),"Salesforce Service Cloud")</f>
        <v>Salesforce Service Cloud</v>
      </c>
      <c r="H69" s="62">
        <f>IFERROR(__xludf.DUMMYFUNCTION("""COMPUTED_VALUE"""),3728.0)</f>
        <v>3728</v>
      </c>
      <c r="I69" s="41">
        <f>IFERROR(__xludf.DUMMYFUNCTION("""COMPUTED_VALUE"""),4.0)</f>
        <v>4</v>
      </c>
      <c r="J69" s="62">
        <f>IFERROR(__xludf.DUMMYFUNCTION("""COMPUTED_VALUE"""),14912.0)</f>
        <v>14912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B70" s="41" t="str">
        <f>IFERROR(__xludf.DUMMYFUNCTION("""COMPUTED_VALUE"""),"TW")</f>
        <v>TW</v>
      </c>
      <c r="C70" s="41"/>
      <c r="D70" s="41"/>
      <c r="E70" s="41"/>
      <c r="F70" s="41" t="str">
        <f>IFERROR(__xludf.DUMMYFUNCTION("""COMPUTED_VALUE"""),"執行長室")</f>
        <v>執行長室</v>
      </c>
      <c r="G70" s="41" t="str">
        <f>IFERROR(__xludf.DUMMYFUNCTION("""COMPUTED_VALUE"""),"Salesforce Service Cloud")</f>
        <v>Salesforce Service Cloud</v>
      </c>
      <c r="H70" s="62">
        <f>IFERROR(__xludf.DUMMYFUNCTION("""COMPUTED_VALUE"""),3728.0)</f>
        <v>3728</v>
      </c>
      <c r="I70" s="41">
        <f>IFERROR(__xludf.DUMMYFUNCTION("""COMPUTED_VALUE"""),0.0)</f>
        <v>0</v>
      </c>
      <c r="J70" s="62">
        <f>IFERROR(__xludf.DUMMYFUNCTION("""COMPUTED_VALUE"""),0.0)</f>
        <v>0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B71" s="41" t="str">
        <f>IFERROR(__xludf.DUMMYFUNCTION("""COMPUTED_VALUE"""),"TW")</f>
        <v>TW</v>
      </c>
      <c r="C71" s="41"/>
      <c r="D71" s="41"/>
      <c r="E71" s="41"/>
      <c r="F71" s="41" t="str">
        <f>IFERROR(__xludf.DUMMYFUNCTION("""COMPUTED_VALUE"""),"財務中心")</f>
        <v>財務中心</v>
      </c>
      <c r="G71" s="41" t="str">
        <f>IFERROR(__xludf.DUMMYFUNCTION("""COMPUTED_VALUE"""),"Salesforce Service Cloud")</f>
        <v>Salesforce Service Cloud</v>
      </c>
      <c r="H71" s="62">
        <f>IFERROR(__xludf.DUMMYFUNCTION("""COMPUTED_VALUE"""),3728.0)</f>
        <v>3728</v>
      </c>
      <c r="I71" s="41">
        <f>IFERROR(__xludf.DUMMYFUNCTION("""COMPUTED_VALUE"""),0.0)</f>
        <v>0</v>
      </c>
      <c r="J71" s="62">
        <f>IFERROR(__xludf.DUMMYFUNCTION("""COMPUTED_VALUE"""),0.0)</f>
        <v>0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B72" s="41" t="str">
        <f>IFERROR(__xludf.DUMMYFUNCTION("""COMPUTED_VALUE"""),"QLR")</f>
        <v>QLR</v>
      </c>
      <c r="C72" s="41"/>
      <c r="D72" s="41"/>
      <c r="E72" s="41"/>
      <c r="F72" s="41" t="str">
        <f>IFERROR(__xludf.DUMMYFUNCTION("""COMPUTED_VALUE"""),"Qlieer")</f>
        <v>Qlieer</v>
      </c>
      <c r="G72" s="41" t="str">
        <f>IFERROR(__xludf.DUMMYFUNCTION("""COMPUTED_VALUE"""),"Salesforce Service Cloud")</f>
        <v>Salesforce Service Cloud</v>
      </c>
      <c r="H72" s="62">
        <f>IFERROR(__xludf.DUMMYFUNCTION("""COMPUTED_VALUE"""),3728.0)</f>
        <v>3728</v>
      </c>
      <c r="I72" s="41">
        <f>IFERROR(__xludf.DUMMYFUNCTION("""COMPUTED_VALUE"""),0.0)</f>
        <v>0</v>
      </c>
      <c r="J72" s="62">
        <f>IFERROR(__xludf.DUMMYFUNCTION("""COMPUTED_VALUE"""),0.0)</f>
        <v>0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B73" s="41" t="str">
        <f>IFERROR(__xludf.DUMMYFUNCTION("""COMPUTED_VALUE"""),"TW")</f>
        <v>TW</v>
      </c>
      <c r="C73" s="41"/>
      <c r="D73" s="41"/>
      <c r="E73" s="41"/>
      <c r="F73" s="41" t="str">
        <f>IFERROR(__xludf.DUMMYFUNCTION("""COMPUTED_VALUE"""),"策略資料中心")</f>
        <v>策略資料中心</v>
      </c>
      <c r="G73" s="41" t="str">
        <f>IFERROR(__xludf.DUMMYFUNCTION("""COMPUTED_VALUE"""),"Salesforce Service Cloud")</f>
        <v>Salesforce Service Cloud</v>
      </c>
      <c r="H73" s="62">
        <f>IFERROR(__xludf.DUMMYFUNCTION("""COMPUTED_VALUE"""),3728.0)</f>
        <v>3728</v>
      </c>
      <c r="I73" s="41">
        <f>IFERROR(__xludf.DUMMYFUNCTION("""COMPUTED_VALUE"""),0.0)</f>
        <v>0</v>
      </c>
      <c r="J73" s="62">
        <f>IFERROR(__xludf.DUMMYFUNCTION("""COMPUTED_VALUE"""),0.0)</f>
        <v>0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B74" s="41" t="str">
        <f>IFERROR(__xludf.DUMMYFUNCTION("""COMPUTED_VALUE"""),"HK")</f>
        <v>HK</v>
      </c>
      <c r="C74" s="41"/>
      <c r="D74" s="41"/>
      <c r="E74" s="41"/>
      <c r="F74" s="41" t="str">
        <f>IFERROR(__xludf.DUMMYFUNCTION("""COMPUTED_VALUE"""),"海外執行長室")</f>
        <v>海外執行長室</v>
      </c>
      <c r="G74" s="41" t="str">
        <f>IFERROR(__xludf.DUMMYFUNCTION("""COMPUTED_VALUE"""),"Salesforce Service Cloud")</f>
        <v>Salesforce Service Cloud</v>
      </c>
      <c r="H74" s="62">
        <f>IFERROR(__xludf.DUMMYFUNCTION("""COMPUTED_VALUE"""),3728.0)</f>
        <v>3728</v>
      </c>
      <c r="I74" s="41">
        <f>IFERROR(__xludf.DUMMYFUNCTION("""COMPUTED_VALUE"""),0.0)</f>
        <v>0</v>
      </c>
      <c r="J74" s="62">
        <f>IFERROR(__xludf.DUMMYFUNCTION("""COMPUTED_VALUE"""),0.0)</f>
        <v>0</v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B75" s="41" t="str">
        <f>IFERROR(__xludf.DUMMYFUNCTION("""COMPUTED_VALUE"""),"TW")</f>
        <v>TW</v>
      </c>
      <c r="C75" s="41"/>
      <c r="D75" s="41"/>
      <c r="E75" s="41"/>
      <c r="F75" s="41" t="str">
        <f>IFERROR(__xludf.DUMMYFUNCTION("""COMPUTED_VALUE"""),"行銷營運中心")</f>
        <v>行銷營運中心</v>
      </c>
      <c r="G75" s="41" t="str">
        <f>IFERROR(__xludf.DUMMYFUNCTION("""COMPUTED_VALUE"""),"Salesforce Sales+Service Cloud")</f>
        <v>Salesforce Sales+Service Cloud</v>
      </c>
      <c r="H75" s="62">
        <f>IFERROR(__xludf.DUMMYFUNCTION("""COMPUTED_VALUE"""),4680.0)</f>
        <v>4680</v>
      </c>
      <c r="I75" s="41">
        <f>IFERROR(__xludf.DUMMYFUNCTION("""COMPUTED_VALUE"""),0.0)</f>
        <v>0</v>
      </c>
      <c r="J75" s="62">
        <f>IFERROR(__xludf.DUMMYFUNCTION("""COMPUTED_VALUE"""),0.0)</f>
        <v>0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B76" s="41" t="str">
        <f>IFERROR(__xludf.DUMMYFUNCTION("""COMPUTED_VALUE"""),"TW")</f>
        <v>TW</v>
      </c>
      <c r="C76" s="41"/>
      <c r="D76" s="41"/>
      <c r="E76" s="41"/>
      <c r="F76" s="41" t="str">
        <f>IFERROR(__xludf.DUMMYFUNCTION("""COMPUTED_VALUE"""),"研發中心")</f>
        <v>研發中心</v>
      </c>
      <c r="G76" s="41" t="str">
        <f>IFERROR(__xludf.DUMMYFUNCTION("""COMPUTED_VALUE"""),"Salesforce Sales+Service Cloud")</f>
        <v>Salesforce Sales+Service Cloud</v>
      </c>
      <c r="H76" s="62">
        <f>IFERROR(__xludf.DUMMYFUNCTION("""COMPUTED_VALUE"""),4680.0)</f>
        <v>4680</v>
      </c>
      <c r="I76" s="41">
        <f>IFERROR(__xludf.DUMMYFUNCTION("""COMPUTED_VALUE"""),0.0)</f>
        <v>0</v>
      </c>
      <c r="J76" s="62">
        <f>IFERROR(__xludf.DUMMYFUNCTION("""COMPUTED_VALUE"""),0.0)</f>
        <v>0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B77" s="41" t="str">
        <f>IFERROR(__xludf.DUMMYFUNCTION("""COMPUTED_VALUE"""),"TW")</f>
        <v>TW</v>
      </c>
      <c r="C77" s="41"/>
      <c r="D77" s="41"/>
      <c r="E77" s="41"/>
      <c r="F77" s="41" t="str">
        <f>IFERROR(__xludf.DUMMYFUNCTION("""COMPUTED_VALUE"""),"客戶價值中心")</f>
        <v>客戶價值中心</v>
      </c>
      <c r="G77" s="41" t="str">
        <f>IFERROR(__xludf.DUMMYFUNCTION("""COMPUTED_VALUE"""),"Salesforce Sales+Service Cloud")</f>
        <v>Salesforce Sales+Service Cloud</v>
      </c>
      <c r="H77" s="62">
        <f>IFERROR(__xludf.DUMMYFUNCTION("""COMPUTED_VALUE"""),4680.0)</f>
        <v>4680</v>
      </c>
      <c r="I77" s="41">
        <f>IFERROR(__xludf.DUMMYFUNCTION("""COMPUTED_VALUE"""),0.0)</f>
        <v>0</v>
      </c>
      <c r="J77" s="62">
        <f>IFERROR(__xludf.DUMMYFUNCTION("""COMPUTED_VALUE"""),0.0)</f>
        <v>0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B78" s="41" t="str">
        <f>IFERROR(__xludf.DUMMYFUNCTION("""COMPUTED_VALUE"""),"TW")</f>
        <v>TW</v>
      </c>
      <c r="C78" s="41"/>
      <c r="D78" s="41"/>
      <c r="E78" s="41"/>
      <c r="F78" s="41" t="str">
        <f>IFERROR(__xludf.DUMMYFUNCTION("""COMPUTED_VALUE"""),"管理中心")</f>
        <v>管理中心</v>
      </c>
      <c r="G78" s="41" t="str">
        <f>IFERROR(__xludf.DUMMYFUNCTION("""COMPUTED_VALUE"""),"Salesforce Sales+Service Cloud")</f>
        <v>Salesforce Sales+Service Cloud</v>
      </c>
      <c r="H78" s="62">
        <f>IFERROR(__xludf.DUMMYFUNCTION("""COMPUTED_VALUE"""),4680.0)</f>
        <v>4680</v>
      </c>
      <c r="I78" s="41">
        <f>IFERROR(__xludf.DUMMYFUNCTION("""COMPUTED_VALUE"""),2.0)</f>
        <v>2</v>
      </c>
      <c r="J78" s="62">
        <f>IFERROR(__xludf.DUMMYFUNCTION("""COMPUTED_VALUE"""),9360.0)</f>
        <v>9360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B79" s="41" t="str">
        <f>IFERROR(__xludf.DUMMYFUNCTION("""COMPUTED_VALUE"""),"TW")</f>
        <v>TW</v>
      </c>
      <c r="C79" s="41"/>
      <c r="D79" s="41"/>
      <c r="E79" s="41"/>
      <c r="F79" s="41" t="str">
        <f>IFERROR(__xludf.DUMMYFUNCTION("""COMPUTED_VALUE"""),"執行長室")</f>
        <v>執行長室</v>
      </c>
      <c r="G79" s="41" t="str">
        <f>IFERROR(__xludf.DUMMYFUNCTION("""COMPUTED_VALUE"""),"Salesforce Sales+Service Cloud")</f>
        <v>Salesforce Sales+Service Cloud</v>
      </c>
      <c r="H79" s="62">
        <f>IFERROR(__xludf.DUMMYFUNCTION("""COMPUTED_VALUE"""),4680.0)</f>
        <v>4680</v>
      </c>
      <c r="I79" s="41">
        <f>IFERROR(__xludf.DUMMYFUNCTION("""COMPUTED_VALUE"""),0.0)</f>
        <v>0</v>
      </c>
      <c r="J79" s="62">
        <f>IFERROR(__xludf.DUMMYFUNCTION("""COMPUTED_VALUE"""),0.0)</f>
        <v>0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B80" s="41" t="str">
        <f>IFERROR(__xludf.DUMMYFUNCTION("""COMPUTED_VALUE"""),"TW")</f>
        <v>TW</v>
      </c>
      <c r="C80" s="41"/>
      <c r="D80" s="41"/>
      <c r="E80" s="41"/>
      <c r="F80" s="41" t="str">
        <f>IFERROR(__xludf.DUMMYFUNCTION("""COMPUTED_VALUE"""),"財務中心")</f>
        <v>財務中心</v>
      </c>
      <c r="G80" s="41" t="str">
        <f>IFERROR(__xludf.DUMMYFUNCTION("""COMPUTED_VALUE"""),"Salesforce Sales+Service Cloud")</f>
        <v>Salesforce Sales+Service Cloud</v>
      </c>
      <c r="H80" s="62">
        <f>IFERROR(__xludf.DUMMYFUNCTION("""COMPUTED_VALUE"""),4680.0)</f>
        <v>4680</v>
      </c>
      <c r="I80" s="41">
        <f>IFERROR(__xludf.DUMMYFUNCTION("""COMPUTED_VALUE"""),0.0)</f>
        <v>0</v>
      </c>
      <c r="J80" s="62">
        <f>IFERROR(__xludf.DUMMYFUNCTION("""COMPUTED_VALUE"""),0.0)</f>
        <v>0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B81" s="41" t="str">
        <f>IFERROR(__xludf.DUMMYFUNCTION("""COMPUTED_VALUE"""),"QLR")</f>
        <v>QLR</v>
      </c>
      <c r="C81" s="41"/>
      <c r="D81" s="41"/>
      <c r="E81" s="41"/>
      <c r="F81" s="41" t="str">
        <f>IFERROR(__xludf.DUMMYFUNCTION("""COMPUTED_VALUE"""),"Qlieer")</f>
        <v>Qlieer</v>
      </c>
      <c r="G81" s="41" t="str">
        <f>IFERROR(__xludf.DUMMYFUNCTION("""COMPUTED_VALUE"""),"Salesforce Sales+Service Cloud")</f>
        <v>Salesforce Sales+Service Cloud</v>
      </c>
      <c r="H81" s="62">
        <f>IFERROR(__xludf.DUMMYFUNCTION("""COMPUTED_VALUE"""),4680.0)</f>
        <v>4680</v>
      </c>
      <c r="I81" s="41">
        <f>IFERROR(__xludf.DUMMYFUNCTION("""COMPUTED_VALUE"""),0.0)</f>
        <v>0</v>
      </c>
      <c r="J81" s="62">
        <f>IFERROR(__xludf.DUMMYFUNCTION("""COMPUTED_VALUE"""),0.0)</f>
        <v>0</v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B82" s="41" t="str">
        <f>IFERROR(__xludf.DUMMYFUNCTION("""COMPUTED_VALUE"""),"TW")</f>
        <v>TW</v>
      </c>
      <c r="C82" s="41"/>
      <c r="D82" s="41"/>
      <c r="E82" s="41"/>
      <c r="F82" s="41" t="str">
        <f>IFERROR(__xludf.DUMMYFUNCTION("""COMPUTED_VALUE"""),"策略資料中心")</f>
        <v>策略資料中心</v>
      </c>
      <c r="G82" s="41" t="str">
        <f>IFERROR(__xludf.DUMMYFUNCTION("""COMPUTED_VALUE"""),"Salesforce Sales+Service Cloud")</f>
        <v>Salesforce Sales+Service Cloud</v>
      </c>
      <c r="H82" s="62">
        <f>IFERROR(__xludf.DUMMYFUNCTION("""COMPUTED_VALUE"""),4680.0)</f>
        <v>4680</v>
      </c>
      <c r="I82" s="41">
        <f>IFERROR(__xludf.DUMMYFUNCTION("""COMPUTED_VALUE"""),0.0)</f>
        <v>0</v>
      </c>
      <c r="J82" s="62">
        <f>IFERROR(__xludf.DUMMYFUNCTION("""COMPUTED_VALUE"""),0.0)</f>
        <v>0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B83" s="41" t="str">
        <f>IFERROR(__xludf.DUMMYFUNCTION("""COMPUTED_VALUE"""),"HK")</f>
        <v>HK</v>
      </c>
      <c r="C83" s="41"/>
      <c r="D83" s="41"/>
      <c r="E83" s="41"/>
      <c r="F83" s="41" t="str">
        <f>IFERROR(__xludf.DUMMYFUNCTION("""COMPUTED_VALUE"""),"海外執行長室")</f>
        <v>海外執行長室</v>
      </c>
      <c r="G83" s="41" t="str">
        <f>IFERROR(__xludf.DUMMYFUNCTION("""COMPUTED_VALUE"""),"Salesforce Sales+Service Cloud")</f>
        <v>Salesforce Sales+Service Cloud</v>
      </c>
      <c r="H83" s="62">
        <f>IFERROR(__xludf.DUMMYFUNCTION("""COMPUTED_VALUE"""),4680.0)</f>
        <v>4680</v>
      </c>
      <c r="I83" s="41">
        <f>IFERROR(__xludf.DUMMYFUNCTION("""COMPUTED_VALUE"""),0.0)</f>
        <v>0</v>
      </c>
      <c r="J83" s="62">
        <f>IFERROR(__xludf.DUMMYFUNCTION("""COMPUTED_VALUE"""),0.0)</f>
        <v>0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B84" s="41" t="str">
        <f>IFERROR(__xludf.DUMMYFUNCTION("""COMPUTED_VALUE"""),"TW")</f>
        <v>TW</v>
      </c>
      <c r="C84" s="41"/>
      <c r="D84" s="41"/>
      <c r="E84" s="41"/>
      <c r="F84" s="41" t="str">
        <f>IFERROR(__xludf.DUMMYFUNCTION("""COMPUTED_VALUE"""),"行銷營運中心")</f>
        <v>行銷營運中心</v>
      </c>
      <c r="G84" s="41" t="str">
        <f>IFERROR(__xludf.DUMMYFUNCTION("""COMPUTED_VALUE"""),"點點簽")</f>
        <v>點點簽</v>
      </c>
      <c r="H84" s="62">
        <f>IFERROR(__xludf.DUMMYFUNCTION("""COMPUTED_VALUE"""),450.0)</f>
        <v>450</v>
      </c>
      <c r="I84" s="41">
        <f>IFERROR(__xludf.DUMMYFUNCTION("""COMPUTED_VALUE"""),3.0)</f>
        <v>3</v>
      </c>
      <c r="J84" s="62">
        <f>IFERROR(__xludf.DUMMYFUNCTION("""COMPUTED_VALUE"""),1350.0)</f>
        <v>1350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B85" s="41" t="str">
        <f>IFERROR(__xludf.DUMMYFUNCTION("""COMPUTED_VALUE"""),"TW")</f>
        <v>TW</v>
      </c>
      <c r="C85" s="41"/>
      <c r="D85" s="41"/>
      <c r="E85" s="41"/>
      <c r="F85" s="41" t="str">
        <f>IFERROR(__xludf.DUMMYFUNCTION("""COMPUTED_VALUE"""),"研發中心")</f>
        <v>研發中心</v>
      </c>
      <c r="G85" s="41" t="str">
        <f>IFERROR(__xludf.DUMMYFUNCTION("""COMPUTED_VALUE"""),"點點簽")</f>
        <v>點點簽</v>
      </c>
      <c r="H85" s="62">
        <f>IFERROR(__xludf.DUMMYFUNCTION("""COMPUTED_VALUE"""),450.0)</f>
        <v>450</v>
      </c>
      <c r="I85" s="41">
        <f>IFERROR(__xludf.DUMMYFUNCTION("""COMPUTED_VALUE"""),0.0)</f>
        <v>0</v>
      </c>
      <c r="J85" s="62">
        <f>IFERROR(__xludf.DUMMYFUNCTION("""COMPUTED_VALUE"""),0.0)</f>
        <v>0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B86" s="41" t="str">
        <f>IFERROR(__xludf.DUMMYFUNCTION("""COMPUTED_VALUE"""),"TW")</f>
        <v>TW</v>
      </c>
      <c r="C86" s="41"/>
      <c r="D86" s="41"/>
      <c r="E86" s="41"/>
      <c r="F86" s="41" t="str">
        <f>IFERROR(__xludf.DUMMYFUNCTION("""COMPUTED_VALUE"""),"客戶價值中心")</f>
        <v>客戶價值中心</v>
      </c>
      <c r="G86" s="41" t="str">
        <f>IFERROR(__xludf.DUMMYFUNCTION("""COMPUTED_VALUE"""),"點點簽")</f>
        <v>點點簽</v>
      </c>
      <c r="H86" s="62">
        <f>IFERROR(__xludf.DUMMYFUNCTION("""COMPUTED_VALUE"""),450.0)</f>
        <v>450</v>
      </c>
      <c r="I86" s="41">
        <f>IFERROR(__xludf.DUMMYFUNCTION("""COMPUTED_VALUE"""),1.0)</f>
        <v>1</v>
      </c>
      <c r="J86" s="62">
        <f>IFERROR(__xludf.DUMMYFUNCTION("""COMPUTED_VALUE"""),450.0)</f>
        <v>450</v>
      </c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B87" s="41" t="str">
        <f>IFERROR(__xludf.DUMMYFUNCTION("""COMPUTED_VALUE"""),"TW")</f>
        <v>TW</v>
      </c>
      <c r="C87" s="41"/>
      <c r="D87" s="41"/>
      <c r="E87" s="41"/>
      <c r="F87" s="41" t="str">
        <f>IFERROR(__xludf.DUMMYFUNCTION("""COMPUTED_VALUE"""),"管理中心")</f>
        <v>管理中心</v>
      </c>
      <c r="G87" s="41" t="str">
        <f>IFERROR(__xludf.DUMMYFUNCTION("""COMPUTED_VALUE"""),"點點簽")</f>
        <v>點點簽</v>
      </c>
      <c r="H87" s="62">
        <f>IFERROR(__xludf.DUMMYFUNCTION("""COMPUTED_VALUE"""),450.0)</f>
        <v>450</v>
      </c>
      <c r="I87" s="41">
        <f>IFERROR(__xludf.DUMMYFUNCTION("""COMPUTED_VALUE"""),2.0)</f>
        <v>2</v>
      </c>
      <c r="J87" s="62">
        <f>IFERROR(__xludf.DUMMYFUNCTION("""COMPUTED_VALUE"""),900.0)</f>
        <v>900</v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B88" s="41" t="str">
        <f>IFERROR(__xludf.DUMMYFUNCTION("""COMPUTED_VALUE"""),"TW")</f>
        <v>TW</v>
      </c>
      <c r="C88" s="41"/>
      <c r="D88" s="41"/>
      <c r="E88" s="41"/>
      <c r="F88" s="41" t="str">
        <f>IFERROR(__xludf.DUMMYFUNCTION("""COMPUTED_VALUE"""),"執行長室")</f>
        <v>執行長室</v>
      </c>
      <c r="G88" s="41" t="str">
        <f>IFERROR(__xludf.DUMMYFUNCTION("""COMPUTED_VALUE"""),"點點簽")</f>
        <v>點點簽</v>
      </c>
      <c r="H88" s="62">
        <f>IFERROR(__xludf.DUMMYFUNCTION("""COMPUTED_VALUE"""),450.0)</f>
        <v>450</v>
      </c>
      <c r="I88" s="41">
        <f>IFERROR(__xludf.DUMMYFUNCTION("""COMPUTED_VALUE"""),0.0)</f>
        <v>0</v>
      </c>
      <c r="J88" s="62">
        <f>IFERROR(__xludf.DUMMYFUNCTION("""COMPUTED_VALUE"""),0.0)</f>
        <v>0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B89" s="41" t="str">
        <f>IFERROR(__xludf.DUMMYFUNCTION("""COMPUTED_VALUE"""),"TW")</f>
        <v>TW</v>
      </c>
      <c r="C89" s="41"/>
      <c r="D89" s="41"/>
      <c r="E89" s="41"/>
      <c r="F89" s="41" t="str">
        <f>IFERROR(__xludf.DUMMYFUNCTION("""COMPUTED_VALUE"""),"財務中心")</f>
        <v>財務中心</v>
      </c>
      <c r="G89" s="41" t="str">
        <f>IFERROR(__xludf.DUMMYFUNCTION("""COMPUTED_VALUE"""),"點點簽")</f>
        <v>點點簽</v>
      </c>
      <c r="H89" s="62">
        <f>IFERROR(__xludf.DUMMYFUNCTION("""COMPUTED_VALUE"""),450.0)</f>
        <v>450</v>
      </c>
      <c r="I89" s="41">
        <f>IFERROR(__xludf.DUMMYFUNCTION("""COMPUTED_VALUE"""),0.0)</f>
        <v>0</v>
      </c>
      <c r="J89" s="62">
        <f>IFERROR(__xludf.DUMMYFUNCTION("""COMPUTED_VALUE"""),0.0)</f>
        <v>0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B90" s="41" t="str">
        <f>IFERROR(__xludf.DUMMYFUNCTION("""COMPUTED_VALUE"""),"QLR")</f>
        <v>QLR</v>
      </c>
      <c r="C90" s="41"/>
      <c r="D90" s="41"/>
      <c r="E90" s="41"/>
      <c r="F90" s="41" t="str">
        <f>IFERROR(__xludf.DUMMYFUNCTION("""COMPUTED_VALUE"""),"Qlieer")</f>
        <v>Qlieer</v>
      </c>
      <c r="G90" s="41" t="str">
        <f>IFERROR(__xludf.DUMMYFUNCTION("""COMPUTED_VALUE"""),"點點簽")</f>
        <v>點點簽</v>
      </c>
      <c r="H90" s="62">
        <f>IFERROR(__xludf.DUMMYFUNCTION("""COMPUTED_VALUE"""),450.0)</f>
        <v>450</v>
      </c>
      <c r="I90" s="41">
        <f>IFERROR(__xludf.DUMMYFUNCTION("""COMPUTED_VALUE"""),0.0)</f>
        <v>0</v>
      </c>
      <c r="J90" s="62">
        <f>IFERROR(__xludf.DUMMYFUNCTION("""COMPUTED_VALUE"""),0.0)</f>
        <v>0</v>
      </c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B91" s="41" t="str">
        <f>IFERROR(__xludf.DUMMYFUNCTION("""COMPUTED_VALUE"""),"TW")</f>
        <v>TW</v>
      </c>
      <c r="C91" s="41"/>
      <c r="D91" s="41"/>
      <c r="E91" s="41"/>
      <c r="F91" s="41" t="str">
        <f>IFERROR(__xludf.DUMMYFUNCTION("""COMPUTED_VALUE"""),"策略資料中心")</f>
        <v>策略資料中心</v>
      </c>
      <c r="G91" s="41" t="str">
        <f>IFERROR(__xludf.DUMMYFUNCTION("""COMPUTED_VALUE"""),"點點簽")</f>
        <v>點點簽</v>
      </c>
      <c r="H91" s="62">
        <f>IFERROR(__xludf.DUMMYFUNCTION("""COMPUTED_VALUE"""),450.0)</f>
        <v>450</v>
      </c>
      <c r="I91" s="41">
        <f>IFERROR(__xludf.DUMMYFUNCTION("""COMPUTED_VALUE"""),0.0)</f>
        <v>0</v>
      </c>
      <c r="J91" s="62">
        <f>IFERROR(__xludf.DUMMYFUNCTION("""COMPUTED_VALUE"""),0.0)</f>
        <v>0</v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B92" s="41" t="str">
        <f>IFERROR(__xludf.DUMMYFUNCTION("""COMPUTED_VALUE"""),"HK")</f>
        <v>HK</v>
      </c>
      <c r="C92" s="41"/>
      <c r="D92" s="41"/>
      <c r="E92" s="41"/>
      <c r="F92" s="41" t="str">
        <f>IFERROR(__xludf.DUMMYFUNCTION("""COMPUTED_VALUE"""),"海外執行長室")</f>
        <v>海外執行長室</v>
      </c>
      <c r="G92" s="41" t="str">
        <f>IFERROR(__xludf.DUMMYFUNCTION("""COMPUTED_VALUE"""),"點點簽")</f>
        <v>點點簽</v>
      </c>
      <c r="H92" s="62">
        <f>IFERROR(__xludf.DUMMYFUNCTION("""COMPUTED_VALUE"""),450.0)</f>
        <v>450</v>
      </c>
      <c r="I92" s="41">
        <f>IFERROR(__xludf.DUMMYFUNCTION("""COMPUTED_VALUE"""),0.0)</f>
        <v>0</v>
      </c>
      <c r="J92" s="62">
        <f>IFERROR(__xludf.DUMMYFUNCTION("""COMPUTED_VALUE"""),0.0)</f>
        <v>0</v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B93" s="41" t="str">
        <f>IFERROR(__xludf.DUMMYFUNCTION("""COMPUTED_VALUE"""),"TW")</f>
        <v>TW</v>
      </c>
      <c r="C93" s="41"/>
      <c r="D93" s="41"/>
      <c r="E93" s="41"/>
      <c r="F93" s="41" t="str">
        <f>IFERROR(__xludf.DUMMYFUNCTION("""COMPUTED_VALUE"""),"行銷營運中心")</f>
        <v>行銷營運中心</v>
      </c>
      <c r="G93" s="41" t="str">
        <f>IFERROR(__xludf.DUMMYFUNCTION("""COMPUTED_VALUE"""),"JAMF ")</f>
        <v>JAMF </v>
      </c>
      <c r="H93" s="62">
        <f>IFERROR(__xludf.DUMMYFUNCTION("""COMPUTED_VALUE"""),300.0)</f>
        <v>300</v>
      </c>
      <c r="I93" s="41"/>
      <c r="J93" s="62">
        <f>IFERROR(__xludf.DUMMYFUNCTION("""COMPUTED_VALUE"""),0.0)</f>
        <v>0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B94" s="41" t="str">
        <f>IFERROR(__xludf.DUMMYFUNCTION("""COMPUTED_VALUE"""),"TW")</f>
        <v>TW</v>
      </c>
      <c r="C94" s="41"/>
      <c r="D94" s="41"/>
      <c r="E94" s="41"/>
      <c r="F94" s="41" t="str">
        <f>IFERROR(__xludf.DUMMYFUNCTION("""COMPUTED_VALUE"""),"研發中心")</f>
        <v>研發中心</v>
      </c>
      <c r="G94" s="41" t="str">
        <f>IFERROR(__xludf.DUMMYFUNCTION("""COMPUTED_VALUE"""),"JAMF ")</f>
        <v>JAMF </v>
      </c>
      <c r="H94" s="62">
        <f>IFERROR(__xludf.DUMMYFUNCTION("""COMPUTED_VALUE"""),300.0)</f>
        <v>300</v>
      </c>
      <c r="I94" s="41"/>
      <c r="J94" s="62">
        <f>IFERROR(__xludf.DUMMYFUNCTION("""COMPUTED_VALUE"""),0.0)</f>
        <v>0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B95" s="41" t="str">
        <f>IFERROR(__xludf.DUMMYFUNCTION("""COMPUTED_VALUE"""),"TW")</f>
        <v>TW</v>
      </c>
      <c r="C95" s="41"/>
      <c r="D95" s="41"/>
      <c r="E95" s="41"/>
      <c r="F95" s="41" t="str">
        <f>IFERROR(__xludf.DUMMYFUNCTION("""COMPUTED_VALUE"""),"客戶價值中心")</f>
        <v>客戶價值中心</v>
      </c>
      <c r="G95" s="41" t="str">
        <f>IFERROR(__xludf.DUMMYFUNCTION("""COMPUTED_VALUE"""),"JAMF ")</f>
        <v>JAMF </v>
      </c>
      <c r="H95" s="62">
        <f>IFERROR(__xludf.DUMMYFUNCTION("""COMPUTED_VALUE"""),300.0)</f>
        <v>300</v>
      </c>
      <c r="I95" s="41"/>
      <c r="J95" s="62">
        <f>IFERROR(__xludf.DUMMYFUNCTION("""COMPUTED_VALUE"""),0.0)</f>
        <v>0</v>
      </c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B96" s="41" t="str">
        <f>IFERROR(__xludf.DUMMYFUNCTION("""COMPUTED_VALUE"""),"TW")</f>
        <v>TW</v>
      </c>
      <c r="C96" s="41"/>
      <c r="D96" s="41"/>
      <c r="E96" s="41"/>
      <c r="F96" s="41" t="str">
        <f>IFERROR(__xludf.DUMMYFUNCTION("""COMPUTED_VALUE"""),"管理中心")</f>
        <v>管理中心</v>
      </c>
      <c r="G96" s="41" t="str">
        <f>IFERROR(__xludf.DUMMYFUNCTION("""COMPUTED_VALUE"""),"JAMF ")</f>
        <v>JAMF </v>
      </c>
      <c r="H96" s="62">
        <f>IFERROR(__xludf.DUMMYFUNCTION("""COMPUTED_VALUE"""),300.0)</f>
        <v>300</v>
      </c>
      <c r="I96" s="41"/>
      <c r="J96" s="62">
        <f>IFERROR(__xludf.DUMMYFUNCTION("""COMPUTED_VALUE"""),0.0)</f>
        <v>0</v>
      </c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B97" s="41" t="str">
        <f>IFERROR(__xludf.DUMMYFUNCTION("""COMPUTED_VALUE"""),"TW")</f>
        <v>TW</v>
      </c>
      <c r="C97" s="41"/>
      <c r="D97" s="41"/>
      <c r="E97" s="41"/>
      <c r="F97" s="41" t="str">
        <f>IFERROR(__xludf.DUMMYFUNCTION("""COMPUTED_VALUE"""),"執行長室")</f>
        <v>執行長室</v>
      </c>
      <c r="G97" s="41" t="str">
        <f>IFERROR(__xludf.DUMMYFUNCTION("""COMPUTED_VALUE"""),"JAMF ")</f>
        <v>JAMF </v>
      </c>
      <c r="H97" s="62">
        <f>IFERROR(__xludf.DUMMYFUNCTION("""COMPUTED_VALUE"""),300.0)</f>
        <v>300</v>
      </c>
      <c r="I97" s="41"/>
      <c r="J97" s="62">
        <f>IFERROR(__xludf.DUMMYFUNCTION("""COMPUTED_VALUE"""),0.0)</f>
        <v>0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B98" s="41" t="str">
        <f>IFERROR(__xludf.DUMMYFUNCTION("""COMPUTED_VALUE"""),"TW")</f>
        <v>TW</v>
      </c>
      <c r="C98" s="41"/>
      <c r="D98" s="41"/>
      <c r="E98" s="41"/>
      <c r="F98" s="41" t="str">
        <f>IFERROR(__xludf.DUMMYFUNCTION("""COMPUTED_VALUE"""),"財務中心")</f>
        <v>財務中心</v>
      </c>
      <c r="G98" s="41" t="str">
        <f>IFERROR(__xludf.DUMMYFUNCTION("""COMPUTED_VALUE"""),"JAMF ")</f>
        <v>JAMF </v>
      </c>
      <c r="H98" s="62">
        <f>IFERROR(__xludf.DUMMYFUNCTION("""COMPUTED_VALUE"""),300.0)</f>
        <v>300</v>
      </c>
      <c r="I98" s="41"/>
      <c r="J98" s="62">
        <f>IFERROR(__xludf.DUMMYFUNCTION("""COMPUTED_VALUE"""),0.0)</f>
        <v>0</v>
      </c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B99" s="41" t="str">
        <f>IFERROR(__xludf.DUMMYFUNCTION("""COMPUTED_VALUE"""),"QLR")</f>
        <v>QLR</v>
      </c>
      <c r="C99" s="41"/>
      <c r="D99" s="41"/>
      <c r="E99" s="41"/>
      <c r="F99" s="41" t="str">
        <f>IFERROR(__xludf.DUMMYFUNCTION("""COMPUTED_VALUE"""),"Qlieer")</f>
        <v>Qlieer</v>
      </c>
      <c r="G99" s="41" t="str">
        <f>IFERROR(__xludf.DUMMYFUNCTION("""COMPUTED_VALUE"""),"JAMF ")</f>
        <v>JAMF </v>
      </c>
      <c r="H99" s="62">
        <f>IFERROR(__xludf.DUMMYFUNCTION("""COMPUTED_VALUE"""),300.0)</f>
        <v>300</v>
      </c>
      <c r="I99" s="41"/>
      <c r="J99" s="62">
        <f>IFERROR(__xludf.DUMMYFUNCTION("""COMPUTED_VALUE"""),0.0)</f>
        <v>0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B100" s="41" t="str">
        <f>IFERROR(__xludf.DUMMYFUNCTION("""COMPUTED_VALUE"""),"TW")</f>
        <v>TW</v>
      </c>
      <c r="C100" s="41"/>
      <c r="D100" s="41"/>
      <c r="E100" s="41"/>
      <c r="F100" s="41" t="str">
        <f>IFERROR(__xludf.DUMMYFUNCTION("""COMPUTED_VALUE"""),"策略資料中心")</f>
        <v>策略資料中心</v>
      </c>
      <c r="G100" s="41" t="str">
        <f>IFERROR(__xludf.DUMMYFUNCTION("""COMPUTED_VALUE"""),"JAMF ")</f>
        <v>JAMF </v>
      </c>
      <c r="H100" s="62">
        <f>IFERROR(__xludf.DUMMYFUNCTION("""COMPUTED_VALUE"""),300.0)</f>
        <v>300</v>
      </c>
      <c r="I100" s="41"/>
      <c r="J100" s="62">
        <f>IFERROR(__xludf.DUMMYFUNCTION("""COMPUTED_VALUE"""),0.0)</f>
        <v>0</v>
      </c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B101" s="41" t="str">
        <f>IFERROR(__xludf.DUMMYFUNCTION("""COMPUTED_VALUE"""),"HK")</f>
        <v>HK</v>
      </c>
      <c r="C101" s="41"/>
      <c r="D101" s="41"/>
      <c r="E101" s="41"/>
      <c r="F101" s="41" t="str">
        <f>IFERROR(__xludf.DUMMYFUNCTION("""COMPUTED_VALUE"""),"海外執行長室")</f>
        <v>海外執行長室</v>
      </c>
      <c r="G101" s="41" t="str">
        <f>IFERROR(__xludf.DUMMYFUNCTION("""COMPUTED_VALUE"""),"JAMF ")</f>
        <v>JAMF </v>
      </c>
      <c r="H101" s="62">
        <f>IFERROR(__xludf.DUMMYFUNCTION("""COMPUTED_VALUE"""),300.0)</f>
        <v>300</v>
      </c>
      <c r="I101" s="41"/>
      <c r="J101" s="62">
        <f>IFERROR(__xludf.DUMMYFUNCTION("""COMPUTED_VALUE"""),0.0)</f>
        <v>0</v>
      </c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</cols>
  <sheetData>
    <row r="1">
      <c r="B1" s="41" t="str">
        <f>IFERROR(__xludf.DUMMYFUNCTION("IMPORTRANGE(""https://docs.google.com/spreadsheets/d/1cg3_Ki8lTqFvPzESMZ9gT2Ca86Cm7f89AKRurSr-zVk/edit?gid=0#gid=0"",""2026 各中心共通帳號費用!A1:z"")"),"子公司")</f>
        <v>子公司</v>
      </c>
      <c r="C1" s="41" t="str">
        <f>IFERROR(__xludf.DUMMYFUNCTION("""COMPUTED_VALUE"""),"事業單位")</f>
        <v>事業單位</v>
      </c>
      <c r="D1" s="41" t="str">
        <f>IFERROR(__xludf.DUMMYFUNCTION("""COMPUTED_VALUE"""),"Si 編號")</f>
        <v>Si 編號</v>
      </c>
      <c r="E1" s="41" t="str">
        <f>IFERROR(__xludf.DUMMYFUNCTION("""COMPUTED_VALUE"""),"TA 編號")</f>
        <v>TA 編號</v>
      </c>
      <c r="F1" s="41" t="str">
        <f>IFERROR(__xludf.DUMMYFUNCTION("""COMPUTED_VALUE"""),"費用單位 (Netsuite Department)")</f>
        <v>費用單位 (Netsuite Department)</v>
      </c>
      <c r="G1" s="41" t="str">
        <f>IFERROR(__xludf.DUMMYFUNCTION("""COMPUTED_VALUE"""),"費用項目")</f>
        <v>費用項目</v>
      </c>
      <c r="H1" s="41" t="str">
        <f>IFERROR(__xludf.DUMMYFUNCTION("""COMPUTED_VALUE"""),"單價")</f>
        <v>單價</v>
      </c>
      <c r="I1" s="41" t="str">
        <f>IFERROR(__xludf.DUMMYFUNCTION("""COMPUTED_VALUE"""),"現有帳號數量")</f>
        <v>現有帳號數量</v>
      </c>
      <c r="J1" s="41" t="str">
        <f>IFERROR(__xludf.DUMMYFUNCTION("""COMPUTED_VALUE"""),"現有每月費用")</f>
        <v>現有每月費用</v>
      </c>
      <c r="K1" s="41" t="str">
        <f>IFERROR(__xludf.DUMMYFUNCTION("""COMPUTED_VALUE"""),"預計新人帳號數量")</f>
        <v>預計新人帳號數量</v>
      </c>
      <c r="L1" s="41" t="str">
        <f>IFERROR(__xludf.DUMMYFUNCTION("""COMPUTED_VALUE"""),"預計新人費用")</f>
        <v>預計新人費用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B2" s="41" t="str">
        <f>IFERROR(__xludf.DUMMYFUNCTION("""COMPUTED_VALUE"""),"歸屬子公司，例如:TW、QLR")</f>
        <v>歸屬子公司，例如:TW、QLR</v>
      </c>
      <c r="C2" s="41" t="str">
        <f>IFERROR(__xludf.DUMMYFUNCTION("""COMPUTED_VALUE"""),"不需填寫")</f>
        <v>不需填寫</v>
      </c>
      <c r="D2" s="41" t="str">
        <f>IFERROR(__xludf.DUMMYFUNCTION("""COMPUTED_VALUE"""),"不需填寫")</f>
        <v>不需填寫</v>
      </c>
      <c r="E2" s="41" t="str">
        <f>IFERROR(__xludf.DUMMYFUNCTION("""COMPUTED_VALUE"""),"不需填寫")</f>
        <v>不需填寫</v>
      </c>
      <c r="F2" s="41" t="str">
        <f>IFERROR(__xludf.DUMMYFUNCTION("""COMPUTED_VALUE"""),"需按中心/部門/團隊規格，例如：行銷營運中心:銷售營運部:導入教練團隊")</f>
        <v>需按中心/部門/團隊規格，例如：行銷營運中心:銷售營運部:導入教練團隊</v>
      </c>
      <c r="G2" s="41" t="str">
        <f>IFERROR(__xludf.DUMMYFUNCTION("""COMPUTED_VALUE"""),"請填寫工具名稱與品項，例如：Tableau Viewer 帳號")</f>
        <v>請填寫工具名稱與品項，例如：Tableau Viewer 帳號</v>
      </c>
      <c r="H2" s="41" t="str">
        <f>IFERROR(__xludf.DUMMYFUNCTION("""COMPUTED_VALUE"""),"填品項金額，例如 300")</f>
        <v>填品項金額，例如 300</v>
      </c>
      <c r="I2" s="41" t="str">
        <f>IFERROR(__xludf.DUMMYFUNCTION("""COMPUTED_VALUE"""),"填寫現有員工帳號數，例如：3")</f>
        <v>填寫現有員工帳號數，例如：3</v>
      </c>
      <c r="J2" s="41" t="str">
        <f>IFERROR(__xludf.DUMMYFUNCTION("""COMPUTED_VALUE"""),"公式：單價 x 現有帳號數量")</f>
        <v>公式：單價 x 現有帳號數量</v>
      </c>
      <c r="K2" s="41" t="str">
        <f>IFERROR(__xludf.DUMMYFUNCTION("""COMPUTED_VALUE"""),"填寫新員工帳號數，例如：3")</f>
        <v>填寫新員工帳號數，例如：3</v>
      </c>
      <c r="L2" s="41" t="str">
        <f>IFERROR(__xludf.DUMMYFUNCTION("""COMPUTED_VALUE"""),"公式：單價 x 預計新人帳號數量")</f>
        <v>公式：單價 x 預計新人帳號數量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B3" s="41" t="str">
        <f>IFERROR(__xludf.DUMMYFUNCTION("""COMPUTED_VALUE"""),"TW")</f>
        <v>TW</v>
      </c>
      <c r="C3" s="41"/>
      <c r="D3" s="41"/>
      <c r="E3" s="41"/>
      <c r="F3" s="41" t="str">
        <f>IFERROR(__xludf.DUMMYFUNCTION("""COMPUTED_VALUE"""),"行銷營運中心")</f>
        <v>行銷營運中心</v>
      </c>
      <c r="G3" s="41" t="str">
        <f>IFERROR(__xludf.DUMMYFUNCTION("""COMPUTED_VALUE"""),"GWS")</f>
        <v>GWS</v>
      </c>
      <c r="H3" s="61">
        <f>IFERROR(__xludf.DUMMYFUNCTION("""COMPUTED_VALUE"""),412.0)</f>
        <v>412</v>
      </c>
      <c r="I3" s="41">
        <f>IFERROR(__xludf.DUMMYFUNCTION("""COMPUTED_VALUE"""),56.0)</f>
        <v>56</v>
      </c>
      <c r="J3" s="41">
        <f>IFERROR(__xludf.DUMMYFUNCTION("""COMPUTED_VALUE"""),23072.0)</f>
        <v>23072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B4" s="41" t="str">
        <f>IFERROR(__xludf.DUMMYFUNCTION("""COMPUTED_VALUE"""),"TW")</f>
        <v>TW</v>
      </c>
      <c r="C4" s="41"/>
      <c r="D4" s="41"/>
      <c r="E4" s="41"/>
      <c r="F4" s="41" t="str">
        <f>IFERROR(__xludf.DUMMYFUNCTION("""COMPUTED_VALUE"""),"研發中心")</f>
        <v>研發中心</v>
      </c>
      <c r="G4" s="41" t="str">
        <f>IFERROR(__xludf.DUMMYFUNCTION("""COMPUTED_VALUE"""),"GWS")</f>
        <v>GWS</v>
      </c>
      <c r="H4" s="61">
        <f>IFERROR(__xludf.DUMMYFUNCTION("""COMPUTED_VALUE"""),412.0)</f>
        <v>412</v>
      </c>
      <c r="I4" s="41">
        <f>IFERROR(__xludf.DUMMYFUNCTION("""COMPUTED_VALUE"""),54.0)</f>
        <v>54</v>
      </c>
      <c r="J4" s="41">
        <f>IFERROR(__xludf.DUMMYFUNCTION("""COMPUTED_VALUE"""),22248.0)</f>
        <v>22248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B5" s="41" t="str">
        <f>IFERROR(__xludf.DUMMYFUNCTION("""COMPUTED_VALUE"""),"TW")</f>
        <v>TW</v>
      </c>
      <c r="C5" s="41"/>
      <c r="D5" s="41"/>
      <c r="E5" s="41"/>
      <c r="F5" s="41" t="str">
        <f>IFERROR(__xludf.DUMMYFUNCTION("""COMPUTED_VALUE"""),"客戶價值中心")</f>
        <v>客戶價值中心</v>
      </c>
      <c r="G5" s="41" t="str">
        <f>IFERROR(__xludf.DUMMYFUNCTION("""COMPUTED_VALUE"""),"GWS")</f>
        <v>GWS</v>
      </c>
      <c r="H5" s="61">
        <f>IFERROR(__xludf.DUMMYFUNCTION("""COMPUTED_VALUE"""),412.0)</f>
        <v>412</v>
      </c>
      <c r="I5" s="41">
        <f>IFERROR(__xludf.DUMMYFUNCTION("""COMPUTED_VALUE"""),33.0)</f>
        <v>33</v>
      </c>
      <c r="J5" s="41">
        <f>IFERROR(__xludf.DUMMYFUNCTION("""COMPUTED_VALUE"""),13596.0)</f>
        <v>13596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B6" s="41" t="str">
        <f>IFERROR(__xludf.DUMMYFUNCTION("""COMPUTED_VALUE"""),"TW")</f>
        <v>TW</v>
      </c>
      <c r="C6" s="41"/>
      <c r="D6" s="41"/>
      <c r="E6" s="41"/>
      <c r="F6" s="41" t="str">
        <f>IFERROR(__xludf.DUMMYFUNCTION("""COMPUTED_VALUE"""),"管理中心")</f>
        <v>管理中心</v>
      </c>
      <c r="G6" s="41" t="str">
        <f>IFERROR(__xludf.DUMMYFUNCTION("""COMPUTED_VALUE"""),"GWS")</f>
        <v>GWS</v>
      </c>
      <c r="H6" s="61">
        <f>IFERROR(__xludf.DUMMYFUNCTION("""COMPUTED_VALUE"""),412.0)</f>
        <v>412</v>
      </c>
      <c r="I6" s="41">
        <f>IFERROR(__xludf.DUMMYFUNCTION("""COMPUTED_VALUE"""),14.0)</f>
        <v>14</v>
      </c>
      <c r="J6" s="41">
        <f>IFERROR(__xludf.DUMMYFUNCTION("""COMPUTED_VALUE"""),5768.0)</f>
        <v>5768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B7" s="41" t="str">
        <f>IFERROR(__xludf.DUMMYFUNCTION("""COMPUTED_VALUE"""),"TW")</f>
        <v>TW</v>
      </c>
      <c r="C7" s="41"/>
      <c r="D7" s="41"/>
      <c r="E7" s="41"/>
      <c r="F7" s="41" t="str">
        <f>IFERROR(__xludf.DUMMYFUNCTION("""COMPUTED_VALUE"""),"執行長室")</f>
        <v>執行長室</v>
      </c>
      <c r="G7" s="41" t="str">
        <f>IFERROR(__xludf.DUMMYFUNCTION("""COMPUTED_VALUE"""),"GWS")</f>
        <v>GWS</v>
      </c>
      <c r="H7" s="61">
        <f>IFERROR(__xludf.DUMMYFUNCTION("""COMPUTED_VALUE"""),412.0)</f>
        <v>412</v>
      </c>
      <c r="I7" s="41">
        <f>IFERROR(__xludf.DUMMYFUNCTION("""COMPUTED_VALUE"""),4.0)</f>
        <v>4</v>
      </c>
      <c r="J7" s="41">
        <f>IFERROR(__xludf.DUMMYFUNCTION("""COMPUTED_VALUE"""),1648.0)</f>
        <v>1648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B8" s="41" t="str">
        <f>IFERROR(__xludf.DUMMYFUNCTION("""COMPUTED_VALUE"""),"TW")</f>
        <v>TW</v>
      </c>
      <c r="C8" s="41"/>
      <c r="D8" s="41"/>
      <c r="E8" s="41"/>
      <c r="F8" s="41" t="str">
        <f>IFERROR(__xludf.DUMMYFUNCTION("""COMPUTED_VALUE"""),"財務中心")</f>
        <v>財務中心</v>
      </c>
      <c r="G8" s="41" t="str">
        <f>IFERROR(__xludf.DUMMYFUNCTION("""COMPUTED_VALUE"""),"GWS")</f>
        <v>GWS</v>
      </c>
      <c r="H8" s="61">
        <f>IFERROR(__xludf.DUMMYFUNCTION("""COMPUTED_VALUE"""),412.0)</f>
        <v>412</v>
      </c>
      <c r="I8" s="41">
        <f>IFERROR(__xludf.DUMMYFUNCTION("""COMPUTED_VALUE"""),6.0)</f>
        <v>6</v>
      </c>
      <c r="J8" s="41">
        <f>IFERROR(__xludf.DUMMYFUNCTION("""COMPUTED_VALUE"""),2472.0)</f>
        <v>2472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B9" s="41" t="str">
        <f>IFERROR(__xludf.DUMMYFUNCTION("""COMPUTED_VALUE"""),"QLR")</f>
        <v>QLR</v>
      </c>
      <c r="C9" s="41"/>
      <c r="D9" s="41"/>
      <c r="E9" s="41"/>
      <c r="F9" s="41" t="str">
        <f>IFERROR(__xludf.DUMMYFUNCTION("""COMPUTED_VALUE"""),"Qlieer")</f>
        <v>Qlieer</v>
      </c>
      <c r="G9" s="41" t="str">
        <f>IFERROR(__xludf.DUMMYFUNCTION("""COMPUTED_VALUE"""),"GWS")</f>
        <v>GWS</v>
      </c>
      <c r="H9" s="61">
        <f>IFERROR(__xludf.DUMMYFUNCTION("""COMPUTED_VALUE"""),412.0)</f>
        <v>412</v>
      </c>
      <c r="I9" s="41">
        <f>IFERROR(__xludf.DUMMYFUNCTION("""COMPUTED_VALUE"""),0.0)</f>
        <v>0</v>
      </c>
      <c r="J9" s="41">
        <f>IFERROR(__xludf.DUMMYFUNCTION("""COMPUTED_VALUE"""),0.0)</f>
        <v>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B10" s="41" t="str">
        <f>IFERROR(__xludf.DUMMYFUNCTION("""COMPUTED_VALUE"""),"TW")</f>
        <v>TW</v>
      </c>
      <c r="C10" s="41"/>
      <c r="D10" s="41"/>
      <c r="E10" s="41"/>
      <c r="F10" s="41" t="str">
        <f>IFERROR(__xludf.DUMMYFUNCTION("""COMPUTED_VALUE"""),"策略資料中心")</f>
        <v>策略資料中心</v>
      </c>
      <c r="G10" s="41" t="str">
        <f>IFERROR(__xludf.DUMMYFUNCTION("""COMPUTED_VALUE"""),"GWS")</f>
        <v>GWS</v>
      </c>
      <c r="H10" s="61">
        <f>IFERROR(__xludf.DUMMYFUNCTION("""COMPUTED_VALUE"""),412.0)</f>
        <v>412</v>
      </c>
      <c r="I10" s="41">
        <f>IFERROR(__xludf.DUMMYFUNCTION("""COMPUTED_VALUE"""),5.0)</f>
        <v>5</v>
      </c>
      <c r="J10" s="41">
        <f>IFERROR(__xludf.DUMMYFUNCTION("""COMPUTED_VALUE"""),2060.0)</f>
        <v>2060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B11" s="41" t="str">
        <f>IFERROR(__xludf.DUMMYFUNCTION("""COMPUTED_VALUE"""),"HK")</f>
        <v>HK</v>
      </c>
      <c r="C11" s="41"/>
      <c r="D11" s="41"/>
      <c r="E11" s="41"/>
      <c r="F11" s="41" t="str">
        <f>IFERROR(__xludf.DUMMYFUNCTION("""COMPUTED_VALUE"""),"海外執行長室")</f>
        <v>海外執行長室</v>
      </c>
      <c r="G11" s="41" t="str">
        <f>IFERROR(__xludf.DUMMYFUNCTION("""COMPUTED_VALUE"""),"GWS")</f>
        <v>GWS</v>
      </c>
      <c r="H11" s="61">
        <f>IFERROR(__xludf.DUMMYFUNCTION("""COMPUTED_VALUE"""),412.0)</f>
        <v>412</v>
      </c>
      <c r="I11" s="41">
        <f>IFERROR(__xludf.DUMMYFUNCTION("""COMPUTED_VALUE"""),0.0)</f>
        <v>0</v>
      </c>
      <c r="J11" s="41">
        <f>IFERROR(__xludf.DUMMYFUNCTION("""COMPUTED_VALUE"""),0.0)</f>
        <v>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B12" s="41" t="str">
        <f>IFERROR(__xludf.DUMMYFUNCTION("""COMPUTED_VALUE"""),"TW")</f>
        <v>TW</v>
      </c>
      <c r="C12" s="41"/>
      <c r="D12" s="41"/>
      <c r="E12" s="41"/>
      <c r="F12" s="41" t="str">
        <f>IFERROR(__xludf.DUMMYFUNCTION("""COMPUTED_VALUE"""),"行銷營運中心")</f>
        <v>行銷營運中心</v>
      </c>
      <c r="G12" s="41" t="str">
        <f>IFERROR(__xludf.DUMMYFUNCTION("""COMPUTED_VALUE"""),"Asana")</f>
        <v>Asana</v>
      </c>
      <c r="H12" s="61">
        <f>IFERROR(__xludf.DUMMYFUNCTION("""COMPUTED_VALUE"""),830.0)</f>
        <v>830</v>
      </c>
      <c r="I12" s="41">
        <f>IFERROR(__xludf.DUMMYFUNCTION("""COMPUTED_VALUE"""),54.0)</f>
        <v>54</v>
      </c>
      <c r="J12" s="41">
        <f>IFERROR(__xludf.DUMMYFUNCTION("""COMPUTED_VALUE"""),44820.0)</f>
        <v>44820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B13" s="41" t="str">
        <f>IFERROR(__xludf.DUMMYFUNCTION("""COMPUTED_VALUE"""),"TW")</f>
        <v>TW</v>
      </c>
      <c r="C13" s="41"/>
      <c r="D13" s="41"/>
      <c r="E13" s="41"/>
      <c r="F13" s="41" t="str">
        <f>IFERROR(__xludf.DUMMYFUNCTION("""COMPUTED_VALUE"""),"研發中心")</f>
        <v>研發中心</v>
      </c>
      <c r="G13" s="41" t="str">
        <f>IFERROR(__xludf.DUMMYFUNCTION("""COMPUTED_VALUE"""),"Asana")</f>
        <v>Asana</v>
      </c>
      <c r="H13" s="61">
        <f>IFERROR(__xludf.DUMMYFUNCTION("""COMPUTED_VALUE"""),830.0)</f>
        <v>830</v>
      </c>
      <c r="I13" s="41">
        <f>IFERROR(__xludf.DUMMYFUNCTION("""COMPUTED_VALUE"""),47.0)</f>
        <v>47</v>
      </c>
      <c r="J13" s="41">
        <f>IFERROR(__xludf.DUMMYFUNCTION("""COMPUTED_VALUE"""),39010.0)</f>
        <v>39010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B14" s="41" t="str">
        <f>IFERROR(__xludf.DUMMYFUNCTION("""COMPUTED_VALUE"""),"TW")</f>
        <v>TW</v>
      </c>
      <c r="C14" s="41"/>
      <c r="D14" s="41"/>
      <c r="E14" s="41"/>
      <c r="F14" s="41" t="str">
        <f>IFERROR(__xludf.DUMMYFUNCTION("""COMPUTED_VALUE"""),"客戶價值中心")</f>
        <v>客戶價值中心</v>
      </c>
      <c r="G14" s="41" t="str">
        <f>IFERROR(__xludf.DUMMYFUNCTION("""COMPUTED_VALUE"""),"Asana")</f>
        <v>Asana</v>
      </c>
      <c r="H14" s="61">
        <f>IFERROR(__xludf.DUMMYFUNCTION("""COMPUTED_VALUE"""),830.0)</f>
        <v>830</v>
      </c>
      <c r="I14" s="41">
        <f>IFERROR(__xludf.DUMMYFUNCTION("""COMPUTED_VALUE"""),27.0)</f>
        <v>27</v>
      </c>
      <c r="J14" s="41">
        <f>IFERROR(__xludf.DUMMYFUNCTION("""COMPUTED_VALUE"""),22410.0)</f>
        <v>22410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B15" s="41" t="str">
        <f>IFERROR(__xludf.DUMMYFUNCTION("""COMPUTED_VALUE"""),"TW")</f>
        <v>TW</v>
      </c>
      <c r="C15" s="41"/>
      <c r="D15" s="41"/>
      <c r="E15" s="41"/>
      <c r="F15" s="41" t="str">
        <f>IFERROR(__xludf.DUMMYFUNCTION("""COMPUTED_VALUE"""),"管理中心")</f>
        <v>管理中心</v>
      </c>
      <c r="G15" s="41" t="str">
        <f>IFERROR(__xludf.DUMMYFUNCTION("""COMPUTED_VALUE"""),"Asana")</f>
        <v>Asana</v>
      </c>
      <c r="H15" s="61">
        <f>IFERROR(__xludf.DUMMYFUNCTION("""COMPUTED_VALUE"""),830.0)</f>
        <v>830</v>
      </c>
      <c r="I15" s="41">
        <f>IFERROR(__xludf.DUMMYFUNCTION("""COMPUTED_VALUE"""),13.0)</f>
        <v>13</v>
      </c>
      <c r="J15" s="41">
        <f>IFERROR(__xludf.DUMMYFUNCTION("""COMPUTED_VALUE"""),10790.0)</f>
        <v>10790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B16" s="41" t="str">
        <f>IFERROR(__xludf.DUMMYFUNCTION("""COMPUTED_VALUE"""),"TW")</f>
        <v>TW</v>
      </c>
      <c r="C16" s="41"/>
      <c r="D16" s="41"/>
      <c r="E16" s="41"/>
      <c r="F16" s="41" t="str">
        <f>IFERROR(__xludf.DUMMYFUNCTION("""COMPUTED_VALUE"""),"執行長室")</f>
        <v>執行長室</v>
      </c>
      <c r="G16" s="41" t="str">
        <f>IFERROR(__xludf.DUMMYFUNCTION("""COMPUTED_VALUE"""),"Asana")</f>
        <v>Asana</v>
      </c>
      <c r="H16" s="61">
        <f>IFERROR(__xludf.DUMMYFUNCTION("""COMPUTED_VALUE"""),830.0)</f>
        <v>830</v>
      </c>
      <c r="I16" s="41">
        <f>IFERROR(__xludf.DUMMYFUNCTION("""COMPUTED_VALUE"""),4.0)</f>
        <v>4</v>
      </c>
      <c r="J16" s="41">
        <f>IFERROR(__xludf.DUMMYFUNCTION("""COMPUTED_VALUE"""),3320.0)</f>
        <v>3320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B17" s="41" t="str">
        <f>IFERROR(__xludf.DUMMYFUNCTION("""COMPUTED_VALUE"""),"TW")</f>
        <v>TW</v>
      </c>
      <c r="C17" s="41"/>
      <c r="D17" s="41"/>
      <c r="E17" s="41"/>
      <c r="F17" s="41" t="str">
        <f>IFERROR(__xludf.DUMMYFUNCTION("""COMPUTED_VALUE"""),"財務中心")</f>
        <v>財務中心</v>
      </c>
      <c r="G17" s="41" t="str">
        <f>IFERROR(__xludf.DUMMYFUNCTION("""COMPUTED_VALUE"""),"Asana")</f>
        <v>Asana</v>
      </c>
      <c r="H17" s="61">
        <f>IFERROR(__xludf.DUMMYFUNCTION("""COMPUTED_VALUE"""),830.0)</f>
        <v>830</v>
      </c>
      <c r="I17" s="41">
        <f>IFERROR(__xludf.DUMMYFUNCTION("""COMPUTED_VALUE"""),5.0)</f>
        <v>5</v>
      </c>
      <c r="J17" s="41">
        <f>IFERROR(__xludf.DUMMYFUNCTION("""COMPUTED_VALUE"""),4150.0)</f>
        <v>4150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B18" s="41" t="str">
        <f>IFERROR(__xludf.DUMMYFUNCTION("""COMPUTED_VALUE"""),"QLR")</f>
        <v>QLR</v>
      </c>
      <c r="C18" s="41"/>
      <c r="D18" s="41"/>
      <c r="E18" s="41"/>
      <c r="F18" s="41" t="str">
        <f>IFERROR(__xludf.DUMMYFUNCTION("""COMPUTED_VALUE"""),"Qlieer")</f>
        <v>Qlieer</v>
      </c>
      <c r="G18" s="41" t="str">
        <f>IFERROR(__xludf.DUMMYFUNCTION("""COMPUTED_VALUE"""),"Asana")</f>
        <v>Asana</v>
      </c>
      <c r="H18" s="61">
        <f>IFERROR(__xludf.DUMMYFUNCTION("""COMPUTED_VALUE"""),830.0)</f>
        <v>830</v>
      </c>
      <c r="I18" s="41">
        <f>IFERROR(__xludf.DUMMYFUNCTION("""COMPUTED_VALUE"""),0.0)</f>
        <v>0</v>
      </c>
      <c r="J18" s="41">
        <f>IFERROR(__xludf.DUMMYFUNCTION("""COMPUTED_VALUE"""),0.0)</f>
        <v>0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B19" s="41" t="str">
        <f>IFERROR(__xludf.DUMMYFUNCTION("""COMPUTED_VALUE"""),"TW")</f>
        <v>TW</v>
      </c>
      <c r="C19" s="41"/>
      <c r="D19" s="41"/>
      <c r="E19" s="41"/>
      <c r="F19" s="41" t="str">
        <f>IFERROR(__xludf.DUMMYFUNCTION("""COMPUTED_VALUE"""),"策略資料中心")</f>
        <v>策略資料中心</v>
      </c>
      <c r="G19" s="41" t="str">
        <f>IFERROR(__xludf.DUMMYFUNCTION("""COMPUTED_VALUE"""),"Asana")</f>
        <v>Asana</v>
      </c>
      <c r="H19" s="61">
        <f>IFERROR(__xludf.DUMMYFUNCTION("""COMPUTED_VALUE"""),830.0)</f>
        <v>830</v>
      </c>
      <c r="I19" s="41">
        <f>IFERROR(__xludf.DUMMYFUNCTION("""COMPUTED_VALUE"""),5.0)</f>
        <v>5</v>
      </c>
      <c r="J19" s="41">
        <f>IFERROR(__xludf.DUMMYFUNCTION("""COMPUTED_VALUE"""),4150.0)</f>
        <v>4150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B20" s="41" t="str">
        <f>IFERROR(__xludf.DUMMYFUNCTION("""COMPUTED_VALUE"""),"HK")</f>
        <v>HK</v>
      </c>
      <c r="C20" s="41"/>
      <c r="D20" s="41"/>
      <c r="E20" s="41"/>
      <c r="F20" s="41" t="str">
        <f>IFERROR(__xludf.DUMMYFUNCTION("""COMPUTED_VALUE"""),"海外執行長室")</f>
        <v>海外執行長室</v>
      </c>
      <c r="G20" s="41" t="str">
        <f>IFERROR(__xludf.DUMMYFUNCTION("""COMPUTED_VALUE"""),"Asana")</f>
        <v>Asana</v>
      </c>
      <c r="H20" s="61">
        <f>IFERROR(__xludf.DUMMYFUNCTION("""COMPUTED_VALUE"""),830.0)</f>
        <v>830</v>
      </c>
      <c r="I20" s="41">
        <f>IFERROR(__xludf.DUMMYFUNCTION("""COMPUTED_VALUE"""),0.0)</f>
        <v>0</v>
      </c>
      <c r="J20" s="41">
        <f>IFERROR(__xludf.DUMMYFUNCTION("""COMPUTED_VALUE"""),0.0)</f>
        <v>0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B21" s="41" t="str">
        <f>IFERROR(__xludf.DUMMYFUNCTION("""COMPUTED_VALUE"""),"TW")</f>
        <v>TW</v>
      </c>
      <c r="C21" s="41"/>
      <c r="D21" s="41"/>
      <c r="E21" s="41"/>
      <c r="F21" s="41" t="str">
        <f>IFERROR(__xludf.DUMMYFUNCTION("""COMPUTED_VALUE"""),"行銷營運中心")</f>
        <v>行銷營運中心</v>
      </c>
      <c r="G21" s="41" t="str">
        <f>IFERROR(__xludf.DUMMYFUNCTION("""COMPUTED_VALUE"""),"Netsuite (完整帳號)")</f>
        <v>Netsuite (完整帳號)</v>
      </c>
      <c r="H21" s="45">
        <f>IFERROR(__xludf.DUMMYFUNCTION("""COMPUTED_VALUE"""),1384.0)</f>
        <v>1384</v>
      </c>
      <c r="I21" s="41">
        <f>IFERROR(__xludf.DUMMYFUNCTION("""COMPUTED_VALUE"""),10.0)</f>
        <v>10</v>
      </c>
      <c r="J21" s="45">
        <f>IFERROR(__xludf.DUMMYFUNCTION("""COMPUTED_VALUE"""),13840.0)</f>
        <v>13840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B22" s="41" t="str">
        <f>IFERROR(__xludf.DUMMYFUNCTION("""COMPUTED_VALUE"""),"TW")</f>
        <v>TW</v>
      </c>
      <c r="C22" s="41"/>
      <c r="D22" s="41"/>
      <c r="E22" s="41"/>
      <c r="F22" s="41" t="str">
        <f>IFERROR(__xludf.DUMMYFUNCTION("""COMPUTED_VALUE"""),"研發中心")</f>
        <v>研發中心</v>
      </c>
      <c r="G22" s="41" t="str">
        <f>IFERROR(__xludf.DUMMYFUNCTION("""COMPUTED_VALUE"""),"Netsuite (完整帳號)")</f>
        <v>Netsuite (完整帳號)</v>
      </c>
      <c r="H22" s="45">
        <f>IFERROR(__xludf.DUMMYFUNCTION("""COMPUTED_VALUE"""),1384.0)</f>
        <v>1384</v>
      </c>
      <c r="I22" s="41">
        <f>IFERROR(__xludf.DUMMYFUNCTION("""COMPUTED_VALUE"""),4.0)</f>
        <v>4</v>
      </c>
      <c r="J22" s="45">
        <f>IFERROR(__xludf.DUMMYFUNCTION("""COMPUTED_VALUE"""),5536.0)</f>
        <v>5536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B23" s="41" t="str">
        <f>IFERROR(__xludf.DUMMYFUNCTION("""COMPUTED_VALUE"""),"TW")</f>
        <v>TW</v>
      </c>
      <c r="C23" s="41"/>
      <c r="D23" s="41"/>
      <c r="E23" s="41"/>
      <c r="F23" s="41" t="str">
        <f>IFERROR(__xludf.DUMMYFUNCTION("""COMPUTED_VALUE"""),"客戶價值中心")</f>
        <v>客戶價值中心</v>
      </c>
      <c r="G23" s="41" t="str">
        <f>IFERROR(__xludf.DUMMYFUNCTION("""COMPUTED_VALUE"""),"Netsuite (完整帳號)")</f>
        <v>Netsuite (完整帳號)</v>
      </c>
      <c r="H23" s="45">
        <f>IFERROR(__xludf.DUMMYFUNCTION("""COMPUTED_VALUE"""),1384.0)</f>
        <v>1384</v>
      </c>
      <c r="I23" s="41">
        <f>IFERROR(__xludf.DUMMYFUNCTION("""COMPUTED_VALUE"""),8.0)</f>
        <v>8</v>
      </c>
      <c r="J23" s="45">
        <f>IFERROR(__xludf.DUMMYFUNCTION("""COMPUTED_VALUE"""),11072.0)</f>
        <v>11072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B24" s="41" t="str">
        <f>IFERROR(__xludf.DUMMYFUNCTION("""COMPUTED_VALUE"""),"TW")</f>
        <v>TW</v>
      </c>
      <c r="C24" s="41"/>
      <c r="D24" s="41"/>
      <c r="E24" s="41"/>
      <c r="F24" s="41" t="str">
        <f>IFERROR(__xludf.DUMMYFUNCTION("""COMPUTED_VALUE"""),"管理中心")</f>
        <v>管理中心</v>
      </c>
      <c r="G24" s="41" t="str">
        <f>IFERROR(__xludf.DUMMYFUNCTION("""COMPUTED_VALUE"""),"Netsuite (完整帳號)")</f>
        <v>Netsuite (完整帳號)</v>
      </c>
      <c r="H24" s="45">
        <f>IFERROR(__xludf.DUMMYFUNCTION("""COMPUTED_VALUE"""),1384.0)</f>
        <v>1384</v>
      </c>
      <c r="I24" s="41">
        <f>IFERROR(__xludf.DUMMYFUNCTION("""COMPUTED_VALUE"""),5.0)</f>
        <v>5</v>
      </c>
      <c r="J24" s="45">
        <f>IFERROR(__xludf.DUMMYFUNCTION("""COMPUTED_VALUE"""),6920.0)</f>
        <v>6920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B25" s="41" t="str">
        <f>IFERROR(__xludf.DUMMYFUNCTION("""COMPUTED_VALUE"""),"TW")</f>
        <v>TW</v>
      </c>
      <c r="C25" s="41"/>
      <c r="D25" s="41"/>
      <c r="E25" s="41"/>
      <c r="F25" s="41" t="str">
        <f>IFERROR(__xludf.DUMMYFUNCTION("""COMPUTED_VALUE"""),"執行長室")</f>
        <v>執行長室</v>
      </c>
      <c r="G25" s="41" t="str">
        <f>IFERROR(__xludf.DUMMYFUNCTION("""COMPUTED_VALUE"""),"Netsuite (完整帳號)")</f>
        <v>Netsuite (完整帳號)</v>
      </c>
      <c r="H25" s="45">
        <f>IFERROR(__xludf.DUMMYFUNCTION("""COMPUTED_VALUE"""),1384.0)</f>
        <v>1384</v>
      </c>
      <c r="I25" s="41">
        <f>IFERROR(__xludf.DUMMYFUNCTION("""COMPUTED_VALUE"""),3.0)</f>
        <v>3</v>
      </c>
      <c r="J25" s="45">
        <f>IFERROR(__xludf.DUMMYFUNCTION("""COMPUTED_VALUE"""),4152.0)</f>
        <v>4152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B26" s="41" t="str">
        <f>IFERROR(__xludf.DUMMYFUNCTION("""COMPUTED_VALUE"""),"TW")</f>
        <v>TW</v>
      </c>
      <c r="C26" s="41"/>
      <c r="D26" s="41"/>
      <c r="E26" s="41"/>
      <c r="F26" s="41" t="str">
        <f>IFERROR(__xludf.DUMMYFUNCTION("""COMPUTED_VALUE"""),"財務中心")</f>
        <v>財務中心</v>
      </c>
      <c r="G26" s="41" t="str">
        <f>IFERROR(__xludf.DUMMYFUNCTION("""COMPUTED_VALUE"""),"Netsuite (完整帳號)")</f>
        <v>Netsuite (完整帳號)</v>
      </c>
      <c r="H26" s="45">
        <f>IFERROR(__xludf.DUMMYFUNCTION("""COMPUTED_VALUE"""),1384.0)</f>
        <v>1384</v>
      </c>
      <c r="I26" s="41">
        <f>IFERROR(__xludf.DUMMYFUNCTION("""COMPUTED_VALUE"""),5.0)</f>
        <v>5</v>
      </c>
      <c r="J26" s="45">
        <f>IFERROR(__xludf.DUMMYFUNCTION("""COMPUTED_VALUE"""),6920.0)</f>
        <v>6920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B27" s="41" t="str">
        <f>IFERROR(__xludf.DUMMYFUNCTION("""COMPUTED_VALUE"""),"QLR")</f>
        <v>QLR</v>
      </c>
      <c r="C27" s="41"/>
      <c r="D27" s="41"/>
      <c r="E27" s="41"/>
      <c r="F27" s="41" t="str">
        <f>IFERROR(__xludf.DUMMYFUNCTION("""COMPUTED_VALUE"""),"Qlieer")</f>
        <v>Qlieer</v>
      </c>
      <c r="G27" s="41" t="str">
        <f>IFERROR(__xludf.DUMMYFUNCTION("""COMPUTED_VALUE"""),"Netsuite (完整帳號)")</f>
        <v>Netsuite (完整帳號)</v>
      </c>
      <c r="H27" s="45">
        <f>IFERROR(__xludf.DUMMYFUNCTION("""COMPUTED_VALUE"""),1384.0)</f>
        <v>1384</v>
      </c>
      <c r="I27" s="41">
        <f>IFERROR(__xludf.DUMMYFUNCTION("""COMPUTED_VALUE"""),7.0)</f>
        <v>7</v>
      </c>
      <c r="J27" s="45">
        <f>IFERROR(__xludf.DUMMYFUNCTION("""COMPUTED_VALUE"""),9688.0)</f>
        <v>9688</v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B28" s="41" t="str">
        <f>IFERROR(__xludf.DUMMYFUNCTION("""COMPUTED_VALUE"""),"TW")</f>
        <v>TW</v>
      </c>
      <c r="C28" s="41"/>
      <c r="D28" s="41"/>
      <c r="E28" s="41"/>
      <c r="F28" s="41" t="str">
        <f>IFERROR(__xludf.DUMMYFUNCTION("""COMPUTED_VALUE"""),"策略資料中心")</f>
        <v>策略資料中心</v>
      </c>
      <c r="G28" s="41" t="str">
        <f>IFERROR(__xludf.DUMMYFUNCTION("""COMPUTED_VALUE"""),"Netsuite (完整帳號)")</f>
        <v>Netsuite (完整帳號)</v>
      </c>
      <c r="H28" s="45">
        <f>IFERROR(__xludf.DUMMYFUNCTION("""COMPUTED_VALUE"""),1384.0)</f>
        <v>1384</v>
      </c>
      <c r="I28" s="41">
        <f>IFERROR(__xludf.DUMMYFUNCTION("""COMPUTED_VALUE"""),4.0)</f>
        <v>4</v>
      </c>
      <c r="J28" s="45">
        <f>IFERROR(__xludf.DUMMYFUNCTION("""COMPUTED_VALUE"""),5536.0)</f>
        <v>5536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B29" s="41" t="str">
        <f>IFERROR(__xludf.DUMMYFUNCTION("""COMPUTED_VALUE"""),"HK")</f>
        <v>HK</v>
      </c>
      <c r="C29" s="41"/>
      <c r="D29" s="41"/>
      <c r="E29" s="41"/>
      <c r="F29" s="41" t="str">
        <f>IFERROR(__xludf.DUMMYFUNCTION("""COMPUTED_VALUE"""),"海外執行長室")</f>
        <v>海外執行長室</v>
      </c>
      <c r="G29" s="41" t="str">
        <f>IFERROR(__xludf.DUMMYFUNCTION("""COMPUTED_VALUE"""),"Netsuite (完整帳號)")</f>
        <v>Netsuite (完整帳號)</v>
      </c>
      <c r="H29" s="45">
        <f>IFERROR(__xludf.DUMMYFUNCTION("""COMPUTED_VALUE"""),1384.0)</f>
        <v>1384</v>
      </c>
      <c r="I29" s="41">
        <f>IFERROR(__xludf.DUMMYFUNCTION("""COMPUTED_VALUE"""),0.0)</f>
        <v>0</v>
      </c>
      <c r="J29" s="45">
        <f>IFERROR(__xludf.DUMMYFUNCTION("""COMPUTED_VALUE"""),0.0)</f>
        <v>0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B30" s="41" t="str">
        <f>IFERROR(__xludf.DUMMYFUNCTION("""COMPUTED_VALUE"""),"TW")</f>
        <v>TW</v>
      </c>
      <c r="C30" s="41"/>
      <c r="D30" s="41"/>
      <c r="E30" s="41"/>
      <c r="F30" s="41" t="str">
        <f>IFERROR(__xludf.DUMMYFUNCTION("""COMPUTED_VALUE"""),"行銷營運中心")</f>
        <v>行銷營運中心</v>
      </c>
      <c r="G30" s="41" t="str">
        <f>IFERROR(__xludf.DUMMYFUNCTION("""COMPUTED_VALUE"""),"Netsuite (請款帳號)")</f>
        <v>Netsuite (請款帳號)</v>
      </c>
      <c r="H30" s="45">
        <f>IFERROR(__xludf.DUMMYFUNCTION("""COMPUTED_VALUE"""),229.0)</f>
        <v>229</v>
      </c>
      <c r="I30" s="41">
        <f>IFERROR(__xludf.DUMMYFUNCTION("""COMPUTED_VALUE"""),38.0)</f>
        <v>38</v>
      </c>
      <c r="J30" s="45">
        <f>IFERROR(__xludf.DUMMYFUNCTION("""COMPUTED_VALUE"""),8702.0)</f>
        <v>8702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B31" s="41" t="str">
        <f>IFERROR(__xludf.DUMMYFUNCTION("""COMPUTED_VALUE"""),"TW")</f>
        <v>TW</v>
      </c>
      <c r="C31" s="41"/>
      <c r="D31" s="41"/>
      <c r="E31" s="41"/>
      <c r="F31" s="41" t="str">
        <f>IFERROR(__xludf.DUMMYFUNCTION("""COMPUTED_VALUE"""),"研發中心")</f>
        <v>研發中心</v>
      </c>
      <c r="G31" s="41" t="str">
        <f>IFERROR(__xludf.DUMMYFUNCTION("""COMPUTED_VALUE"""),"Netsuite (請款帳號)")</f>
        <v>Netsuite (請款帳號)</v>
      </c>
      <c r="H31" s="45">
        <f>IFERROR(__xludf.DUMMYFUNCTION("""COMPUTED_VALUE"""),229.0)</f>
        <v>229</v>
      </c>
      <c r="I31" s="41">
        <f>IFERROR(__xludf.DUMMYFUNCTION("""COMPUTED_VALUE"""),42.0)</f>
        <v>42</v>
      </c>
      <c r="J31" s="45">
        <f>IFERROR(__xludf.DUMMYFUNCTION("""COMPUTED_VALUE"""),9618.0)</f>
        <v>9618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B32" s="41" t="str">
        <f>IFERROR(__xludf.DUMMYFUNCTION("""COMPUTED_VALUE"""),"TW")</f>
        <v>TW</v>
      </c>
      <c r="C32" s="41"/>
      <c r="D32" s="41"/>
      <c r="E32" s="41"/>
      <c r="F32" s="41" t="str">
        <f>IFERROR(__xludf.DUMMYFUNCTION("""COMPUTED_VALUE"""),"客戶價值中心")</f>
        <v>客戶價值中心</v>
      </c>
      <c r="G32" s="41" t="str">
        <f>IFERROR(__xludf.DUMMYFUNCTION("""COMPUTED_VALUE"""),"Netsuite (請款帳號)")</f>
        <v>Netsuite (請款帳號)</v>
      </c>
      <c r="H32" s="45">
        <f>IFERROR(__xludf.DUMMYFUNCTION("""COMPUTED_VALUE"""),229.0)</f>
        <v>229</v>
      </c>
      <c r="I32" s="41">
        <f>IFERROR(__xludf.DUMMYFUNCTION("""COMPUTED_VALUE"""),18.0)</f>
        <v>18</v>
      </c>
      <c r="J32" s="45">
        <f>IFERROR(__xludf.DUMMYFUNCTION("""COMPUTED_VALUE"""),4122.0)</f>
        <v>4122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B33" s="41" t="str">
        <f>IFERROR(__xludf.DUMMYFUNCTION("""COMPUTED_VALUE"""),"TW")</f>
        <v>TW</v>
      </c>
      <c r="C33" s="41"/>
      <c r="D33" s="41"/>
      <c r="E33" s="41"/>
      <c r="F33" s="41" t="str">
        <f>IFERROR(__xludf.DUMMYFUNCTION("""COMPUTED_VALUE"""),"管理中心")</f>
        <v>管理中心</v>
      </c>
      <c r="G33" s="41" t="str">
        <f>IFERROR(__xludf.DUMMYFUNCTION("""COMPUTED_VALUE"""),"Netsuite (請款帳號)")</f>
        <v>Netsuite (請款帳號)</v>
      </c>
      <c r="H33" s="45">
        <f>IFERROR(__xludf.DUMMYFUNCTION("""COMPUTED_VALUE"""),229.0)</f>
        <v>229</v>
      </c>
      <c r="I33" s="41">
        <f>IFERROR(__xludf.DUMMYFUNCTION("""COMPUTED_VALUE"""),8.0)</f>
        <v>8</v>
      </c>
      <c r="J33" s="45">
        <f>IFERROR(__xludf.DUMMYFUNCTION("""COMPUTED_VALUE"""),1832.0)</f>
        <v>1832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B34" s="41" t="str">
        <f>IFERROR(__xludf.DUMMYFUNCTION("""COMPUTED_VALUE"""),"TW")</f>
        <v>TW</v>
      </c>
      <c r="C34" s="41"/>
      <c r="D34" s="41"/>
      <c r="E34" s="41"/>
      <c r="F34" s="41" t="str">
        <f>IFERROR(__xludf.DUMMYFUNCTION("""COMPUTED_VALUE"""),"執行長室")</f>
        <v>執行長室</v>
      </c>
      <c r="G34" s="41" t="str">
        <f>IFERROR(__xludf.DUMMYFUNCTION("""COMPUTED_VALUE"""),"Netsuite (請款帳號)")</f>
        <v>Netsuite (請款帳號)</v>
      </c>
      <c r="H34" s="45">
        <f>IFERROR(__xludf.DUMMYFUNCTION("""COMPUTED_VALUE"""),229.0)</f>
        <v>229</v>
      </c>
      <c r="I34" s="41">
        <f>IFERROR(__xludf.DUMMYFUNCTION("""COMPUTED_VALUE"""),1.0)</f>
        <v>1</v>
      </c>
      <c r="J34" s="45">
        <f>IFERROR(__xludf.DUMMYFUNCTION("""COMPUTED_VALUE"""),229.0)</f>
        <v>229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B35" s="41" t="str">
        <f>IFERROR(__xludf.DUMMYFUNCTION("""COMPUTED_VALUE"""),"TW")</f>
        <v>TW</v>
      </c>
      <c r="C35" s="41"/>
      <c r="D35" s="41"/>
      <c r="E35" s="41"/>
      <c r="F35" s="41" t="str">
        <f>IFERROR(__xludf.DUMMYFUNCTION("""COMPUTED_VALUE"""),"財務中心")</f>
        <v>財務中心</v>
      </c>
      <c r="G35" s="41" t="str">
        <f>IFERROR(__xludf.DUMMYFUNCTION("""COMPUTED_VALUE"""),"Netsuite (請款帳號)")</f>
        <v>Netsuite (請款帳號)</v>
      </c>
      <c r="H35" s="45">
        <f>IFERROR(__xludf.DUMMYFUNCTION("""COMPUTED_VALUE"""),229.0)</f>
        <v>229</v>
      </c>
      <c r="I35" s="41">
        <f>IFERROR(__xludf.DUMMYFUNCTION("""COMPUTED_VALUE"""),0.0)</f>
        <v>0</v>
      </c>
      <c r="J35" s="45">
        <f>IFERROR(__xludf.DUMMYFUNCTION("""COMPUTED_VALUE"""),0.0)</f>
        <v>0</v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B36" s="41" t="str">
        <f>IFERROR(__xludf.DUMMYFUNCTION("""COMPUTED_VALUE"""),"QLR")</f>
        <v>QLR</v>
      </c>
      <c r="C36" s="41"/>
      <c r="D36" s="41"/>
      <c r="E36" s="41"/>
      <c r="F36" s="41" t="str">
        <f>IFERROR(__xludf.DUMMYFUNCTION("""COMPUTED_VALUE"""),"Qlieer")</f>
        <v>Qlieer</v>
      </c>
      <c r="G36" s="41" t="str">
        <f>IFERROR(__xludf.DUMMYFUNCTION("""COMPUTED_VALUE"""),"Netsuite (請款帳號)")</f>
        <v>Netsuite (請款帳號)</v>
      </c>
      <c r="H36" s="45">
        <f>IFERROR(__xludf.DUMMYFUNCTION("""COMPUTED_VALUE"""),229.0)</f>
        <v>229</v>
      </c>
      <c r="I36" s="41">
        <f>IFERROR(__xludf.DUMMYFUNCTION("""COMPUTED_VALUE"""),25.0)</f>
        <v>25</v>
      </c>
      <c r="J36" s="45">
        <f>IFERROR(__xludf.DUMMYFUNCTION("""COMPUTED_VALUE"""),5725.0)</f>
        <v>5725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B37" s="41" t="str">
        <f>IFERROR(__xludf.DUMMYFUNCTION("""COMPUTED_VALUE"""),"TW")</f>
        <v>TW</v>
      </c>
      <c r="C37" s="41"/>
      <c r="D37" s="41"/>
      <c r="E37" s="41"/>
      <c r="F37" s="41" t="str">
        <f>IFERROR(__xludf.DUMMYFUNCTION("""COMPUTED_VALUE"""),"策略資料中心")</f>
        <v>策略資料中心</v>
      </c>
      <c r="G37" s="41" t="str">
        <f>IFERROR(__xludf.DUMMYFUNCTION("""COMPUTED_VALUE"""),"Netsuite (請款帳號)")</f>
        <v>Netsuite (請款帳號)</v>
      </c>
      <c r="H37" s="45">
        <f>IFERROR(__xludf.DUMMYFUNCTION("""COMPUTED_VALUE"""),229.0)</f>
        <v>229</v>
      </c>
      <c r="I37" s="41">
        <f>IFERROR(__xludf.DUMMYFUNCTION("""COMPUTED_VALUE"""),1.0)</f>
        <v>1</v>
      </c>
      <c r="J37" s="45">
        <f>IFERROR(__xludf.DUMMYFUNCTION("""COMPUTED_VALUE"""),229.0)</f>
        <v>229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B38" s="41" t="str">
        <f>IFERROR(__xludf.DUMMYFUNCTION("""COMPUTED_VALUE"""),"HK")</f>
        <v>HK</v>
      </c>
      <c r="C38" s="41"/>
      <c r="D38" s="41"/>
      <c r="E38" s="41"/>
      <c r="F38" s="41" t="str">
        <f>IFERROR(__xludf.DUMMYFUNCTION("""COMPUTED_VALUE"""),"海外執行長室")</f>
        <v>海外執行長室</v>
      </c>
      <c r="G38" s="41" t="str">
        <f>IFERROR(__xludf.DUMMYFUNCTION("""COMPUTED_VALUE"""),"Netsuite (請款帳號)")</f>
        <v>Netsuite (請款帳號)</v>
      </c>
      <c r="H38" s="45">
        <f>IFERROR(__xludf.DUMMYFUNCTION("""COMPUTED_VALUE"""),229.0)</f>
        <v>229</v>
      </c>
      <c r="I38" s="41">
        <f>IFERROR(__xludf.DUMMYFUNCTION("""COMPUTED_VALUE"""),0.0)</f>
        <v>0</v>
      </c>
      <c r="J38" s="45">
        <f>IFERROR(__xludf.DUMMYFUNCTION("""COMPUTED_VALUE"""),0.0)</f>
        <v>0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B39" s="41" t="str">
        <f>IFERROR(__xludf.DUMMYFUNCTION("""COMPUTED_VALUE"""),"TW")</f>
        <v>TW</v>
      </c>
      <c r="C39" s="41"/>
      <c r="D39" s="41"/>
      <c r="E39" s="41"/>
      <c r="F39" s="41" t="str">
        <f>IFERROR(__xludf.DUMMYFUNCTION("""COMPUTED_VALUE"""),"行銷營運中心")</f>
        <v>行銷營運中心</v>
      </c>
      <c r="G39" s="41" t="str">
        <f>IFERROR(__xludf.DUMMYFUNCTION("""COMPUTED_VALUE"""),"Slack")</f>
        <v>Slack</v>
      </c>
      <c r="H39" s="61">
        <f>IFERROR(__xludf.DUMMYFUNCTION("""COMPUTED_VALUE"""),218.0)</f>
        <v>218</v>
      </c>
      <c r="I39" s="41">
        <f>IFERROR(__xludf.DUMMYFUNCTION("""COMPUTED_VALUE"""),56.0)</f>
        <v>56</v>
      </c>
      <c r="J39" s="41">
        <f>IFERROR(__xludf.DUMMYFUNCTION("""COMPUTED_VALUE"""),12208.0)</f>
        <v>12208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B40" s="41" t="str">
        <f>IFERROR(__xludf.DUMMYFUNCTION("""COMPUTED_VALUE"""),"TW")</f>
        <v>TW</v>
      </c>
      <c r="C40" s="41"/>
      <c r="D40" s="41"/>
      <c r="E40" s="41"/>
      <c r="F40" s="41" t="str">
        <f>IFERROR(__xludf.DUMMYFUNCTION("""COMPUTED_VALUE"""),"研發中心")</f>
        <v>研發中心</v>
      </c>
      <c r="G40" s="41" t="str">
        <f>IFERROR(__xludf.DUMMYFUNCTION("""COMPUTED_VALUE"""),"Slack")</f>
        <v>Slack</v>
      </c>
      <c r="H40" s="61">
        <f>IFERROR(__xludf.DUMMYFUNCTION("""COMPUTED_VALUE"""),218.0)</f>
        <v>218</v>
      </c>
      <c r="I40" s="41">
        <f>IFERROR(__xludf.DUMMYFUNCTION("""COMPUTED_VALUE"""),48.0)</f>
        <v>48</v>
      </c>
      <c r="J40" s="41">
        <f>IFERROR(__xludf.DUMMYFUNCTION("""COMPUTED_VALUE"""),10464.0)</f>
        <v>10464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B41" s="41" t="str">
        <f>IFERROR(__xludf.DUMMYFUNCTION("""COMPUTED_VALUE"""),"TW")</f>
        <v>TW</v>
      </c>
      <c r="C41" s="41"/>
      <c r="D41" s="41"/>
      <c r="E41" s="41"/>
      <c r="F41" s="41" t="str">
        <f>IFERROR(__xludf.DUMMYFUNCTION("""COMPUTED_VALUE"""),"客戶價值中心")</f>
        <v>客戶價值中心</v>
      </c>
      <c r="G41" s="41" t="str">
        <f>IFERROR(__xludf.DUMMYFUNCTION("""COMPUTED_VALUE"""),"Slack")</f>
        <v>Slack</v>
      </c>
      <c r="H41" s="61">
        <f>IFERROR(__xludf.DUMMYFUNCTION("""COMPUTED_VALUE"""),218.0)</f>
        <v>218</v>
      </c>
      <c r="I41" s="41">
        <f>IFERROR(__xludf.DUMMYFUNCTION("""COMPUTED_VALUE"""),37.0)</f>
        <v>37</v>
      </c>
      <c r="J41" s="41">
        <f>IFERROR(__xludf.DUMMYFUNCTION("""COMPUTED_VALUE"""),8066.0)</f>
        <v>8066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B42" s="41" t="str">
        <f>IFERROR(__xludf.DUMMYFUNCTION("""COMPUTED_VALUE"""),"TW")</f>
        <v>TW</v>
      </c>
      <c r="C42" s="41"/>
      <c r="D42" s="41"/>
      <c r="E42" s="41"/>
      <c r="F42" s="41" t="str">
        <f>IFERROR(__xludf.DUMMYFUNCTION("""COMPUTED_VALUE"""),"管理中心")</f>
        <v>管理中心</v>
      </c>
      <c r="G42" s="41" t="str">
        <f>IFERROR(__xludf.DUMMYFUNCTION("""COMPUTED_VALUE"""),"Slack")</f>
        <v>Slack</v>
      </c>
      <c r="H42" s="61">
        <f>IFERROR(__xludf.DUMMYFUNCTION("""COMPUTED_VALUE"""),218.0)</f>
        <v>218</v>
      </c>
      <c r="I42" s="41">
        <f>IFERROR(__xludf.DUMMYFUNCTION("""COMPUTED_VALUE"""),12.0)</f>
        <v>12</v>
      </c>
      <c r="J42" s="41">
        <f>IFERROR(__xludf.DUMMYFUNCTION("""COMPUTED_VALUE"""),2616.0)</f>
        <v>2616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B43" s="41" t="str">
        <f>IFERROR(__xludf.DUMMYFUNCTION("""COMPUTED_VALUE"""),"TW")</f>
        <v>TW</v>
      </c>
      <c r="C43" s="41"/>
      <c r="D43" s="41"/>
      <c r="E43" s="41"/>
      <c r="F43" s="41" t="str">
        <f>IFERROR(__xludf.DUMMYFUNCTION("""COMPUTED_VALUE"""),"執行長室")</f>
        <v>執行長室</v>
      </c>
      <c r="G43" s="41" t="str">
        <f>IFERROR(__xludf.DUMMYFUNCTION("""COMPUTED_VALUE"""),"Slack")</f>
        <v>Slack</v>
      </c>
      <c r="H43" s="61">
        <f>IFERROR(__xludf.DUMMYFUNCTION("""COMPUTED_VALUE"""),218.0)</f>
        <v>218</v>
      </c>
      <c r="I43" s="41">
        <f>IFERROR(__xludf.DUMMYFUNCTION("""COMPUTED_VALUE"""),6.0)</f>
        <v>6</v>
      </c>
      <c r="J43" s="41">
        <f>IFERROR(__xludf.DUMMYFUNCTION("""COMPUTED_VALUE"""),1308.0)</f>
        <v>1308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B44" s="41" t="str">
        <f>IFERROR(__xludf.DUMMYFUNCTION("""COMPUTED_VALUE"""),"TW")</f>
        <v>TW</v>
      </c>
      <c r="C44" s="41"/>
      <c r="D44" s="41"/>
      <c r="E44" s="41"/>
      <c r="F44" s="41" t="str">
        <f>IFERROR(__xludf.DUMMYFUNCTION("""COMPUTED_VALUE"""),"財務中心")</f>
        <v>財務中心</v>
      </c>
      <c r="G44" s="41" t="str">
        <f>IFERROR(__xludf.DUMMYFUNCTION("""COMPUTED_VALUE"""),"Slack")</f>
        <v>Slack</v>
      </c>
      <c r="H44" s="61">
        <f>IFERROR(__xludf.DUMMYFUNCTION("""COMPUTED_VALUE"""),218.0)</f>
        <v>218</v>
      </c>
      <c r="I44" s="41">
        <f>IFERROR(__xludf.DUMMYFUNCTION("""COMPUTED_VALUE"""),5.0)</f>
        <v>5</v>
      </c>
      <c r="J44" s="41">
        <f>IFERROR(__xludf.DUMMYFUNCTION("""COMPUTED_VALUE"""),1090.0)</f>
        <v>1090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B45" s="41" t="str">
        <f>IFERROR(__xludf.DUMMYFUNCTION("""COMPUTED_VALUE"""),"QLR")</f>
        <v>QLR</v>
      </c>
      <c r="C45" s="41"/>
      <c r="D45" s="41"/>
      <c r="E45" s="41"/>
      <c r="F45" s="41" t="str">
        <f>IFERROR(__xludf.DUMMYFUNCTION("""COMPUTED_VALUE"""),"Qlieer")</f>
        <v>Qlieer</v>
      </c>
      <c r="G45" s="41" t="str">
        <f>IFERROR(__xludf.DUMMYFUNCTION("""COMPUTED_VALUE"""),"Slack")</f>
        <v>Slack</v>
      </c>
      <c r="H45" s="61">
        <f>IFERROR(__xludf.DUMMYFUNCTION("""COMPUTED_VALUE"""),218.0)</f>
        <v>218</v>
      </c>
      <c r="I45" s="41">
        <f>IFERROR(__xludf.DUMMYFUNCTION("""COMPUTED_VALUE"""),0.0)</f>
        <v>0</v>
      </c>
      <c r="J45" s="41">
        <f>IFERROR(__xludf.DUMMYFUNCTION("""COMPUTED_VALUE"""),0.0)</f>
        <v>0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B46" s="41" t="str">
        <f>IFERROR(__xludf.DUMMYFUNCTION("""COMPUTED_VALUE"""),"TW")</f>
        <v>TW</v>
      </c>
      <c r="C46" s="41"/>
      <c r="D46" s="41"/>
      <c r="E46" s="41"/>
      <c r="F46" s="41" t="str">
        <f>IFERROR(__xludf.DUMMYFUNCTION("""COMPUTED_VALUE"""),"策略資料中心")</f>
        <v>策略資料中心</v>
      </c>
      <c r="G46" s="41" t="str">
        <f>IFERROR(__xludf.DUMMYFUNCTION("""COMPUTED_VALUE"""),"Slack")</f>
        <v>Slack</v>
      </c>
      <c r="H46" s="61">
        <f>IFERROR(__xludf.DUMMYFUNCTION("""COMPUTED_VALUE"""),218.0)</f>
        <v>218</v>
      </c>
      <c r="I46" s="41">
        <f>IFERROR(__xludf.DUMMYFUNCTION("""COMPUTED_VALUE"""),4.0)</f>
        <v>4</v>
      </c>
      <c r="J46" s="41">
        <f>IFERROR(__xludf.DUMMYFUNCTION("""COMPUTED_VALUE"""),872.0)</f>
        <v>872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B47" s="41" t="str">
        <f>IFERROR(__xludf.DUMMYFUNCTION("""COMPUTED_VALUE"""),"HK")</f>
        <v>HK</v>
      </c>
      <c r="C47" s="41"/>
      <c r="D47" s="41"/>
      <c r="E47" s="41"/>
      <c r="F47" s="41" t="str">
        <f>IFERROR(__xludf.DUMMYFUNCTION("""COMPUTED_VALUE"""),"海外執行長室")</f>
        <v>海外執行長室</v>
      </c>
      <c r="G47" s="41" t="str">
        <f>IFERROR(__xludf.DUMMYFUNCTION("""COMPUTED_VALUE"""),"Slack")</f>
        <v>Slack</v>
      </c>
      <c r="H47" s="61">
        <f>IFERROR(__xludf.DUMMYFUNCTION("""COMPUTED_VALUE"""),218.0)</f>
        <v>218</v>
      </c>
      <c r="I47" s="41">
        <f>IFERROR(__xludf.DUMMYFUNCTION("""COMPUTED_VALUE"""),5.0)</f>
        <v>5</v>
      </c>
      <c r="J47" s="41">
        <f>IFERROR(__xludf.DUMMYFUNCTION("""COMPUTED_VALUE"""),1090.0)</f>
        <v>1090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B48" s="41" t="str">
        <f>IFERROR(__xludf.DUMMYFUNCTION("""COMPUTED_VALUE"""),"TW")</f>
        <v>TW</v>
      </c>
      <c r="C48" s="41"/>
      <c r="D48" s="41"/>
      <c r="E48" s="41"/>
      <c r="F48" s="41" t="str">
        <f>IFERROR(__xludf.DUMMYFUNCTION("""COMPUTED_VALUE"""),"行銷營運中心")</f>
        <v>行銷營運中心</v>
      </c>
      <c r="G48" s="41" t="str">
        <f>IFERROR(__xludf.DUMMYFUNCTION("""COMPUTED_VALUE"""),"Notion")</f>
        <v>Notion</v>
      </c>
      <c r="H48" s="61">
        <f>IFERROR(__xludf.DUMMYFUNCTION("""COMPUTED_VALUE"""),300.0)</f>
        <v>300</v>
      </c>
      <c r="I48" s="41">
        <f>IFERROR(__xludf.DUMMYFUNCTION("""COMPUTED_VALUE"""),50.0)</f>
        <v>50</v>
      </c>
      <c r="J48" s="41">
        <f>IFERROR(__xludf.DUMMYFUNCTION("""COMPUTED_VALUE"""),15000.0)</f>
        <v>15000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B49" s="41" t="str">
        <f>IFERROR(__xludf.DUMMYFUNCTION("""COMPUTED_VALUE"""),"TW")</f>
        <v>TW</v>
      </c>
      <c r="C49" s="41"/>
      <c r="D49" s="41"/>
      <c r="E49" s="41"/>
      <c r="F49" s="41" t="str">
        <f>IFERROR(__xludf.DUMMYFUNCTION("""COMPUTED_VALUE"""),"研發中心")</f>
        <v>研發中心</v>
      </c>
      <c r="G49" s="41" t="str">
        <f>IFERROR(__xludf.DUMMYFUNCTION("""COMPUTED_VALUE"""),"Notion")</f>
        <v>Notion</v>
      </c>
      <c r="H49" s="61">
        <f>IFERROR(__xludf.DUMMYFUNCTION("""COMPUTED_VALUE"""),300.0)</f>
        <v>300</v>
      </c>
      <c r="I49" s="41">
        <f>IFERROR(__xludf.DUMMYFUNCTION("""COMPUTED_VALUE"""),48.0)</f>
        <v>48</v>
      </c>
      <c r="J49" s="41">
        <f>IFERROR(__xludf.DUMMYFUNCTION("""COMPUTED_VALUE"""),14400.0)</f>
        <v>14400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B50" s="41" t="str">
        <f>IFERROR(__xludf.DUMMYFUNCTION("""COMPUTED_VALUE"""),"TW")</f>
        <v>TW</v>
      </c>
      <c r="C50" s="41"/>
      <c r="D50" s="41"/>
      <c r="E50" s="41"/>
      <c r="F50" s="41" t="str">
        <f>IFERROR(__xludf.DUMMYFUNCTION("""COMPUTED_VALUE"""),"客戶價值中心")</f>
        <v>客戶價值中心</v>
      </c>
      <c r="G50" s="41" t="str">
        <f>IFERROR(__xludf.DUMMYFUNCTION("""COMPUTED_VALUE"""),"Notion")</f>
        <v>Notion</v>
      </c>
      <c r="H50" s="61">
        <f>IFERROR(__xludf.DUMMYFUNCTION("""COMPUTED_VALUE"""),300.0)</f>
        <v>300</v>
      </c>
      <c r="I50" s="41">
        <f>IFERROR(__xludf.DUMMYFUNCTION("""COMPUTED_VALUE"""),31.0)</f>
        <v>31</v>
      </c>
      <c r="J50" s="41">
        <f>IFERROR(__xludf.DUMMYFUNCTION("""COMPUTED_VALUE"""),9300.0)</f>
        <v>9300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B51" s="41" t="str">
        <f>IFERROR(__xludf.DUMMYFUNCTION("""COMPUTED_VALUE"""),"TW")</f>
        <v>TW</v>
      </c>
      <c r="C51" s="41"/>
      <c r="D51" s="41"/>
      <c r="E51" s="41"/>
      <c r="F51" s="41" t="str">
        <f>IFERROR(__xludf.DUMMYFUNCTION("""COMPUTED_VALUE"""),"管理中心")</f>
        <v>管理中心</v>
      </c>
      <c r="G51" s="41" t="str">
        <f>IFERROR(__xludf.DUMMYFUNCTION("""COMPUTED_VALUE"""),"Notion")</f>
        <v>Notion</v>
      </c>
      <c r="H51" s="61">
        <f>IFERROR(__xludf.DUMMYFUNCTION("""COMPUTED_VALUE"""),300.0)</f>
        <v>300</v>
      </c>
      <c r="I51" s="41">
        <f>IFERROR(__xludf.DUMMYFUNCTION("""COMPUTED_VALUE"""),12.0)</f>
        <v>12</v>
      </c>
      <c r="J51" s="41">
        <f>IFERROR(__xludf.DUMMYFUNCTION("""COMPUTED_VALUE"""),3600.0)</f>
        <v>3600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B52" s="41" t="str">
        <f>IFERROR(__xludf.DUMMYFUNCTION("""COMPUTED_VALUE"""),"TW")</f>
        <v>TW</v>
      </c>
      <c r="C52" s="41"/>
      <c r="D52" s="41"/>
      <c r="E52" s="41"/>
      <c r="F52" s="41" t="str">
        <f>IFERROR(__xludf.DUMMYFUNCTION("""COMPUTED_VALUE"""),"執行長室")</f>
        <v>執行長室</v>
      </c>
      <c r="G52" s="41" t="str">
        <f>IFERROR(__xludf.DUMMYFUNCTION("""COMPUTED_VALUE"""),"Notion")</f>
        <v>Notion</v>
      </c>
      <c r="H52" s="61">
        <f>IFERROR(__xludf.DUMMYFUNCTION("""COMPUTED_VALUE"""),300.0)</f>
        <v>300</v>
      </c>
      <c r="I52" s="41">
        <f>IFERROR(__xludf.DUMMYFUNCTION("""COMPUTED_VALUE"""),4.0)</f>
        <v>4</v>
      </c>
      <c r="J52" s="41">
        <f>IFERROR(__xludf.DUMMYFUNCTION("""COMPUTED_VALUE"""),1200.0)</f>
        <v>1200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B53" s="41" t="str">
        <f>IFERROR(__xludf.DUMMYFUNCTION("""COMPUTED_VALUE"""),"TW")</f>
        <v>TW</v>
      </c>
      <c r="C53" s="41"/>
      <c r="D53" s="41"/>
      <c r="E53" s="41"/>
      <c r="F53" s="41" t="str">
        <f>IFERROR(__xludf.DUMMYFUNCTION("""COMPUTED_VALUE"""),"財務中心")</f>
        <v>財務中心</v>
      </c>
      <c r="G53" s="41" t="str">
        <f>IFERROR(__xludf.DUMMYFUNCTION("""COMPUTED_VALUE"""),"Notion")</f>
        <v>Notion</v>
      </c>
      <c r="H53" s="61">
        <f>IFERROR(__xludf.DUMMYFUNCTION("""COMPUTED_VALUE"""),300.0)</f>
        <v>300</v>
      </c>
      <c r="I53" s="41">
        <f>IFERROR(__xludf.DUMMYFUNCTION("""COMPUTED_VALUE"""),5.0)</f>
        <v>5</v>
      </c>
      <c r="J53" s="41">
        <f>IFERROR(__xludf.DUMMYFUNCTION("""COMPUTED_VALUE"""),1500.0)</f>
        <v>1500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B54" s="41" t="str">
        <f>IFERROR(__xludf.DUMMYFUNCTION("""COMPUTED_VALUE"""),"QLR")</f>
        <v>QLR</v>
      </c>
      <c r="C54" s="41"/>
      <c r="D54" s="41"/>
      <c r="E54" s="41"/>
      <c r="F54" s="41" t="str">
        <f>IFERROR(__xludf.DUMMYFUNCTION("""COMPUTED_VALUE"""),"Qlieer")</f>
        <v>Qlieer</v>
      </c>
      <c r="G54" s="41" t="str">
        <f>IFERROR(__xludf.DUMMYFUNCTION("""COMPUTED_VALUE"""),"Notion")</f>
        <v>Notion</v>
      </c>
      <c r="H54" s="61">
        <f>IFERROR(__xludf.DUMMYFUNCTION("""COMPUTED_VALUE"""),300.0)</f>
        <v>300</v>
      </c>
      <c r="I54" s="41">
        <f>IFERROR(__xludf.DUMMYFUNCTION("""COMPUTED_VALUE"""),2.0)</f>
        <v>2</v>
      </c>
      <c r="J54" s="41">
        <f>IFERROR(__xludf.DUMMYFUNCTION("""COMPUTED_VALUE"""),600.0)</f>
        <v>600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B55" s="41" t="str">
        <f>IFERROR(__xludf.DUMMYFUNCTION("""COMPUTED_VALUE"""),"TW")</f>
        <v>TW</v>
      </c>
      <c r="C55" s="41"/>
      <c r="D55" s="41"/>
      <c r="E55" s="41"/>
      <c r="F55" s="41" t="str">
        <f>IFERROR(__xludf.DUMMYFUNCTION("""COMPUTED_VALUE"""),"策略資料中心")</f>
        <v>策略資料中心</v>
      </c>
      <c r="G55" s="41" t="str">
        <f>IFERROR(__xludf.DUMMYFUNCTION("""COMPUTED_VALUE"""),"Notion")</f>
        <v>Notion</v>
      </c>
      <c r="H55" s="61">
        <f>IFERROR(__xludf.DUMMYFUNCTION("""COMPUTED_VALUE"""),300.0)</f>
        <v>300</v>
      </c>
      <c r="I55" s="41">
        <f>IFERROR(__xludf.DUMMYFUNCTION("""COMPUTED_VALUE"""),4.0)</f>
        <v>4</v>
      </c>
      <c r="J55" s="41">
        <f>IFERROR(__xludf.DUMMYFUNCTION("""COMPUTED_VALUE"""),1200.0)</f>
        <v>1200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B56" s="41" t="str">
        <f>IFERROR(__xludf.DUMMYFUNCTION("""COMPUTED_VALUE"""),"HK")</f>
        <v>HK</v>
      </c>
      <c r="C56" s="41"/>
      <c r="D56" s="41"/>
      <c r="E56" s="41"/>
      <c r="F56" s="41" t="str">
        <f>IFERROR(__xludf.DUMMYFUNCTION("""COMPUTED_VALUE"""),"海外執行長室")</f>
        <v>海外執行長室</v>
      </c>
      <c r="G56" s="41" t="str">
        <f>IFERROR(__xludf.DUMMYFUNCTION("""COMPUTED_VALUE"""),"Notion")</f>
        <v>Notion</v>
      </c>
      <c r="H56" s="61">
        <f>IFERROR(__xludf.DUMMYFUNCTION("""COMPUTED_VALUE"""),300.0)</f>
        <v>300</v>
      </c>
      <c r="I56" s="41">
        <f>IFERROR(__xludf.DUMMYFUNCTION("""COMPUTED_VALUE"""),0.0)</f>
        <v>0</v>
      </c>
      <c r="J56" s="41">
        <f>IFERROR(__xludf.DUMMYFUNCTION("""COMPUTED_VALUE"""),0.0)</f>
        <v>0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B57" s="41" t="str">
        <f>IFERROR(__xludf.DUMMYFUNCTION("""COMPUTED_VALUE"""),"TW")</f>
        <v>TW</v>
      </c>
      <c r="C57" s="41"/>
      <c r="D57" s="41"/>
      <c r="E57" s="41"/>
      <c r="F57" s="41" t="str">
        <f>IFERROR(__xludf.DUMMYFUNCTION("""COMPUTED_VALUE"""),"行銷營運中心")</f>
        <v>行銷營運中心</v>
      </c>
      <c r="G57" s="41" t="str">
        <f>IFERROR(__xludf.DUMMYFUNCTION("""COMPUTED_VALUE"""),"Salesforce Sales Cloud")</f>
        <v>Salesforce Sales Cloud</v>
      </c>
      <c r="H57" s="45">
        <f>IFERROR(__xludf.DUMMYFUNCTION("""COMPUTED_VALUE"""),3728.0)</f>
        <v>3728</v>
      </c>
      <c r="I57" s="41">
        <f>IFERROR(__xludf.DUMMYFUNCTION("""COMPUTED_VALUE"""),40.0)</f>
        <v>40</v>
      </c>
      <c r="J57" s="45">
        <f>IFERROR(__xludf.DUMMYFUNCTION("""COMPUTED_VALUE"""),149120.0)</f>
        <v>149120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B58" s="41" t="str">
        <f>IFERROR(__xludf.DUMMYFUNCTION("""COMPUTED_VALUE"""),"TW")</f>
        <v>TW</v>
      </c>
      <c r="C58" s="41"/>
      <c r="D58" s="41"/>
      <c r="E58" s="41"/>
      <c r="F58" s="41" t="str">
        <f>IFERROR(__xludf.DUMMYFUNCTION("""COMPUTED_VALUE"""),"研發中心")</f>
        <v>研發中心</v>
      </c>
      <c r="G58" s="41" t="str">
        <f>IFERROR(__xludf.DUMMYFUNCTION("""COMPUTED_VALUE"""),"Salesforce Sales Cloud")</f>
        <v>Salesforce Sales Cloud</v>
      </c>
      <c r="H58" s="45">
        <f>IFERROR(__xludf.DUMMYFUNCTION("""COMPUTED_VALUE"""),3728.0)</f>
        <v>3728</v>
      </c>
      <c r="I58" s="41">
        <f>IFERROR(__xludf.DUMMYFUNCTION("""COMPUTED_VALUE"""),2.0)</f>
        <v>2</v>
      </c>
      <c r="J58" s="45">
        <f>IFERROR(__xludf.DUMMYFUNCTION("""COMPUTED_VALUE"""),7456.0)</f>
        <v>7456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B59" s="41" t="str">
        <f>IFERROR(__xludf.DUMMYFUNCTION("""COMPUTED_VALUE"""),"TW")</f>
        <v>TW</v>
      </c>
      <c r="C59" s="41"/>
      <c r="D59" s="41"/>
      <c r="E59" s="41"/>
      <c r="F59" s="41" t="str">
        <f>IFERROR(__xludf.DUMMYFUNCTION("""COMPUTED_VALUE"""),"客戶價值中心")</f>
        <v>客戶價值中心</v>
      </c>
      <c r="G59" s="41" t="str">
        <f>IFERROR(__xludf.DUMMYFUNCTION("""COMPUTED_VALUE"""),"Salesforce Sales Cloud")</f>
        <v>Salesforce Sales Cloud</v>
      </c>
      <c r="H59" s="45">
        <f>IFERROR(__xludf.DUMMYFUNCTION("""COMPUTED_VALUE"""),3728.0)</f>
        <v>3728</v>
      </c>
      <c r="I59" s="41">
        <f>IFERROR(__xludf.DUMMYFUNCTION("""COMPUTED_VALUE"""),0.0)</f>
        <v>0</v>
      </c>
      <c r="J59" s="45">
        <f>IFERROR(__xludf.DUMMYFUNCTION("""COMPUTED_VALUE"""),0.0)</f>
        <v>0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B60" s="41" t="str">
        <f>IFERROR(__xludf.DUMMYFUNCTION("""COMPUTED_VALUE"""),"TW")</f>
        <v>TW</v>
      </c>
      <c r="C60" s="41"/>
      <c r="D60" s="41"/>
      <c r="E60" s="41"/>
      <c r="F60" s="41" t="str">
        <f>IFERROR(__xludf.DUMMYFUNCTION("""COMPUTED_VALUE"""),"管理中心")</f>
        <v>管理中心</v>
      </c>
      <c r="G60" s="41" t="str">
        <f>IFERROR(__xludf.DUMMYFUNCTION("""COMPUTED_VALUE"""),"Salesforce Sales Cloud")</f>
        <v>Salesforce Sales Cloud</v>
      </c>
      <c r="H60" s="45">
        <f>IFERROR(__xludf.DUMMYFUNCTION("""COMPUTED_VALUE"""),3728.0)</f>
        <v>3728</v>
      </c>
      <c r="I60" s="41">
        <f>IFERROR(__xludf.DUMMYFUNCTION("""COMPUTED_VALUE"""),2.0)</f>
        <v>2</v>
      </c>
      <c r="J60" s="45">
        <f>IFERROR(__xludf.DUMMYFUNCTION("""COMPUTED_VALUE"""),7456.0)</f>
        <v>7456</v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B61" s="41" t="str">
        <f>IFERROR(__xludf.DUMMYFUNCTION("""COMPUTED_VALUE"""),"TW")</f>
        <v>TW</v>
      </c>
      <c r="C61" s="41"/>
      <c r="D61" s="41"/>
      <c r="E61" s="41"/>
      <c r="F61" s="41" t="str">
        <f>IFERROR(__xludf.DUMMYFUNCTION("""COMPUTED_VALUE"""),"執行長室")</f>
        <v>執行長室</v>
      </c>
      <c r="G61" s="41" t="str">
        <f>IFERROR(__xludf.DUMMYFUNCTION("""COMPUTED_VALUE"""),"Salesforce Sales Cloud")</f>
        <v>Salesforce Sales Cloud</v>
      </c>
      <c r="H61" s="45">
        <f>IFERROR(__xludf.DUMMYFUNCTION("""COMPUTED_VALUE"""),3728.0)</f>
        <v>3728</v>
      </c>
      <c r="I61" s="41">
        <f>IFERROR(__xludf.DUMMYFUNCTION("""COMPUTED_VALUE"""),2.0)</f>
        <v>2</v>
      </c>
      <c r="J61" s="45">
        <f>IFERROR(__xludf.DUMMYFUNCTION("""COMPUTED_VALUE"""),7456.0)</f>
        <v>7456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B62" s="41" t="str">
        <f>IFERROR(__xludf.DUMMYFUNCTION("""COMPUTED_VALUE"""),"TW")</f>
        <v>TW</v>
      </c>
      <c r="C62" s="41"/>
      <c r="D62" s="41"/>
      <c r="E62" s="41"/>
      <c r="F62" s="41" t="str">
        <f>IFERROR(__xludf.DUMMYFUNCTION("""COMPUTED_VALUE"""),"財務中心")</f>
        <v>財務中心</v>
      </c>
      <c r="G62" s="41" t="str">
        <f>IFERROR(__xludf.DUMMYFUNCTION("""COMPUTED_VALUE"""),"Salesforce Sales Cloud")</f>
        <v>Salesforce Sales Cloud</v>
      </c>
      <c r="H62" s="45">
        <f>IFERROR(__xludf.DUMMYFUNCTION("""COMPUTED_VALUE"""),3728.0)</f>
        <v>3728</v>
      </c>
      <c r="I62" s="41">
        <f>IFERROR(__xludf.DUMMYFUNCTION("""COMPUTED_VALUE"""),0.0)</f>
        <v>0</v>
      </c>
      <c r="J62" s="45">
        <f>IFERROR(__xludf.DUMMYFUNCTION("""COMPUTED_VALUE"""),0.0)</f>
        <v>0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B63" s="41" t="str">
        <f>IFERROR(__xludf.DUMMYFUNCTION("""COMPUTED_VALUE"""),"QLR")</f>
        <v>QLR</v>
      </c>
      <c r="C63" s="41"/>
      <c r="D63" s="41"/>
      <c r="E63" s="41"/>
      <c r="F63" s="41" t="str">
        <f>IFERROR(__xludf.DUMMYFUNCTION("""COMPUTED_VALUE"""),"Qlieer")</f>
        <v>Qlieer</v>
      </c>
      <c r="G63" s="41" t="str">
        <f>IFERROR(__xludf.DUMMYFUNCTION("""COMPUTED_VALUE"""),"Salesforce Sales Cloud")</f>
        <v>Salesforce Sales Cloud</v>
      </c>
      <c r="H63" s="45">
        <f>IFERROR(__xludf.DUMMYFUNCTION("""COMPUTED_VALUE"""),3728.0)</f>
        <v>3728</v>
      </c>
      <c r="I63" s="41">
        <f>IFERROR(__xludf.DUMMYFUNCTION("""COMPUTED_VALUE"""),0.0)</f>
        <v>0</v>
      </c>
      <c r="J63" s="45">
        <f>IFERROR(__xludf.DUMMYFUNCTION("""COMPUTED_VALUE"""),0.0)</f>
        <v>0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B64" s="41" t="str">
        <f>IFERROR(__xludf.DUMMYFUNCTION("""COMPUTED_VALUE"""),"TW")</f>
        <v>TW</v>
      </c>
      <c r="C64" s="41"/>
      <c r="D64" s="41"/>
      <c r="E64" s="41"/>
      <c r="F64" s="41" t="str">
        <f>IFERROR(__xludf.DUMMYFUNCTION("""COMPUTED_VALUE"""),"策略資料中心")</f>
        <v>策略資料中心</v>
      </c>
      <c r="G64" s="41" t="str">
        <f>IFERROR(__xludf.DUMMYFUNCTION("""COMPUTED_VALUE"""),"Salesforce Sales Cloud")</f>
        <v>Salesforce Sales Cloud</v>
      </c>
      <c r="H64" s="45">
        <f>IFERROR(__xludf.DUMMYFUNCTION("""COMPUTED_VALUE"""),3728.0)</f>
        <v>3728</v>
      </c>
      <c r="I64" s="41">
        <f>IFERROR(__xludf.DUMMYFUNCTION("""COMPUTED_VALUE"""),2.0)</f>
        <v>2</v>
      </c>
      <c r="J64" s="45">
        <f>IFERROR(__xludf.DUMMYFUNCTION("""COMPUTED_VALUE"""),7456.0)</f>
        <v>7456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B65" s="41" t="str">
        <f>IFERROR(__xludf.DUMMYFUNCTION("""COMPUTED_VALUE"""),"HK")</f>
        <v>HK</v>
      </c>
      <c r="C65" s="41"/>
      <c r="D65" s="41"/>
      <c r="E65" s="41"/>
      <c r="F65" s="41" t="str">
        <f>IFERROR(__xludf.DUMMYFUNCTION("""COMPUTED_VALUE"""),"海外執行長室")</f>
        <v>海外執行長室</v>
      </c>
      <c r="G65" s="41" t="str">
        <f>IFERROR(__xludf.DUMMYFUNCTION("""COMPUTED_VALUE"""),"Salesforce Sales Cloud")</f>
        <v>Salesforce Sales Cloud</v>
      </c>
      <c r="H65" s="45">
        <f>IFERROR(__xludf.DUMMYFUNCTION("""COMPUTED_VALUE"""),3728.0)</f>
        <v>3728</v>
      </c>
      <c r="I65" s="41">
        <f>IFERROR(__xludf.DUMMYFUNCTION("""COMPUTED_VALUE"""),0.0)</f>
        <v>0</v>
      </c>
      <c r="J65" s="45">
        <f>IFERROR(__xludf.DUMMYFUNCTION("""COMPUTED_VALUE"""),0.0)</f>
        <v>0</v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B66" s="41" t="str">
        <f>IFERROR(__xludf.DUMMYFUNCTION("""COMPUTED_VALUE"""),"TW")</f>
        <v>TW</v>
      </c>
      <c r="C66" s="41"/>
      <c r="D66" s="41"/>
      <c r="E66" s="41"/>
      <c r="F66" s="41" t="str">
        <f>IFERROR(__xludf.DUMMYFUNCTION("""COMPUTED_VALUE"""),"行銷營運中心")</f>
        <v>行銷營運中心</v>
      </c>
      <c r="G66" s="41" t="str">
        <f>IFERROR(__xludf.DUMMYFUNCTION("""COMPUTED_VALUE"""),"Salesforce Service Cloud")</f>
        <v>Salesforce Service Cloud</v>
      </c>
      <c r="H66" s="45">
        <f>IFERROR(__xludf.DUMMYFUNCTION("""COMPUTED_VALUE"""),3728.0)</f>
        <v>3728</v>
      </c>
      <c r="I66" s="41">
        <f>IFERROR(__xludf.DUMMYFUNCTION("""COMPUTED_VALUE"""),0.0)</f>
        <v>0</v>
      </c>
      <c r="J66" s="45">
        <f>IFERROR(__xludf.DUMMYFUNCTION("""COMPUTED_VALUE"""),0.0)</f>
        <v>0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B67" s="41" t="str">
        <f>IFERROR(__xludf.DUMMYFUNCTION("""COMPUTED_VALUE"""),"TW")</f>
        <v>TW</v>
      </c>
      <c r="C67" s="41"/>
      <c r="D67" s="41"/>
      <c r="E67" s="41"/>
      <c r="F67" s="41" t="str">
        <f>IFERROR(__xludf.DUMMYFUNCTION("""COMPUTED_VALUE"""),"研發中心")</f>
        <v>研發中心</v>
      </c>
      <c r="G67" s="41" t="str">
        <f>IFERROR(__xludf.DUMMYFUNCTION("""COMPUTED_VALUE"""),"Salesforce Service Cloud")</f>
        <v>Salesforce Service Cloud</v>
      </c>
      <c r="H67" s="45">
        <f>IFERROR(__xludf.DUMMYFUNCTION("""COMPUTED_VALUE"""),3728.0)</f>
        <v>3728</v>
      </c>
      <c r="I67" s="41">
        <f>IFERROR(__xludf.DUMMYFUNCTION("""COMPUTED_VALUE"""),0.0)</f>
        <v>0</v>
      </c>
      <c r="J67" s="45">
        <f>IFERROR(__xludf.DUMMYFUNCTION("""COMPUTED_VALUE"""),0.0)</f>
        <v>0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B68" s="41" t="str">
        <f>IFERROR(__xludf.DUMMYFUNCTION("""COMPUTED_VALUE"""),"TW")</f>
        <v>TW</v>
      </c>
      <c r="C68" s="41"/>
      <c r="D68" s="41"/>
      <c r="E68" s="41"/>
      <c r="F68" s="41" t="str">
        <f>IFERROR(__xludf.DUMMYFUNCTION("""COMPUTED_VALUE"""),"客戶價值中心")</f>
        <v>客戶價值中心</v>
      </c>
      <c r="G68" s="41" t="str">
        <f>IFERROR(__xludf.DUMMYFUNCTION("""COMPUTED_VALUE"""),"Salesforce Service Cloud")</f>
        <v>Salesforce Service Cloud</v>
      </c>
      <c r="H68" s="45">
        <f>IFERROR(__xludf.DUMMYFUNCTION("""COMPUTED_VALUE"""),3728.0)</f>
        <v>3728</v>
      </c>
      <c r="I68" s="41">
        <f>IFERROR(__xludf.DUMMYFUNCTION("""COMPUTED_VALUE"""),28.0)</f>
        <v>28</v>
      </c>
      <c r="J68" s="45">
        <f>IFERROR(__xludf.DUMMYFUNCTION("""COMPUTED_VALUE"""),104384.0)</f>
        <v>104384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B69" s="41" t="str">
        <f>IFERROR(__xludf.DUMMYFUNCTION("""COMPUTED_VALUE"""),"TW")</f>
        <v>TW</v>
      </c>
      <c r="C69" s="41"/>
      <c r="D69" s="41"/>
      <c r="E69" s="41"/>
      <c r="F69" s="41" t="str">
        <f>IFERROR(__xludf.DUMMYFUNCTION("""COMPUTED_VALUE"""),"管理中心")</f>
        <v>管理中心</v>
      </c>
      <c r="G69" s="41" t="str">
        <f>IFERROR(__xludf.DUMMYFUNCTION("""COMPUTED_VALUE"""),"Salesforce Service Cloud")</f>
        <v>Salesforce Service Cloud</v>
      </c>
      <c r="H69" s="45">
        <f>IFERROR(__xludf.DUMMYFUNCTION("""COMPUTED_VALUE"""),3728.0)</f>
        <v>3728</v>
      </c>
      <c r="I69" s="41">
        <f>IFERROR(__xludf.DUMMYFUNCTION("""COMPUTED_VALUE"""),4.0)</f>
        <v>4</v>
      </c>
      <c r="J69" s="45">
        <f>IFERROR(__xludf.DUMMYFUNCTION("""COMPUTED_VALUE"""),14912.0)</f>
        <v>14912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B70" s="41" t="str">
        <f>IFERROR(__xludf.DUMMYFUNCTION("""COMPUTED_VALUE"""),"TW")</f>
        <v>TW</v>
      </c>
      <c r="C70" s="41"/>
      <c r="D70" s="41"/>
      <c r="E70" s="41"/>
      <c r="F70" s="41" t="str">
        <f>IFERROR(__xludf.DUMMYFUNCTION("""COMPUTED_VALUE"""),"執行長室")</f>
        <v>執行長室</v>
      </c>
      <c r="G70" s="41" t="str">
        <f>IFERROR(__xludf.DUMMYFUNCTION("""COMPUTED_VALUE"""),"Salesforce Service Cloud")</f>
        <v>Salesforce Service Cloud</v>
      </c>
      <c r="H70" s="45">
        <f>IFERROR(__xludf.DUMMYFUNCTION("""COMPUTED_VALUE"""),3728.0)</f>
        <v>3728</v>
      </c>
      <c r="I70" s="41">
        <f>IFERROR(__xludf.DUMMYFUNCTION("""COMPUTED_VALUE"""),0.0)</f>
        <v>0</v>
      </c>
      <c r="J70" s="45">
        <f>IFERROR(__xludf.DUMMYFUNCTION("""COMPUTED_VALUE"""),0.0)</f>
        <v>0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B71" s="41" t="str">
        <f>IFERROR(__xludf.DUMMYFUNCTION("""COMPUTED_VALUE"""),"TW")</f>
        <v>TW</v>
      </c>
      <c r="C71" s="41"/>
      <c r="D71" s="41"/>
      <c r="E71" s="41"/>
      <c r="F71" s="41" t="str">
        <f>IFERROR(__xludf.DUMMYFUNCTION("""COMPUTED_VALUE"""),"財務中心")</f>
        <v>財務中心</v>
      </c>
      <c r="G71" s="41" t="str">
        <f>IFERROR(__xludf.DUMMYFUNCTION("""COMPUTED_VALUE"""),"Salesforce Service Cloud")</f>
        <v>Salesforce Service Cloud</v>
      </c>
      <c r="H71" s="45">
        <f>IFERROR(__xludf.DUMMYFUNCTION("""COMPUTED_VALUE"""),3728.0)</f>
        <v>3728</v>
      </c>
      <c r="I71" s="41">
        <f>IFERROR(__xludf.DUMMYFUNCTION("""COMPUTED_VALUE"""),0.0)</f>
        <v>0</v>
      </c>
      <c r="J71" s="45">
        <f>IFERROR(__xludf.DUMMYFUNCTION("""COMPUTED_VALUE"""),0.0)</f>
        <v>0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B72" s="41" t="str">
        <f>IFERROR(__xludf.DUMMYFUNCTION("""COMPUTED_VALUE"""),"QLR")</f>
        <v>QLR</v>
      </c>
      <c r="C72" s="41"/>
      <c r="D72" s="41"/>
      <c r="E72" s="41"/>
      <c r="F72" s="41" t="str">
        <f>IFERROR(__xludf.DUMMYFUNCTION("""COMPUTED_VALUE"""),"Qlieer")</f>
        <v>Qlieer</v>
      </c>
      <c r="G72" s="41" t="str">
        <f>IFERROR(__xludf.DUMMYFUNCTION("""COMPUTED_VALUE"""),"Salesforce Service Cloud")</f>
        <v>Salesforce Service Cloud</v>
      </c>
      <c r="H72" s="45">
        <f>IFERROR(__xludf.DUMMYFUNCTION("""COMPUTED_VALUE"""),3728.0)</f>
        <v>3728</v>
      </c>
      <c r="I72" s="41">
        <f>IFERROR(__xludf.DUMMYFUNCTION("""COMPUTED_VALUE"""),0.0)</f>
        <v>0</v>
      </c>
      <c r="J72" s="45">
        <f>IFERROR(__xludf.DUMMYFUNCTION("""COMPUTED_VALUE"""),0.0)</f>
        <v>0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B73" s="41" t="str">
        <f>IFERROR(__xludf.DUMMYFUNCTION("""COMPUTED_VALUE"""),"TW")</f>
        <v>TW</v>
      </c>
      <c r="C73" s="41"/>
      <c r="D73" s="41"/>
      <c r="E73" s="41"/>
      <c r="F73" s="41" t="str">
        <f>IFERROR(__xludf.DUMMYFUNCTION("""COMPUTED_VALUE"""),"策略資料中心")</f>
        <v>策略資料中心</v>
      </c>
      <c r="G73" s="41" t="str">
        <f>IFERROR(__xludf.DUMMYFUNCTION("""COMPUTED_VALUE"""),"Salesforce Service Cloud")</f>
        <v>Salesforce Service Cloud</v>
      </c>
      <c r="H73" s="45">
        <f>IFERROR(__xludf.DUMMYFUNCTION("""COMPUTED_VALUE"""),3728.0)</f>
        <v>3728</v>
      </c>
      <c r="I73" s="41">
        <f>IFERROR(__xludf.DUMMYFUNCTION("""COMPUTED_VALUE"""),0.0)</f>
        <v>0</v>
      </c>
      <c r="J73" s="45">
        <f>IFERROR(__xludf.DUMMYFUNCTION("""COMPUTED_VALUE"""),0.0)</f>
        <v>0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B74" s="41" t="str">
        <f>IFERROR(__xludf.DUMMYFUNCTION("""COMPUTED_VALUE"""),"HK")</f>
        <v>HK</v>
      </c>
      <c r="C74" s="41"/>
      <c r="D74" s="41"/>
      <c r="E74" s="41"/>
      <c r="F74" s="41" t="str">
        <f>IFERROR(__xludf.DUMMYFUNCTION("""COMPUTED_VALUE"""),"海外執行長室")</f>
        <v>海外執行長室</v>
      </c>
      <c r="G74" s="41" t="str">
        <f>IFERROR(__xludf.DUMMYFUNCTION("""COMPUTED_VALUE"""),"Salesforce Service Cloud")</f>
        <v>Salesforce Service Cloud</v>
      </c>
      <c r="H74" s="45">
        <f>IFERROR(__xludf.DUMMYFUNCTION("""COMPUTED_VALUE"""),3728.0)</f>
        <v>3728</v>
      </c>
      <c r="I74" s="41">
        <f>IFERROR(__xludf.DUMMYFUNCTION("""COMPUTED_VALUE"""),0.0)</f>
        <v>0</v>
      </c>
      <c r="J74" s="45">
        <f>IFERROR(__xludf.DUMMYFUNCTION("""COMPUTED_VALUE"""),0.0)</f>
        <v>0</v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B75" s="41" t="str">
        <f>IFERROR(__xludf.DUMMYFUNCTION("""COMPUTED_VALUE"""),"TW")</f>
        <v>TW</v>
      </c>
      <c r="C75" s="41"/>
      <c r="D75" s="41"/>
      <c r="E75" s="41"/>
      <c r="F75" s="41" t="str">
        <f>IFERROR(__xludf.DUMMYFUNCTION("""COMPUTED_VALUE"""),"行銷營運中心")</f>
        <v>行銷營運中心</v>
      </c>
      <c r="G75" s="41" t="str">
        <f>IFERROR(__xludf.DUMMYFUNCTION("""COMPUTED_VALUE"""),"Salesforce Sales+Service Cloud")</f>
        <v>Salesforce Sales+Service Cloud</v>
      </c>
      <c r="H75" s="45">
        <f>IFERROR(__xludf.DUMMYFUNCTION("""COMPUTED_VALUE"""),4680.0)</f>
        <v>4680</v>
      </c>
      <c r="I75" s="41">
        <f>IFERROR(__xludf.DUMMYFUNCTION("""COMPUTED_VALUE"""),0.0)</f>
        <v>0</v>
      </c>
      <c r="J75" s="45">
        <f>IFERROR(__xludf.DUMMYFUNCTION("""COMPUTED_VALUE"""),0.0)</f>
        <v>0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B76" s="41" t="str">
        <f>IFERROR(__xludf.DUMMYFUNCTION("""COMPUTED_VALUE"""),"TW")</f>
        <v>TW</v>
      </c>
      <c r="C76" s="41"/>
      <c r="D76" s="41"/>
      <c r="E76" s="41"/>
      <c r="F76" s="41" t="str">
        <f>IFERROR(__xludf.DUMMYFUNCTION("""COMPUTED_VALUE"""),"研發中心")</f>
        <v>研發中心</v>
      </c>
      <c r="G76" s="41" t="str">
        <f>IFERROR(__xludf.DUMMYFUNCTION("""COMPUTED_VALUE"""),"Salesforce Sales+Service Cloud")</f>
        <v>Salesforce Sales+Service Cloud</v>
      </c>
      <c r="H76" s="45">
        <f>IFERROR(__xludf.DUMMYFUNCTION("""COMPUTED_VALUE"""),4680.0)</f>
        <v>4680</v>
      </c>
      <c r="I76" s="41">
        <f>IFERROR(__xludf.DUMMYFUNCTION("""COMPUTED_VALUE"""),0.0)</f>
        <v>0</v>
      </c>
      <c r="J76" s="45">
        <f>IFERROR(__xludf.DUMMYFUNCTION("""COMPUTED_VALUE"""),0.0)</f>
        <v>0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B77" s="41" t="str">
        <f>IFERROR(__xludf.DUMMYFUNCTION("""COMPUTED_VALUE"""),"TW")</f>
        <v>TW</v>
      </c>
      <c r="C77" s="41"/>
      <c r="D77" s="41"/>
      <c r="E77" s="41"/>
      <c r="F77" s="41" t="str">
        <f>IFERROR(__xludf.DUMMYFUNCTION("""COMPUTED_VALUE"""),"客戶價值中心")</f>
        <v>客戶價值中心</v>
      </c>
      <c r="G77" s="41" t="str">
        <f>IFERROR(__xludf.DUMMYFUNCTION("""COMPUTED_VALUE"""),"Salesforce Sales+Service Cloud")</f>
        <v>Salesforce Sales+Service Cloud</v>
      </c>
      <c r="H77" s="45">
        <f>IFERROR(__xludf.DUMMYFUNCTION("""COMPUTED_VALUE"""),4680.0)</f>
        <v>4680</v>
      </c>
      <c r="I77" s="41">
        <f>IFERROR(__xludf.DUMMYFUNCTION("""COMPUTED_VALUE"""),0.0)</f>
        <v>0</v>
      </c>
      <c r="J77" s="45">
        <f>IFERROR(__xludf.DUMMYFUNCTION("""COMPUTED_VALUE"""),0.0)</f>
        <v>0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B78" s="41" t="str">
        <f>IFERROR(__xludf.DUMMYFUNCTION("""COMPUTED_VALUE"""),"TW")</f>
        <v>TW</v>
      </c>
      <c r="C78" s="41"/>
      <c r="D78" s="41"/>
      <c r="E78" s="41"/>
      <c r="F78" s="41" t="str">
        <f>IFERROR(__xludf.DUMMYFUNCTION("""COMPUTED_VALUE"""),"管理中心")</f>
        <v>管理中心</v>
      </c>
      <c r="G78" s="41" t="str">
        <f>IFERROR(__xludf.DUMMYFUNCTION("""COMPUTED_VALUE"""),"Salesforce Sales+Service Cloud")</f>
        <v>Salesforce Sales+Service Cloud</v>
      </c>
      <c r="H78" s="45">
        <f>IFERROR(__xludf.DUMMYFUNCTION("""COMPUTED_VALUE"""),4680.0)</f>
        <v>4680</v>
      </c>
      <c r="I78" s="41">
        <f>IFERROR(__xludf.DUMMYFUNCTION("""COMPUTED_VALUE"""),2.0)</f>
        <v>2</v>
      </c>
      <c r="J78" s="45">
        <f>IFERROR(__xludf.DUMMYFUNCTION("""COMPUTED_VALUE"""),9360.0)</f>
        <v>9360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B79" s="41" t="str">
        <f>IFERROR(__xludf.DUMMYFUNCTION("""COMPUTED_VALUE"""),"TW")</f>
        <v>TW</v>
      </c>
      <c r="C79" s="41"/>
      <c r="D79" s="41"/>
      <c r="E79" s="41"/>
      <c r="F79" s="41" t="str">
        <f>IFERROR(__xludf.DUMMYFUNCTION("""COMPUTED_VALUE"""),"執行長室")</f>
        <v>執行長室</v>
      </c>
      <c r="G79" s="41" t="str">
        <f>IFERROR(__xludf.DUMMYFUNCTION("""COMPUTED_VALUE"""),"Salesforce Sales+Service Cloud")</f>
        <v>Salesforce Sales+Service Cloud</v>
      </c>
      <c r="H79" s="45">
        <f>IFERROR(__xludf.DUMMYFUNCTION("""COMPUTED_VALUE"""),4680.0)</f>
        <v>4680</v>
      </c>
      <c r="I79" s="41">
        <f>IFERROR(__xludf.DUMMYFUNCTION("""COMPUTED_VALUE"""),0.0)</f>
        <v>0</v>
      </c>
      <c r="J79" s="45">
        <f>IFERROR(__xludf.DUMMYFUNCTION("""COMPUTED_VALUE"""),0.0)</f>
        <v>0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B80" s="41" t="str">
        <f>IFERROR(__xludf.DUMMYFUNCTION("""COMPUTED_VALUE"""),"TW")</f>
        <v>TW</v>
      </c>
      <c r="C80" s="41"/>
      <c r="D80" s="41"/>
      <c r="E80" s="41"/>
      <c r="F80" s="41" t="str">
        <f>IFERROR(__xludf.DUMMYFUNCTION("""COMPUTED_VALUE"""),"財務中心")</f>
        <v>財務中心</v>
      </c>
      <c r="G80" s="41" t="str">
        <f>IFERROR(__xludf.DUMMYFUNCTION("""COMPUTED_VALUE"""),"Salesforce Sales+Service Cloud")</f>
        <v>Salesforce Sales+Service Cloud</v>
      </c>
      <c r="H80" s="45">
        <f>IFERROR(__xludf.DUMMYFUNCTION("""COMPUTED_VALUE"""),4680.0)</f>
        <v>4680</v>
      </c>
      <c r="I80" s="41">
        <f>IFERROR(__xludf.DUMMYFUNCTION("""COMPUTED_VALUE"""),0.0)</f>
        <v>0</v>
      </c>
      <c r="J80" s="45">
        <f>IFERROR(__xludf.DUMMYFUNCTION("""COMPUTED_VALUE"""),0.0)</f>
        <v>0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B81" s="41" t="str">
        <f>IFERROR(__xludf.DUMMYFUNCTION("""COMPUTED_VALUE"""),"QLR")</f>
        <v>QLR</v>
      </c>
      <c r="C81" s="41"/>
      <c r="D81" s="41"/>
      <c r="E81" s="41"/>
      <c r="F81" s="41" t="str">
        <f>IFERROR(__xludf.DUMMYFUNCTION("""COMPUTED_VALUE"""),"Qlieer")</f>
        <v>Qlieer</v>
      </c>
      <c r="G81" s="41" t="str">
        <f>IFERROR(__xludf.DUMMYFUNCTION("""COMPUTED_VALUE"""),"Salesforce Sales+Service Cloud")</f>
        <v>Salesforce Sales+Service Cloud</v>
      </c>
      <c r="H81" s="45">
        <f>IFERROR(__xludf.DUMMYFUNCTION("""COMPUTED_VALUE"""),4680.0)</f>
        <v>4680</v>
      </c>
      <c r="I81" s="41">
        <f>IFERROR(__xludf.DUMMYFUNCTION("""COMPUTED_VALUE"""),0.0)</f>
        <v>0</v>
      </c>
      <c r="J81" s="45">
        <f>IFERROR(__xludf.DUMMYFUNCTION("""COMPUTED_VALUE"""),0.0)</f>
        <v>0</v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B82" s="41" t="str">
        <f>IFERROR(__xludf.DUMMYFUNCTION("""COMPUTED_VALUE"""),"TW")</f>
        <v>TW</v>
      </c>
      <c r="C82" s="41"/>
      <c r="D82" s="41"/>
      <c r="E82" s="41"/>
      <c r="F82" s="41" t="str">
        <f>IFERROR(__xludf.DUMMYFUNCTION("""COMPUTED_VALUE"""),"策略資料中心")</f>
        <v>策略資料中心</v>
      </c>
      <c r="G82" s="41" t="str">
        <f>IFERROR(__xludf.DUMMYFUNCTION("""COMPUTED_VALUE"""),"Salesforce Sales+Service Cloud")</f>
        <v>Salesforce Sales+Service Cloud</v>
      </c>
      <c r="H82" s="45">
        <f>IFERROR(__xludf.DUMMYFUNCTION("""COMPUTED_VALUE"""),4680.0)</f>
        <v>4680</v>
      </c>
      <c r="I82" s="41">
        <f>IFERROR(__xludf.DUMMYFUNCTION("""COMPUTED_VALUE"""),0.0)</f>
        <v>0</v>
      </c>
      <c r="J82" s="45">
        <f>IFERROR(__xludf.DUMMYFUNCTION("""COMPUTED_VALUE"""),0.0)</f>
        <v>0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B83" s="41" t="str">
        <f>IFERROR(__xludf.DUMMYFUNCTION("""COMPUTED_VALUE"""),"HK")</f>
        <v>HK</v>
      </c>
      <c r="C83" s="41"/>
      <c r="D83" s="41"/>
      <c r="E83" s="41"/>
      <c r="F83" s="41" t="str">
        <f>IFERROR(__xludf.DUMMYFUNCTION("""COMPUTED_VALUE"""),"海外執行長室")</f>
        <v>海外執行長室</v>
      </c>
      <c r="G83" s="41" t="str">
        <f>IFERROR(__xludf.DUMMYFUNCTION("""COMPUTED_VALUE"""),"Salesforce Sales+Service Cloud")</f>
        <v>Salesforce Sales+Service Cloud</v>
      </c>
      <c r="H83" s="45">
        <f>IFERROR(__xludf.DUMMYFUNCTION("""COMPUTED_VALUE"""),4680.0)</f>
        <v>4680</v>
      </c>
      <c r="I83" s="41">
        <f>IFERROR(__xludf.DUMMYFUNCTION("""COMPUTED_VALUE"""),0.0)</f>
        <v>0</v>
      </c>
      <c r="J83" s="45">
        <f>IFERROR(__xludf.DUMMYFUNCTION("""COMPUTED_VALUE"""),0.0)</f>
        <v>0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B84" s="41" t="str">
        <f>IFERROR(__xludf.DUMMYFUNCTION("""COMPUTED_VALUE"""),"TW")</f>
        <v>TW</v>
      </c>
      <c r="C84" s="41"/>
      <c r="D84" s="41"/>
      <c r="E84" s="41"/>
      <c r="F84" s="41" t="str">
        <f>IFERROR(__xludf.DUMMYFUNCTION("""COMPUTED_VALUE"""),"行銷營運中心")</f>
        <v>行銷營運中心</v>
      </c>
      <c r="G84" s="41" t="str">
        <f>IFERROR(__xludf.DUMMYFUNCTION("""COMPUTED_VALUE"""),"點點簽")</f>
        <v>點點簽</v>
      </c>
      <c r="H84" s="45">
        <f>IFERROR(__xludf.DUMMYFUNCTION("""COMPUTED_VALUE"""),450.0)</f>
        <v>450</v>
      </c>
      <c r="I84" s="41">
        <f>IFERROR(__xludf.DUMMYFUNCTION("""COMPUTED_VALUE"""),3.0)</f>
        <v>3</v>
      </c>
      <c r="J84" s="45">
        <f>IFERROR(__xludf.DUMMYFUNCTION("""COMPUTED_VALUE"""),1350.0)</f>
        <v>1350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B85" s="41" t="str">
        <f>IFERROR(__xludf.DUMMYFUNCTION("""COMPUTED_VALUE"""),"TW")</f>
        <v>TW</v>
      </c>
      <c r="C85" s="41"/>
      <c r="D85" s="41"/>
      <c r="E85" s="41"/>
      <c r="F85" s="41" t="str">
        <f>IFERROR(__xludf.DUMMYFUNCTION("""COMPUTED_VALUE"""),"研發中心")</f>
        <v>研發中心</v>
      </c>
      <c r="G85" s="41" t="str">
        <f>IFERROR(__xludf.DUMMYFUNCTION("""COMPUTED_VALUE"""),"點點簽")</f>
        <v>點點簽</v>
      </c>
      <c r="H85" s="45">
        <f>IFERROR(__xludf.DUMMYFUNCTION("""COMPUTED_VALUE"""),450.0)</f>
        <v>450</v>
      </c>
      <c r="I85" s="41">
        <f>IFERROR(__xludf.DUMMYFUNCTION("""COMPUTED_VALUE"""),0.0)</f>
        <v>0</v>
      </c>
      <c r="J85" s="45">
        <f>IFERROR(__xludf.DUMMYFUNCTION("""COMPUTED_VALUE"""),0.0)</f>
        <v>0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B86" s="41" t="str">
        <f>IFERROR(__xludf.DUMMYFUNCTION("""COMPUTED_VALUE"""),"TW")</f>
        <v>TW</v>
      </c>
      <c r="C86" s="41"/>
      <c r="D86" s="41"/>
      <c r="E86" s="41"/>
      <c r="F86" s="41" t="str">
        <f>IFERROR(__xludf.DUMMYFUNCTION("""COMPUTED_VALUE"""),"客戶價值中心")</f>
        <v>客戶價值中心</v>
      </c>
      <c r="G86" s="41" t="str">
        <f>IFERROR(__xludf.DUMMYFUNCTION("""COMPUTED_VALUE"""),"點點簽")</f>
        <v>點點簽</v>
      </c>
      <c r="H86" s="45">
        <f>IFERROR(__xludf.DUMMYFUNCTION("""COMPUTED_VALUE"""),450.0)</f>
        <v>450</v>
      </c>
      <c r="I86" s="41">
        <f>IFERROR(__xludf.DUMMYFUNCTION("""COMPUTED_VALUE"""),1.0)</f>
        <v>1</v>
      </c>
      <c r="J86" s="45">
        <f>IFERROR(__xludf.DUMMYFUNCTION("""COMPUTED_VALUE"""),450.0)</f>
        <v>450</v>
      </c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B87" s="41" t="str">
        <f>IFERROR(__xludf.DUMMYFUNCTION("""COMPUTED_VALUE"""),"TW")</f>
        <v>TW</v>
      </c>
      <c r="C87" s="41"/>
      <c r="D87" s="41"/>
      <c r="E87" s="41"/>
      <c r="F87" s="41" t="str">
        <f>IFERROR(__xludf.DUMMYFUNCTION("""COMPUTED_VALUE"""),"管理中心")</f>
        <v>管理中心</v>
      </c>
      <c r="G87" s="41" t="str">
        <f>IFERROR(__xludf.DUMMYFUNCTION("""COMPUTED_VALUE"""),"點點簽")</f>
        <v>點點簽</v>
      </c>
      <c r="H87" s="45">
        <f>IFERROR(__xludf.DUMMYFUNCTION("""COMPUTED_VALUE"""),450.0)</f>
        <v>450</v>
      </c>
      <c r="I87" s="41">
        <f>IFERROR(__xludf.DUMMYFUNCTION("""COMPUTED_VALUE"""),2.0)</f>
        <v>2</v>
      </c>
      <c r="J87" s="45">
        <f>IFERROR(__xludf.DUMMYFUNCTION("""COMPUTED_VALUE"""),900.0)</f>
        <v>900</v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B88" s="41" t="str">
        <f>IFERROR(__xludf.DUMMYFUNCTION("""COMPUTED_VALUE"""),"TW")</f>
        <v>TW</v>
      </c>
      <c r="C88" s="41"/>
      <c r="D88" s="41"/>
      <c r="E88" s="41"/>
      <c r="F88" s="41" t="str">
        <f>IFERROR(__xludf.DUMMYFUNCTION("""COMPUTED_VALUE"""),"執行長室")</f>
        <v>執行長室</v>
      </c>
      <c r="G88" s="41" t="str">
        <f>IFERROR(__xludf.DUMMYFUNCTION("""COMPUTED_VALUE"""),"點點簽")</f>
        <v>點點簽</v>
      </c>
      <c r="H88" s="45">
        <f>IFERROR(__xludf.DUMMYFUNCTION("""COMPUTED_VALUE"""),450.0)</f>
        <v>450</v>
      </c>
      <c r="I88" s="41">
        <f>IFERROR(__xludf.DUMMYFUNCTION("""COMPUTED_VALUE"""),0.0)</f>
        <v>0</v>
      </c>
      <c r="J88" s="45">
        <f>IFERROR(__xludf.DUMMYFUNCTION("""COMPUTED_VALUE"""),0.0)</f>
        <v>0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B89" s="41" t="str">
        <f>IFERROR(__xludf.DUMMYFUNCTION("""COMPUTED_VALUE"""),"TW")</f>
        <v>TW</v>
      </c>
      <c r="C89" s="41"/>
      <c r="D89" s="41"/>
      <c r="E89" s="41"/>
      <c r="F89" s="41" t="str">
        <f>IFERROR(__xludf.DUMMYFUNCTION("""COMPUTED_VALUE"""),"財務中心")</f>
        <v>財務中心</v>
      </c>
      <c r="G89" s="41" t="str">
        <f>IFERROR(__xludf.DUMMYFUNCTION("""COMPUTED_VALUE"""),"點點簽")</f>
        <v>點點簽</v>
      </c>
      <c r="H89" s="45">
        <f>IFERROR(__xludf.DUMMYFUNCTION("""COMPUTED_VALUE"""),450.0)</f>
        <v>450</v>
      </c>
      <c r="I89" s="41">
        <f>IFERROR(__xludf.DUMMYFUNCTION("""COMPUTED_VALUE"""),0.0)</f>
        <v>0</v>
      </c>
      <c r="J89" s="45">
        <f>IFERROR(__xludf.DUMMYFUNCTION("""COMPUTED_VALUE"""),0.0)</f>
        <v>0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B90" s="41" t="str">
        <f>IFERROR(__xludf.DUMMYFUNCTION("""COMPUTED_VALUE"""),"QLR")</f>
        <v>QLR</v>
      </c>
      <c r="C90" s="41"/>
      <c r="D90" s="41"/>
      <c r="E90" s="41"/>
      <c r="F90" s="41" t="str">
        <f>IFERROR(__xludf.DUMMYFUNCTION("""COMPUTED_VALUE"""),"Qlieer")</f>
        <v>Qlieer</v>
      </c>
      <c r="G90" s="41" t="str">
        <f>IFERROR(__xludf.DUMMYFUNCTION("""COMPUTED_VALUE"""),"點點簽")</f>
        <v>點點簽</v>
      </c>
      <c r="H90" s="45">
        <f>IFERROR(__xludf.DUMMYFUNCTION("""COMPUTED_VALUE"""),450.0)</f>
        <v>450</v>
      </c>
      <c r="I90" s="41">
        <f>IFERROR(__xludf.DUMMYFUNCTION("""COMPUTED_VALUE"""),0.0)</f>
        <v>0</v>
      </c>
      <c r="J90" s="45">
        <f>IFERROR(__xludf.DUMMYFUNCTION("""COMPUTED_VALUE"""),0.0)</f>
        <v>0</v>
      </c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B91" s="41" t="str">
        <f>IFERROR(__xludf.DUMMYFUNCTION("""COMPUTED_VALUE"""),"TW")</f>
        <v>TW</v>
      </c>
      <c r="C91" s="41"/>
      <c r="D91" s="41"/>
      <c r="E91" s="41"/>
      <c r="F91" s="41" t="str">
        <f>IFERROR(__xludf.DUMMYFUNCTION("""COMPUTED_VALUE"""),"策略資料中心")</f>
        <v>策略資料中心</v>
      </c>
      <c r="G91" s="41" t="str">
        <f>IFERROR(__xludf.DUMMYFUNCTION("""COMPUTED_VALUE"""),"點點簽")</f>
        <v>點點簽</v>
      </c>
      <c r="H91" s="45">
        <f>IFERROR(__xludf.DUMMYFUNCTION("""COMPUTED_VALUE"""),450.0)</f>
        <v>450</v>
      </c>
      <c r="I91" s="41">
        <f>IFERROR(__xludf.DUMMYFUNCTION("""COMPUTED_VALUE"""),0.0)</f>
        <v>0</v>
      </c>
      <c r="J91" s="45">
        <f>IFERROR(__xludf.DUMMYFUNCTION("""COMPUTED_VALUE"""),0.0)</f>
        <v>0</v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B92" s="41" t="str">
        <f>IFERROR(__xludf.DUMMYFUNCTION("""COMPUTED_VALUE"""),"HK")</f>
        <v>HK</v>
      </c>
      <c r="C92" s="41"/>
      <c r="D92" s="41"/>
      <c r="E92" s="41"/>
      <c r="F92" s="41" t="str">
        <f>IFERROR(__xludf.DUMMYFUNCTION("""COMPUTED_VALUE"""),"海外執行長室")</f>
        <v>海外執行長室</v>
      </c>
      <c r="G92" s="41" t="str">
        <f>IFERROR(__xludf.DUMMYFUNCTION("""COMPUTED_VALUE"""),"點點簽")</f>
        <v>點點簽</v>
      </c>
      <c r="H92" s="45">
        <f>IFERROR(__xludf.DUMMYFUNCTION("""COMPUTED_VALUE"""),450.0)</f>
        <v>450</v>
      </c>
      <c r="I92" s="41">
        <f>IFERROR(__xludf.DUMMYFUNCTION("""COMPUTED_VALUE"""),0.0)</f>
        <v>0</v>
      </c>
      <c r="J92" s="45">
        <f>IFERROR(__xludf.DUMMYFUNCTION("""COMPUTED_VALUE"""),0.0)</f>
        <v>0</v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B1" s="41" t="str">
        <f>IFERROR(__xludf.DUMMYFUNCTION("IMPORTRANGE(""https://docs.google.com/spreadsheets/d/1Yrxsn8C18gISxf9WNSTc0LQFuMxCzhbdl_-iVkie1qA/edit?gid=261496806#gid=261496806"",""2026 設備明細!A1:AG"")"),"中心主管核准採購與時間")</f>
        <v>中心主管核准採購與時間</v>
      </c>
      <c r="C1" s="41" t="str">
        <f>IFERROR(__xludf.DUMMYFUNCTION("""COMPUTED_VALUE"""),"採購資格類別")</f>
        <v>採購資格類別</v>
      </c>
      <c r="D1" s="41" t="str">
        <f>IFERROR(__xludf.DUMMYFUNCTION("""COMPUTED_VALUE"""),"子公司")</f>
        <v>子公司</v>
      </c>
      <c r="E1" s="41" t="str">
        <f>IFERROR(__xludf.DUMMYFUNCTION("""COMPUTED_VALUE"""),"事業單位")</f>
        <v>事業單位</v>
      </c>
      <c r="F1" s="41" t="str">
        <f>IFERROR(__xludf.DUMMYFUNCTION("""COMPUTED_VALUE"""),"Si 編號")</f>
        <v>Si 編號</v>
      </c>
      <c r="G1" s="41" t="str">
        <f>IFERROR(__xludf.DUMMYFUNCTION("""COMPUTED_VALUE"""),"TA 編號")</f>
        <v>TA 編號</v>
      </c>
      <c r="H1" s="41" t="str">
        <f>IFERROR(__xludf.DUMMYFUNCTION("""COMPUTED_VALUE"""),"費用單位")</f>
        <v>費用單位</v>
      </c>
      <c r="I1" s="41" t="str">
        <f>IFERROR(__xludf.DUMMYFUNCTION("""COMPUTED_VALUE"""),"資產分類")</f>
        <v>資產分類</v>
      </c>
      <c r="J1" s="41" t="str">
        <f>IFERROR(__xludf.DUMMYFUNCTION("""COMPUTED_VALUE"""),"資產編號")</f>
        <v>資產編號</v>
      </c>
      <c r="K1" s="41" t="str">
        <f>IFERROR(__xludf.DUMMYFUNCTION("""COMPUTED_VALUE"""),"產品完整名稱")</f>
        <v>產品完整名稱</v>
      </c>
      <c r="L1" s="41" t="str">
        <f>IFERROR(__xludf.DUMMYFUNCTION("""COMPUTED_VALUE"""),"機器序號")</f>
        <v>機器序號</v>
      </c>
      <c r="M1" s="41" t="str">
        <f>IFERROR(__xludf.DUMMYFUNCTION("""COMPUTED_VALUE"""),"保管人")</f>
        <v>保管人</v>
      </c>
      <c r="N1" s="41" t="str">
        <f>IFERROR(__xludf.DUMMYFUNCTION("""COMPUTED_VALUE"""),"登錄日期")</f>
        <v>登錄日期</v>
      </c>
      <c r="O1" s="41" t="str">
        <f>IFERROR(__xludf.DUMMYFUNCTION("""COMPUTED_VALUE"""),"購入價格(未稅)")</f>
        <v>購入價格(未稅)</v>
      </c>
      <c r="P1" s="41" t="str">
        <f>IFERROR(__xludf.DUMMYFUNCTION("""COMPUTED_VALUE"""),"資產分類")</f>
        <v>資產分類</v>
      </c>
      <c r="Q1" s="41" t="str">
        <f>IFERROR(__xludf.DUMMYFUNCTION("""COMPUTED_VALUE"""),"預計使用月數")</f>
        <v>預計使用月數</v>
      </c>
      <c r="R1" s="41" t="str">
        <f>IFERROR(__xludf.DUMMYFUNCTION("""COMPUTED_VALUE"""),"己過月數")</f>
        <v>己過月數</v>
      </c>
      <c r="S1" s="41" t="str">
        <f>IFERROR(__xludf.DUMMYFUNCTION("""COMPUTED_VALUE"""),"己提折舊")</f>
        <v>己提折舊</v>
      </c>
      <c r="T1" s="41" t="str">
        <f>IFERROR(__xludf.DUMMYFUNCTION("""COMPUTED_VALUE"""),"裝置規格")</f>
        <v>裝置規格</v>
      </c>
      <c r="U1" s="41" t="str">
        <f>IFERROR(__xludf.DUMMYFUNCTION("""COMPUTED_VALUE"""),"是否更換")</f>
        <v>是否更換</v>
      </c>
      <c r="V1" s="41" t="str">
        <f>IFERROR(__xludf.DUMMYFUNCTION("""COMPUTED_VALUE"""),"採購金額")</f>
        <v>採購金額</v>
      </c>
      <c r="W1" s="63" t="str">
        <f>IFERROR(__xludf.DUMMYFUNCTION("""COMPUTED_VALUE"""),"採購月份")</f>
        <v>採購月份</v>
      </c>
      <c r="X1" s="64">
        <f>IFERROR(__xludf.DUMMYFUNCTION("""COMPUTED_VALUE"""),46023.0)</f>
        <v>46023</v>
      </c>
      <c r="Y1" s="64">
        <f>IFERROR(__xludf.DUMMYFUNCTION("""COMPUTED_VALUE"""),46054.0)</f>
        <v>46054</v>
      </c>
      <c r="Z1" s="64">
        <f>IFERROR(__xludf.DUMMYFUNCTION("""COMPUTED_VALUE"""),46082.0)</f>
        <v>46082</v>
      </c>
      <c r="AA1" s="64">
        <f>IFERROR(__xludf.DUMMYFUNCTION("""COMPUTED_VALUE"""),46113.0)</f>
        <v>46113</v>
      </c>
      <c r="AB1" s="64">
        <f>IFERROR(__xludf.DUMMYFUNCTION("""COMPUTED_VALUE"""),46143.0)</f>
        <v>46143</v>
      </c>
      <c r="AC1" s="64">
        <f>IFERROR(__xludf.DUMMYFUNCTION("""COMPUTED_VALUE"""),46174.0)</f>
        <v>46174</v>
      </c>
      <c r="AD1" s="64">
        <f>IFERROR(__xludf.DUMMYFUNCTION("""COMPUTED_VALUE"""),46204.0)</f>
        <v>46204</v>
      </c>
      <c r="AE1" s="64">
        <f>IFERROR(__xludf.DUMMYFUNCTION("""COMPUTED_VALUE"""),46235.0)</f>
        <v>46235</v>
      </c>
      <c r="AF1" s="64">
        <f>IFERROR(__xludf.DUMMYFUNCTION("""COMPUTED_VALUE"""),46266.0)</f>
        <v>46266</v>
      </c>
      <c r="AG1" s="64">
        <f>IFERROR(__xludf.DUMMYFUNCTION("""COMPUTED_VALUE"""),46296.0)</f>
        <v>46296</v>
      </c>
      <c r="AH1" s="64">
        <f>IFERROR(__xludf.DUMMYFUNCTION("""COMPUTED_VALUE"""),46327.0)</f>
        <v>46327</v>
      </c>
    </row>
    <row r="2">
      <c r="B2" s="41" t="str">
        <f>IFERROR(__xludf.DUMMYFUNCTION("""COMPUTED_VALUE"""),"由對應中心主管勾選是否採購，資訊部統整回收後計算費用攤提")</f>
        <v>由對應中心主管勾選是否採購，資訊部統整回收後計算費用攤提</v>
      </c>
      <c r="C2" s="41" t="str">
        <f>IFERROR(__xludf.DUMMYFUNCTION("""COMPUTED_VALUE"""),"填入「滿三年更換」或「新人購入」")</f>
        <v>填入「滿三年更換」或「新人購入」</v>
      </c>
      <c r="D2" s="41" t="str">
        <f>IFERROR(__xludf.DUMMYFUNCTION("""COMPUTED_VALUE"""),"歸屬子公司，例如:TW、QLR")</f>
        <v>歸屬子公司，例如:TW、QLR</v>
      </c>
      <c r="E2" s="41" t="str">
        <f>IFERROR(__xludf.DUMMYFUNCTION("""COMPUTED_VALUE"""),"不需填寫")</f>
        <v>不需填寫</v>
      </c>
      <c r="F2" s="41" t="str">
        <f>IFERROR(__xludf.DUMMYFUNCTION("""COMPUTED_VALUE"""),"不需填寫")</f>
        <v>不需填寫</v>
      </c>
      <c r="G2" s="41" t="str">
        <f>IFERROR(__xludf.DUMMYFUNCTION("""COMPUTED_VALUE"""),"不需填寫")</f>
        <v>不需填寫</v>
      </c>
      <c r="H2" s="41" t="str">
        <f>IFERROR(__xludf.DUMMYFUNCTION("""COMPUTED_VALUE"""),"需按中心/部門/團隊規格，例如：行銷營運中心:銷售營運部:導入教練團隊")</f>
        <v>需按中心/部門/團隊規格，例如：行銷營運中心:銷售營運部:導入教練團隊</v>
      </c>
      <c r="I2" s="41" t="str">
        <f>IFERROR(__xludf.DUMMYFUNCTION("""COMPUTED_VALUE"""),"依資訊部管理方式設定")</f>
        <v>依資訊部管理方式設定</v>
      </c>
      <c r="J2" s="41" t="str">
        <f>IFERROR(__xludf.DUMMYFUNCTION("""COMPUTED_VALUE"""),"依資訊部管理方式設定")</f>
        <v>依資訊部管理方式設定</v>
      </c>
      <c r="K2" s="41" t="str">
        <f>IFERROR(__xludf.DUMMYFUNCTION("""COMPUTED_VALUE"""),"依資訊部管理方式設定")</f>
        <v>依資訊部管理方式設定</v>
      </c>
      <c r="L2" s="41" t="str">
        <f>IFERROR(__xludf.DUMMYFUNCTION("""COMPUTED_VALUE"""),"依資訊部管理方式設定")</f>
        <v>依資訊部管理方式設定</v>
      </c>
      <c r="M2" s="41" t="str">
        <f>IFERROR(__xludf.DUMMYFUNCTION("""COMPUTED_VALUE"""),"依資訊部管理方式設定")</f>
        <v>依資訊部管理方式設定</v>
      </c>
      <c r="N2" s="41" t="str">
        <f>IFERROR(__xludf.DUMMYFUNCTION("""COMPUTED_VALUE"""),"依資訊部管理方式設定")</f>
        <v>依資訊部管理方式設定</v>
      </c>
      <c r="O2" s="41" t="str">
        <f>IFERROR(__xludf.DUMMYFUNCTION("""COMPUTED_VALUE"""),"依資訊部管理方式設定")</f>
        <v>依資訊部管理方式設定</v>
      </c>
      <c r="P2" s="41" t="str">
        <f>IFERROR(__xludf.DUMMYFUNCTION("""COMPUTED_VALUE"""),"依資訊部管理方式設定")</f>
        <v>依資訊部管理方式設定</v>
      </c>
      <c r="Q2" s="41" t="str">
        <f>IFERROR(__xludf.DUMMYFUNCTION("""COMPUTED_VALUE"""),"依資訊部管理方式設定")</f>
        <v>依資訊部管理方式設定</v>
      </c>
      <c r="R2" s="41" t="str">
        <f>IFERROR(__xludf.DUMMYFUNCTION("""COMPUTED_VALUE"""),"依資訊部管理方式設定")</f>
        <v>依資訊部管理方式設定</v>
      </c>
      <c r="S2" s="41" t="str">
        <f>IFERROR(__xludf.DUMMYFUNCTION("""COMPUTED_VALUE"""),"依資訊部管理方式設定")</f>
        <v>依資訊部管理方式設定</v>
      </c>
      <c r="T2" s="41" t="str">
        <f>IFERROR(__xludf.DUMMYFUNCTION("""COMPUTED_VALUE"""),"依資訊部管理方式設定")</f>
        <v>依資訊部管理方式設定</v>
      </c>
      <c r="U2" s="41" t="str">
        <f>IFERROR(__xludf.DUMMYFUNCTION("""COMPUTED_VALUE"""),"依資訊部管理方式設定")</f>
        <v>依資訊部管理方式設定</v>
      </c>
      <c r="V2" s="41" t="str">
        <f>IFERROR(__xludf.DUMMYFUNCTION("""COMPUTED_VALUE"""),"依資訊部管理方式設定")</f>
        <v>依資訊部管理方式設定</v>
      </c>
      <c r="W2" s="41" t="str">
        <f>IFERROR(__xludf.DUMMYFUNCTION("""COMPUTED_VALUE"""),"依資訊部管理方式設定")</f>
        <v>依資訊部管理方式設定</v>
      </c>
      <c r="X2" s="41" t="str">
        <f>IFERROR(__xludf.DUMMYFUNCTION("""COMPUTED_VALUE"""),"填品項金額，例如 300")</f>
        <v>填品項金額，例如 300</v>
      </c>
      <c r="Y2" s="41" t="str">
        <f>IFERROR(__xludf.DUMMYFUNCTION("""COMPUTED_VALUE"""),"填品項金額，例如 300")</f>
        <v>填品項金額，例如 300</v>
      </c>
      <c r="Z2" s="41" t="str">
        <f>IFERROR(__xludf.DUMMYFUNCTION("""COMPUTED_VALUE"""),"填品項金額，例如 300")</f>
        <v>填品項金額，例如 300</v>
      </c>
      <c r="AA2" s="41" t="str">
        <f>IFERROR(__xludf.DUMMYFUNCTION("""COMPUTED_VALUE"""),"填品項金額，例如 300")</f>
        <v>填品項金額，例如 300</v>
      </c>
      <c r="AB2" s="41" t="str">
        <f>IFERROR(__xludf.DUMMYFUNCTION("""COMPUTED_VALUE"""),"填品項金額，例如 300")</f>
        <v>填品項金額，例如 300</v>
      </c>
      <c r="AC2" s="41" t="str">
        <f>IFERROR(__xludf.DUMMYFUNCTION("""COMPUTED_VALUE"""),"填品項金額，例如 300")</f>
        <v>填品項金額，例如 300</v>
      </c>
      <c r="AD2" s="41" t="str">
        <f>IFERROR(__xludf.DUMMYFUNCTION("""COMPUTED_VALUE"""),"填品項金額，例如 300")</f>
        <v>填品項金額，例如 300</v>
      </c>
      <c r="AE2" s="41" t="str">
        <f>IFERROR(__xludf.DUMMYFUNCTION("""COMPUTED_VALUE"""),"填品項金額，例如 300")</f>
        <v>填品項金額，例如 300</v>
      </c>
      <c r="AF2" s="41" t="str">
        <f>IFERROR(__xludf.DUMMYFUNCTION("""COMPUTED_VALUE"""),"填品項金額，例如 300")</f>
        <v>填品項金額，例如 300</v>
      </c>
      <c r="AG2" s="41" t="str">
        <f>IFERROR(__xludf.DUMMYFUNCTION("""COMPUTED_VALUE"""),"填品項金額，例如 300")</f>
        <v>填品項金額，例如 300</v>
      </c>
      <c r="AH2" s="41" t="str">
        <f>IFERROR(__xludf.DUMMYFUNCTION("""COMPUTED_VALUE"""),"填品項金額，例如 300")</f>
        <v>填品項金額，例如 300</v>
      </c>
    </row>
    <row r="3">
      <c r="B3" s="41"/>
      <c r="C3" s="41" t="str">
        <f>IFERROR(__xludf.DUMMYFUNCTION("""COMPUTED_VALUE"""),"滿三年更換")</f>
        <v>滿三年更換</v>
      </c>
      <c r="D3" s="41" t="str">
        <f>IFERROR(__xludf.DUMMYFUNCTION("""COMPUTED_VALUE"""),"TW")</f>
        <v>TW</v>
      </c>
      <c r="E3" s="41" t="str">
        <f>IFERROR(__xludf.DUMMYFUNCTION("""COMPUTED_VALUE"""),"Corporate")</f>
        <v>Corporate</v>
      </c>
      <c r="F3" s="41" t="str">
        <f>IFERROR(__xludf.DUMMYFUNCTION("""COMPUTED_VALUE"""),"Corporation")</f>
        <v>Corporation</v>
      </c>
      <c r="G3" s="41" t="str">
        <f>IFERROR(__xludf.DUMMYFUNCTION("""COMPUTED_VALUE"""),"Baseline")</f>
        <v>Baseline</v>
      </c>
      <c r="H3" s="65" t="str">
        <f>IFERROR(__xludf.DUMMYFUNCTION("""COMPUTED_VALUE"""),"客戶價值中心:客戶關係管理部:TSE團隊")</f>
        <v>客戶價值中心:客戶關係管理部:TSE團隊</v>
      </c>
      <c r="I3" s="41" t="str">
        <f>IFERROR(__xludf.DUMMYFUNCTION("""COMPUTED_VALUE"""),"資訊裝置")</f>
        <v>資訊裝置</v>
      </c>
      <c r="J3" s="41" t="str">
        <f>IFERROR(__xludf.DUMMYFUNCTION("""COMPUTED_VALUE"""),"AICHMA02101011")</f>
        <v>AICHMA02101011</v>
      </c>
      <c r="K3" s="41" t="str">
        <f>IFERROR(__xludf.DUMMYFUNCTION("""COMPUTED_VALUE"""),"Macbook Air")</f>
        <v>Macbook Air</v>
      </c>
      <c r="L3" s="41" t="str">
        <f>IFERROR(__xludf.DUMMYFUNCTION("""COMPUTED_VALUE"""),"FVHF32E7Q6L4")</f>
        <v>FVHF32E7Q6L4</v>
      </c>
      <c r="M3" s="41" t="str">
        <f>IFERROR(__xludf.DUMMYFUNCTION("""COMPUTED_VALUE"""),"丁伊柔")</f>
        <v>丁伊柔</v>
      </c>
      <c r="N3" s="65">
        <f>IFERROR(__xludf.DUMMYFUNCTION("""COMPUTED_VALUE"""),44224.0)</f>
        <v>44224</v>
      </c>
      <c r="O3" s="45">
        <f>IFERROR(__xludf.DUMMYFUNCTION("""COMPUTED_VALUE"""),8455.0)</f>
        <v>8455</v>
      </c>
      <c r="P3" s="41" t="str">
        <f>IFERROR(__xludf.DUMMYFUNCTION("""COMPUTED_VALUE"""),"資訊裝置")</f>
        <v>資訊裝置</v>
      </c>
      <c r="Q3" s="41">
        <f>IFERROR(__xludf.DUMMYFUNCTION("""COMPUTED_VALUE"""),36.0)</f>
        <v>36</v>
      </c>
      <c r="R3" s="41">
        <f>IFERROR(__xludf.DUMMYFUNCTION("""COMPUTED_VALUE"""),36.0)</f>
        <v>36</v>
      </c>
      <c r="S3" s="41" t="str">
        <f>IFERROR(__xludf.DUMMYFUNCTION("""COMPUTED_VALUE"""),"NT$8,455")</f>
        <v>NT$8,455</v>
      </c>
      <c r="T3" s="41" t="str">
        <f>IFERROR(__xludf.DUMMYFUNCTION("""COMPUTED_VALUE"""),"A2337 MBA13 (2020) M1/8GBRAM/256GBSSD")</f>
        <v>A2337 MBA13 (2020) M1/8GBRAM/256GBSSD</v>
      </c>
      <c r="U3" s="41"/>
      <c r="V3" s="41"/>
      <c r="W3" s="41"/>
      <c r="X3" s="45" t="str">
        <f>IFERROR(__xludf.DUMMYFUNCTION("""COMPUTED_VALUE"""),"")</f>
        <v/>
      </c>
      <c r="Y3" s="41"/>
      <c r="Z3" s="41"/>
      <c r="AA3" s="41"/>
      <c r="AB3" s="41"/>
      <c r="AC3" s="41"/>
      <c r="AD3" s="41"/>
      <c r="AE3" s="41"/>
      <c r="AF3" s="41"/>
      <c r="AG3" s="41"/>
      <c r="AH3" s="41"/>
    </row>
    <row r="4">
      <c r="B4" s="41"/>
      <c r="C4" s="41" t="str">
        <f>IFERROR(__xludf.DUMMYFUNCTION("""COMPUTED_VALUE"""),"滿三年更換")</f>
        <v>滿三年更換</v>
      </c>
      <c r="D4" s="41" t="str">
        <f>IFERROR(__xludf.DUMMYFUNCTION("""COMPUTED_VALUE"""),"TW")</f>
        <v>TW</v>
      </c>
      <c r="E4" s="41"/>
      <c r="F4" s="41"/>
      <c r="G4" s="41"/>
      <c r="H4" s="65" t="str">
        <f>IFERROR(__xludf.DUMMYFUNCTION("""COMPUTED_VALUE"""),"客戶價值中心:客戶關係管理部:TSE團隊")</f>
        <v>客戶價值中心:客戶關係管理部:TSE團隊</v>
      </c>
      <c r="I4" s="41" t="str">
        <f>IFERROR(__xludf.DUMMYFUNCTION("""COMPUTED_VALUE"""),"資訊裝置")</f>
        <v>資訊裝置</v>
      </c>
      <c r="J4" s="41" t="str">
        <f>IFERROR(__xludf.DUMMYFUNCTION("""COMPUTED_VALUE"""),"AICHIP02112083")</f>
        <v>AICHIP02112083</v>
      </c>
      <c r="K4" s="41" t="str">
        <f>IFERROR(__xludf.DUMMYFUNCTION("""COMPUTED_VALUE"""),"iPad")</f>
        <v>iPad</v>
      </c>
      <c r="L4" s="41" t="str">
        <f>IFERROR(__xludf.DUMMYFUNCTION("""COMPUTED_VALUE"""),"DMPX7DC6JMVR")</f>
        <v>DMPX7DC6JMVR</v>
      </c>
      <c r="M4" s="41" t="str">
        <f>IFERROR(__xludf.DUMMYFUNCTION("""COMPUTED_VALUE"""),"丁伊柔")</f>
        <v>丁伊柔</v>
      </c>
      <c r="N4" s="65">
        <f>IFERROR(__xludf.DUMMYFUNCTION("""COMPUTED_VALUE"""),44538.0)</f>
        <v>44538</v>
      </c>
      <c r="O4" s="41"/>
      <c r="P4" s="41" t="str">
        <f>IFERROR(__xludf.DUMMYFUNCTION("""COMPUTED_VALUE"""),"資訊裝置")</f>
        <v>資訊裝置</v>
      </c>
      <c r="Q4" s="41">
        <f>IFERROR(__xludf.DUMMYFUNCTION("""COMPUTED_VALUE"""),36.0)</f>
        <v>36</v>
      </c>
      <c r="R4" s="41">
        <f>IFERROR(__xludf.DUMMYFUNCTION("""COMPUTED_VALUE"""),36.0)</f>
        <v>36</v>
      </c>
      <c r="S4" s="41" t="str">
        <f>IFERROR(__xludf.DUMMYFUNCTION("""COMPUTED_VALUE"""),"NT$0")</f>
        <v>NT$0</v>
      </c>
      <c r="T4" s="41" t="str">
        <f>IFERROR(__xludf.DUMMYFUNCTION("""COMPUTED_VALUE"""),"iPad (第六代) 32GB WIFI(A1893)")</f>
        <v>iPad (第六代) 32GB WIFI(A1893)</v>
      </c>
      <c r="U4" s="41"/>
      <c r="V4" s="41"/>
      <c r="W4" s="41"/>
      <c r="X4" s="45" t="str">
        <f>IFERROR(__xludf.DUMMYFUNCTION("""COMPUTED_VALUE"""),"")</f>
        <v/>
      </c>
      <c r="Y4" s="41"/>
      <c r="Z4" s="41"/>
      <c r="AA4" s="41"/>
      <c r="AB4" s="41"/>
      <c r="AC4" s="41"/>
      <c r="AD4" s="41"/>
      <c r="AE4" s="41"/>
      <c r="AF4" s="41"/>
      <c r="AG4" s="41"/>
      <c r="AH4" s="41"/>
    </row>
    <row r="5">
      <c r="B5" s="41"/>
      <c r="C5" s="41" t="str">
        <f>IFERROR(__xludf.DUMMYFUNCTION("""COMPUTED_VALUE"""),"滿三年更換")</f>
        <v>滿三年更換</v>
      </c>
      <c r="D5" s="41" t="str">
        <f>IFERROR(__xludf.DUMMYFUNCTION("""COMPUTED_VALUE"""),"TW")</f>
        <v>TW</v>
      </c>
      <c r="E5" s="41"/>
      <c r="F5" s="41"/>
      <c r="G5" s="41"/>
      <c r="H5" s="65" t="str">
        <f>IFERROR(__xludf.DUMMYFUNCTION("""COMPUTED_VALUE"""),"客戶價值中心:客戶關係管理部:TSE團隊")</f>
        <v>客戶價值中心:客戶關係管理部:TSE團隊</v>
      </c>
      <c r="I5" s="41" t="str">
        <f>IFERROR(__xludf.DUMMYFUNCTION("""COMPUTED_VALUE"""),"資訊裝置")</f>
        <v>資訊裝置</v>
      </c>
      <c r="J5" s="41" t="str">
        <f>IFERROR(__xludf.DUMMYFUNCTION("""COMPUTED_VALUE"""),"AICHMN01606033")</f>
        <v>AICHMN01606033</v>
      </c>
      <c r="K5" s="41" t="str">
        <f>IFERROR(__xludf.DUMMYFUNCTION("""COMPUTED_VALUE"""),"螢幕")</f>
        <v>螢幕</v>
      </c>
      <c r="L5" s="41" t="str">
        <f>IFERROR(__xludf.DUMMYFUNCTION("""COMPUTED_VALUE"""),"CN-0MTYGK-64180-633-00ZS-A02")</f>
        <v>CN-0MTYGK-64180-633-00ZS-A02</v>
      </c>
      <c r="M5" s="41" t="str">
        <f>IFERROR(__xludf.DUMMYFUNCTION("""COMPUTED_VALUE"""),"丁伊柔")</f>
        <v>丁伊柔</v>
      </c>
      <c r="N5" s="65">
        <f>IFERROR(__xludf.DUMMYFUNCTION("""COMPUTED_VALUE"""),42523.0)</f>
        <v>42523</v>
      </c>
      <c r="O5" s="41"/>
      <c r="P5" s="41" t="str">
        <f>IFERROR(__xludf.DUMMYFUNCTION("""COMPUTED_VALUE"""),"資訊裝置")</f>
        <v>資訊裝置</v>
      </c>
      <c r="Q5" s="41">
        <f>IFERROR(__xludf.DUMMYFUNCTION("""COMPUTED_VALUE"""),36.0)</f>
        <v>36</v>
      </c>
      <c r="R5" s="41">
        <f>IFERROR(__xludf.DUMMYFUNCTION("""COMPUTED_VALUE"""),36.0)</f>
        <v>36</v>
      </c>
      <c r="S5" s="41" t="str">
        <f>IFERROR(__xludf.DUMMYFUNCTION("""COMPUTED_VALUE"""),"NT$0")</f>
        <v>NT$0</v>
      </c>
      <c r="T5" s="41" t="str">
        <f>IFERROR(__xludf.DUMMYFUNCTION("""COMPUTED_VALUE"""),"Dell 24吋 U2412Mc")</f>
        <v>Dell 24吋 U2412Mc</v>
      </c>
      <c r="U5" s="41"/>
      <c r="V5" s="41"/>
      <c r="W5" s="41"/>
      <c r="X5" s="45" t="str">
        <f>IFERROR(__xludf.DUMMYFUNCTION("""COMPUTED_VALUE"""),"")</f>
        <v/>
      </c>
      <c r="Y5" s="41"/>
      <c r="Z5" s="41"/>
      <c r="AA5" s="41"/>
      <c r="AB5" s="41"/>
      <c r="AC5" s="41"/>
      <c r="AD5" s="41"/>
      <c r="AE5" s="41"/>
      <c r="AF5" s="41"/>
      <c r="AG5" s="41"/>
      <c r="AH5" s="41"/>
    </row>
    <row r="6">
      <c r="B6" s="41"/>
      <c r="C6" s="41" t="str">
        <f>IFERROR(__xludf.DUMMYFUNCTION("""COMPUTED_VALUE"""),"滿三年更換")</f>
        <v>滿三年更換</v>
      </c>
      <c r="D6" s="41" t="str">
        <f>IFERROR(__xludf.DUMMYFUNCTION("""COMPUTED_VALUE"""),"TW")</f>
        <v>TW</v>
      </c>
      <c r="E6" s="41"/>
      <c r="F6" s="41"/>
      <c r="G6" s="41"/>
      <c r="H6" s="41" t="str">
        <f>IFERROR(__xludf.DUMMYFUNCTION("""COMPUTED_VALUE"""),"管理中心:資訊部")</f>
        <v>管理中心:資訊部</v>
      </c>
      <c r="I6" s="41" t="str">
        <f>IFERROR(__xludf.DUMMYFUNCTION("""COMPUTED_VALUE"""),"資訊裝置")</f>
        <v>資訊裝置</v>
      </c>
      <c r="J6" s="41" t="str">
        <f>IFERROR(__xludf.DUMMYFUNCTION("""COMPUTED_VALUE"""),"AICHMP02108032")</f>
        <v>AICHMP02108032</v>
      </c>
      <c r="K6" s="41" t="str">
        <f>IFERROR(__xludf.DUMMYFUNCTION("""COMPUTED_VALUE"""),"Macbook Pro")</f>
        <v>Macbook Pro</v>
      </c>
      <c r="L6" s="41" t="str">
        <f>IFERROR(__xludf.DUMMYFUNCTION("""COMPUTED_VALUE"""),"C02G41S4MD6M")</f>
        <v>C02G41S4MD6M</v>
      </c>
      <c r="M6" s="41" t="str">
        <f>IFERROR(__xludf.DUMMYFUNCTION("""COMPUTED_VALUE"""),"王壯為")</f>
        <v>王壯為</v>
      </c>
      <c r="N6" s="65">
        <f>IFERROR(__xludf.DUMMYFUNCTION("""COMPUTED_VALUE"""),44414.0)</f>
        <v>44414</v>
      </c>
      <c r="O6" s="45">
        <f>IFERROR(__xludf.DUMMYFUNCTION("""COMPUTED_VALUE"""),68260.0)</f>
        <v>68260</v>
      </c>
      <c r="P6" s="41" t="str">
        <f>IFERROR(__xludf.DUMMYFUNCTION("""COMPUTED_VALUE"""),"資訊裝置")</f>
        <v>資訊裝置</v>
      </c>
      <c r="Q6" s="41">
        <f>IFERROR(__xludf.DUMMYFUNCTION("""COMPUTED_VALUE"""),36.0)</f>
        <v>36</v>
      </c>
      <c r="R6" s="41">
        <f>IFERROR(__xludf.DUMMYFUNCTION("""COMPUTED_VALUE"""),36.0)</f>
        <v>36</v>
      </c>
      <c r="S6" s="41" t="str">
        <f>IFERROR(__xludf.DUMMYFUNCTION("""COMPUTED_VALUE"""),"NT$68,260")</f>
        <v>NT$68,260</v>
      </c>
      <c r="T6" s="41" t="str">
        <f>IFERROR(__xludf.DUMMYFUNCTION("""COMPUTED_VALUE"""),"MBP16 (2019) I7/16GBRAM/512GBSSD(MVVJ2TA/A)")</f>
        <v>MBP16 (2019) I7/16GBRAM/512GBSSD(MVVJ2TA/A)</v>
      </c>
      <c r="U6" s="41"/>
      <c r="V6" s="41"/>
      <c r="W6" s="41"/>
      <c r="X6" s="45" t="str">
        <f>IFERROR(__xludf.DUMMYFUNCTION("""COMPUTED_VALUE"""),"")</f>
        <v/>
      </c>
      <c r="Y6" s="41"/>
      <c r="Z6" s="41"/>
      <c r="AA6" s="41"/>
      <c r="AB6" s="41"/>
      <c r="AC6" s="41"/>
      <c r="AD6" s="41"/>
      <c r="AE6" s="41"/>
      <c r="AF6" s="41"/>
      <c r="AG6" s="41"/>
      <c r="AH6" s="41"/>
    </row>
    <row r="7">
      <c r="B7" s="41"/>
      <c r="C7" s="41" t="str">
        <f>IFERROR(__xludf.DUMMYFUNCTION("""COMPUTED_VALUE"""),"滿三年更換")</f>
        <v>滿三年更換</v>
      </c>
      <c r="D7" s="41" t="str">
        <f>IFERROR(__xludf.DUMMYFUNCTION("""COMPUTED_VALUE"""),"TW")</f>
        <v>TW</v>
      </c>
      <c r="E7" s="41"/>
      <c r="F7" s="41"/>
      <c r="G7" s="41"/>
      <c r="H7" s="41" t="str">
        <f>IFERROR(__xludf.DUMMYFUNCTION("""COMPUTED_VALUE"""),"管理中心:資訊部")</f>
        <v>管理中心:資訊部</v>
      </c>
      <c r="I7" s="41" t="str">
        <f>IFERROR(__xludf.DUMMYFUNCTION("""COMPUTED_VALUE"""),"資訊裝置")</f>
        <v>資訊裝置</v>
      </c>
      <c r="J7" s="41" t="str">
        <f>IFERROR(__xludf.DUMMYFUNCTION("""COMPUTED_VALUE"""),"AICHMN02108107")</f>
        <v>AICHMN02108107</v>
      </c>
      <c r="K7" s="41" t="str">
        <f>IFERROR(__xludf.DUMMYFUNCTION("""COMPUTED_VALUE"""),"螢幕")</f>
        <v>螢幕</v>
      </c>
      <c r="L7" s="41" t="str">
        <f>IFERROR(__xludf.DUMMYFUNCTION("""COMPUTED_VALUE"""),"CN-0458FC-WSL00-163-012B-A04")</f>
        <v>CN-0458FC-WSL00-163-012B-A04</v>
      </c>
      <c r="M7" s="41" t="str">
        <f>IFERROR(__xludf.DUMMYFUNCTION("""COMPUTED_VALUE"""),"王壯為")</f>
        <v>王壯為</v>
      </c>
      <c r="N7" s="65">
        <f>IFERROR(__xludf.DUMMYFUNCTION("""COMPUTED_VALUE"""),44418.0)</f>
        <v>44418</v>
      </c>
      <c r="O7" s="45">
        <f>IFERROR(__xludf.DUMMYFUNCTION("""COMPUTED_VALUE"""),8754.0)</f>
        <v>8754</v>
      </c>
      <c r="P7" s="41" t="str">
        <f>IFERROR(__xludf.DUMMYFUNCTION("""COMPUTED_VALUE"""),"資訊裝置")</f>
        <v>資訊裝置</v>
      </c>
      <c r="Q7" s="41">
        <f>IFERROR(__xludf.DUMMYFUNCTION("""COMPUTED_VALUE"""),36.0)</f>
        <v>36</v>
      </c>
      <c r="R7" s="41">
        <f>IFERROR(__xludf.DUMMYFUNCTION("""COMPUTED_VALUE"""),36.0)</f>
        <v>36</v>
      </c>
      <c r="S7" s="41" t="str">
        <f>IFERROR(__xludf.DUMMYFUNCTION("""COMPUTED_VALUE"""),"NT$8,754")</f>
        <v>NT$8,754</v>
      </c>
      <c r="T7" s="41" t="str">
        <f>IFERROR(__xludf.DUMMYFUNCTION("""COMPUTED_VALUE"""),"Dell 24吋 S2421HSX")</f>
        <v>Dell 24吋 S2421HSX</v>
      </c>
      <c r="U7" s="41"/>
      <c r="V7" s="41"/>
      <c r="W7" s="41"/>
      <c r="X7" s="45" t="str">
        <f>IFERROR(__xludf.DUMMYFUNCTION("""COMPUTED_VALUE"""),"")</f>
        <v/>
      </c>
      <c r="Y7" s="41"/>
      <c r="Z7" s="41"/>
      <c r="AA7" s="41"/>
      <c r="AB7" s="41"/>
      <c r="AC7" s="41"/>
      <c r="AD7" s="41"/>
      <c r="AE7" s="41"/>
      <c r="AF7" s="41"/>
      <c r="AG7" s="41"/>
      <c r="AH7" s="41"/>
    </row>
    <row r="8">
      <c r="B8" s="41"/>
      <c r="C8" s="41" t="str">
        <f>IFERROR(__xludf.DUMMYFUNCTION("""COMPUTED_VALUE"""),"滿三年更換")</f>
        <v>滿三年更換</v>
      </c>
      <c r="D8" s="41" t="str">
        <f>IFERROR(__xludf.DUMMYFUNCTION("""COMPUTED_VALUE"""),"TW")</f>
        <v>TW</v>
      </c>
      <c r="E8" s="41"/>
      <c r="F8" s="41"/>
      <c r="G8" s="41"/>
      <c r="H8" s="65" t="str">
        <f>IFERROR(__xludf.DUMMYFUNCTION("""COMPUTED_VALUE"""),"行銷營運中心:銷售營運部:客戶導入團隊")</f>
        <v>行銷營運中心:銷售營運部:客戶導入團隊</v>
      </c>
      <c r="I8" s="41" t="str">
        <f>IFERROR(__xludf.DUMMYFUNCTION("""COMPUTED_VALUE"""),"資訊裝置")</f>
        <v>資訊裝置</v>
      </c>
      <c r="J8" s="41" t="str">
        <f>IFERROR(__xludf.DUMMYFUNCTION("""COMPUTED_VALUE"""),"AICHMA02012008")</f>
        <v>AICHMA02012008</v>
      </c>
      <c r="K8" s="41" t="str">
        <f>IFERROR(__xludf.DUMMYFUNCTION("""COMPUTED_VALUE"""),"Macbook Air")</f>
        <v>Macbook Air</v>
      </c>
      <c r="L8" s="41" t="str">
        <f>IFERROR(__xludf.DUMMYFUNCTION("""COMPUTED_VALUE"""),"FVHDJ74AMNHP")</f>
        <v>FVHDJ74AMNHP</v>
      </c>
      <c r="M8" s="41" t="str">
        <f>IFERROR(__xludf.DUMMYFUNCTION("""COMPUTED_VALUE"""),"王威淳")</f>
        <v>王威淳</v>
      </c>
      <c r="N8" s="66">
        <f>IFERROR(__xludf.DUMMYFUNCTION("""COMPUTED_VALUE"""),44180.0)</f>
        <v>44180</v>
      </c>
      <c r="O8" s="45">
        <f>IFERROR(__xludf.DUMMYFUNCTION("""COMPUTED_VALUE"""),23800.0)</f>
        <v>23800</v>
      </c>
      <c r="P8" s="41" t="str">
        <f>IFERROR(__xludf.DUMMYFUNCTION("""COMPUTED_VALUE"""),"資訊裝置")</f>
        <v>資訊裝置</v>
      </c>
      <c r="Q8" s="41">
        <f>IFERROR(__xludf.DUMMYFUNCTION("""COMPUTED_VALUE"""),36.0)</f>
        <v>36</v>
      </c>
      <c r="R8" s="41">
        <f>IFERROR(__xludf.DUMMYFUNCTION("""COMPUTED_VALUE"""),36.0)</f>
        <v>36</v>
      </c>
      <c r="S8" s="41" t="str">
        <f>IFERROR(__xludf.DUMMYFUNCTION("""COMPUTED_VALUE"""),"NT$23,800")</f>
        <v>NT$23,800</v>
      </c>
      <c r="T8" s="41" t="str">
        <f>IFERROR(__xludf.DUMMYFUNCTION("""COMPUTED_VALUE"""),"MBA13 (Retina, 2020) I3/8GBRAM/256GBSSD")</f>
        <v>MBA13 (Retina, 2020) I3/8GBRAM/256GBSSD</v>
      </c>
      <c r="U8" s="41"/>
      <c r="V8" s="41"/>
      <c r="W8" s="41"/>
      <c r="X8" s="45" t="str">
        <f>IFERROR(__xludf.DUMMYFUNCTION("""COMPUTED_VALUE"""),"")</f>
        <v/>
      </c>
      <c r="Y8" s="41"/>
      <c r="Z8" s="41"/>
      <c r="AA8" s="41"/>
      <c r="AB8" s="41"/>
      <c r="AC8" s="41"/>
      <c r="AD8" s="41"/>
      <c r="AE8" s="41"/>
      <c r="AF8" s="41"/>
      <c r="AG8" s="41"/>
      <c r="AH8" s="41"/>
    </row>
    <row r="9">
      <c r="B9" s="41"/>
      <c r="C9" s="41" t="str">
        <f>IFERROR(__xludf.DUMMYFUNCTION("""COMPUTED_VALUE"""),"滿三年更換")</f>
        <v>滿三年更換</v>
      </c>
      <c r="D9" s="41" t="str">
        <f>IFERROR(__xludf.DUMMYFUNCTION("""COMPUTED_VALUE"""),"TW")</f>
        <v>TW</v>
      </c>
      <c r="E9" s="41"/>
      <c r="F9" s="41"/>
      <c r="G9" s="41"/>
      <c r="H9" s="65" t="str">
        <f>IFERROR(__xludf.DUMMYFUNCTION("""COMPUTED_VALUE"""),"行銷營運中心:銷售營運部:客戶導入團隊")</f>
        <v>行銷營運中心:銷售營運部:客戶導入團隊</v>
      </c>
      <c r="I9" s="41" t="str">
        <f>IFERROR(__xludf.DUMMYFUNCTION("""COMPUTED_VALUE"""),"資訊裝置")</f>
        <v>資訊裝置</v>
      </c>
      <c r="J9" s="41" t="str">
        <f>IFERROR(__xludf.DUMMYFUNCTION("""COMPUTED_VALUE"""),"AICHIP02102047")</f>
        <v>AICHIP02102047</v>
      </c>
      <c r="K9" s="41" t="str">
        <f>IFERROR(__xludf.DUMMYFUNCTION("""COMPUTED_VALUE"""),"iPad")</f>
        <v>iPad</v>
      </c>
      <c r="L9" s="41" t="str">
        <f>IFERROR(__xludf.DUMMYFUNCTION("""COMPUTED_VALUE"""),"DMPCTB9GMF3N")</f>
        <v>DMPCTB9GMF3N</v>
      </c>
      <c r="M9" s="41" t="str">
        <f>IFERROR(__xludf.DUMMYFUNCTION("""COMPUTED_VALUE"""),"王威淳")</f>
        <v>王威淳</v>
      </c>
      <c r="N9" s="65">
        <f>IFERROR(__xludf.DUMMYFUNCTION("""COMPUTED_VALUE"""),44236.0)</f>
        <v>44236</v>
      </c>
      <c r="O9" s="45">
        <f>IFERROR(__xludf.DUMMYFUNCTION("""COMPUTED_VALUE"""),8640.0)</f>
        <v>8640</v>
      </c>
      <c r="P9" s="41" t="str">
        <f>IFERROR(__xludf.DUMMYFUNCTION("""COMPUTED_VALUE"""),"資訊裝置")</f>
        <v>資訊裝置</v>
      </c>
      <c r="Q9" s="41">
        <f>IFERROR(__xludf.DUMMYFUNCTION("""COMPUTED_VALUE"""),36.0)</f>
        <v>36</v>
      </c>
      <c r="R9" s="41">
        <f>IFERROR(__xludf.DUMMYFUNCTION("""COMPUTED_VALUE"""),36.0)</f>
        <v>36</v>
      </c>
      <c r="S9" s="41" t="str">
        <f>IFERROR(__xludf.DUMMYFUNCTION("""COMPUTED_VALUE"""),"NT$8,640")</f>
        <v>NT$8,640</v>
      </c>
      <c r="T9" s="41" t="str">
        <f>IFERROR(__xludf.DUMMYFUNCTION("""COMPUTED_VALUE"""),"iPad (第七代) 32GB WIFI(A2197)")</f>
        <v>iPad (第七代) 32GB WIFI(A2197)</v>
      </c>
      <c r="U9" s="41"/>
      <c r="V9" s="41"/>
      <c r="W9" s="41"/>
      <c r="X9" s="45" t="str">
        <f>IFERROR(__xludf.DUMMYFUNCTION("""COMPUTED_VALUE"""),"")</f>
        <v/>
      </c>
      <c r="Y9" s="41"/>
      <c r="Z9" s="41"/>
      <c r="AA9" s="41"/>
      <c r="AB9" s="41"/>
      <c r="AC9" s="41"/>
      <c r="AD9" s="41"/>
      <c r="AE9" s="41"/>
      <c r="AF9" s="41"/>
      <c r="AG9" s="41"/>
      <c r="AH9" s="41"/>
    </row>
    <row r="10">
      <c r="B10" s="41"/>
      <c r="C10" s="41" t="str">
        <f>IFERROR(__xludf.DUMMYFUNCTION("""COMPUTED_VALUE"""),"滿三年更換")</f>
        <v>滿三年更換</v>
      </c>
      <c r="D10" s="41" t="str">
        <f>IFERROR(__xludf.DUMMYFUNCTION("""COMPUTED_VALUE"""),"TW")</f>
        <v>TW</v>
      </c>
      <c r="E10" s="41"/>
      <c r="F10" s="41"/>
      <c r="G10" s="41"/>
      <c r="H10" s="65" t="str">
        <f>IFERROR(__xludf.DUMMYFUNCTION("""COMPUTED_VALUE"""),"行銷營運中心:銷售營運部:客戶導入團隊")</f>
        <v>行銷營運中心:銷售營運部:客戶導入團隊</v>
      </c>
      <c r="I10" s="41" t="str">
        <f>IFERROR(__xludf.DUMMYFUNCTION("""COMPUTED_VALUE"""),"資訊裝置")</f>
        <v>資訊裝置</v>
      </c>
      <c r="J10" s="41" t="str">
        <f>IFERROR(__xludf.DUMMYFUNCTION("""COMPUTED_VALUE"""),"AICHMA02106025")</f>
        <v>AICHMA02106025</v>
      </c>
      <c r="K10" s="41" t="str">
        <f>IFERROR(__xludf.DUMMYFUNCTION("""COMPUTED_VALUE"""),"Macbook Air")</f>
        <v>Macbook Air</v>
      </c>
      <c r="L10" s="41" t="str">
        <f>IFERROR(__xludf.DUMMYFUNCTION("""COMPUTED_VALUE"""),"FVFFV0RLQ6L7")</f>
        <v>FVFFV0RLQ6L7</v>
      </c>
      <c r="M10" s="41" t="str">
        <f>IFERROR(__xludf.DUMMYFUNCTION("""COMPUTED_VALUE"""),"王暐綸")</f>
        <v>王暐綸</v>
      </c>
      <c r="N10" s="65">
        <f>IFERROR(__xludf.DUMMYFUNCTION("""COMPUTED_VALUE"""),44370.0)</f>
        <v>44370</v>
      </c>
      <c r="O10" s="45">
        <f>IFERROR(__xludf.DUMMYFUNCTION("""COMPUTED_VALUE"""),27075.0)</f>
        <v>27075</v>
      </c>
      <c r="P10" s="41" t="str">
        <f>IFERROR(__xludf.DUMMYFUNCTION("""COMPUTED_VALUE"""),"資訊裝置")</f>
        <v>資訊裝置</v>
      </c>
      <c r="Q10" s="41">
        <f>IFERROR(__xludf.DUMMYFUNCTION("""COMPUTED_VALUE"""),36.0)</f>
        <v>36</v>
      </c>
      <c r="R10" s="41">
        <f>IFERROR(__xludf.DUMMYFUNCTION("""COMPUTED_VALUE"""),36.0)</f>
        <v>36</v>
      </c>
      <c r="S10" s="41" t="str">
        <f>IFERROR(__xludf.DUMMYFUNCTION("""COMPUTED_VALUE"""),"NT$27,075")</f>
        <v>NT$27,075</v>
      </c>
      <c r="T10" s="41" t="str">
        <f>IFERROR(__xludf.DUMMYFUNCTION("""COMPUTED_VALUE"""),"MBA13 (2020) M1/8GBRAM/256GBSSD")</f>
        <v>MBA13 (2020) M1/8GBRAM/256GBSSD</v>
      </c>
      <c r="U10" s="41"/>
      <c r="V10" s="41"/>
      <c r="W10" s="41"/>
      <c r="X10" s="45" t="str">
        <f>IFERROR(__xludf.DUMMYFUNCTION("""COMPUTED_VALUE"""),"")</f>
        <v/>
      </c>
      <c r="Y10" s="41"/>
      <c r="Z10" s="41"/>
      <c r="AA10" s="41"/>
      <c r="AB10" s="41"/>
      <c r="AC10" s="41"/>
      <c r="AD10" s="41"/>
      <c r="AE10" s="41"/>
      <c r="AF10" s="41"/>
      <c r="AG10" s="41"/>
      <c r="AH10" s="41"/>
    </row>
    <row r="11">
      <c r="B11" s="41"/>
      <c r="C11" s="41" t="str">
        <f>IFERROR(__xludf.DUMMYFUNCTION("""COMPUTED_VALUE"""),"滿三年更換")</f>
        <v>滿三年更換</v>
      </c>
      <c r="D11" s="41" t="str">
        <f>IFERROR(__xludf.DUMMYFUNCTION("""COMPUTED_VALUE"""),"TW")</f>
        <v>TW</v>
      </c>
      <c r="E11" s="41"/>
      <c r="F11" s="41"/>
      <c r="G11" s="41"/>
      <c r="H11" s="65" t="str">
        <f>IFERROR(__xludf.DUMMYFUNCTION("""COMPUTED_VALUE"""),"行銷營運中心:銷售營運部:客戶導入團隊")</f>
        <v>行銷營運中心:銷售營運部:客戶導入團隊</v>
      </c>
      <c r="I11" s="41" t="str">
        <f>IFERROR(__xludf.DUMMYFUNCTION("""COMPUTED_VALUE"""),"資訊裝置")</f>
        <v>資訊裝置</v>
      </c>
      <c r="J11" s="41" t="str">
        <f>IFERROR(__xludf.DUMMYFUNCTION("""COMPUTED_VALUE"""),"AICHIP02008036")</f>
        <v>AICHIP02008036</v>
      </c>
      <c r="K11" s="41" t="str">
        <f>IFERROR(__xludf.DUMMYFUNCTION("""COMPUTED_VALUE"""),"iPad")</f>
        <v>iPad</v>
      </c>
      <c r="L11" s="41" t="str">
        <f>IFERROR(__xludf.DUMMYFUNCTION("""COMPUTED_VALUE"""),"DMPD3C6ZMF3P")</f>
        <v>DMPD3C6ZMF3P</v>
      </c>
      <c r="M11" s="41" t="str">
        <f>IFERROR(__xludf.DUMMYFUNCTION("""COMPUTED_VALUE"""),"王暐綸")</f>
        <v>王暐綸</v>
      </c>
      <c r="N11" s="65">
        <f>IFERROR(__xludf.DUMMYFUNCTION("""COMPUTED_VALUE"""),44074.0)</f>
        <v>44074</v>
      </c>
      <c r="O11" s="45">
        <f>IFERROR(__xludf.DUMMYFUNCTION("""COMPUTED_VALUE"""),9818.0)</f>
        <v>9818</v>
      </c>
      <c r="P11" s="41" t="str">
        <f>IFERROR(__xludf.DUMMYFUNCTION("""COMPUTED_VALUE"""),"資訊裝置")</f>
        <v>資訊裝置</v>
      </c>
      <c r="Q11" s="41">
        <f>IFERROR(__xludf.DUMMYFUNCTION("""COMPUTED_VALUE"""),36.0)</f>
        <v>36</v>
      </c>
      <c r="R11" s="41">
        <f>IFERROR(__xludf.DUMMYFUNCTION("""COMPUTED_VALUE"""),36.0)</f>
        <v>36</v>
      </c>
      <c r="S11" s="41" t="str">
        <f>IFERROR(__xludf.DUMMYFUNCTION("""COMPUTED_VALUE"""),"NT$9,818")</f>
        <v>NT$9,818</v>
      </c>
      <c r="T11" s="41" t="str">
        <f>IFERROR(__xludf.DUMMYFUNCTION("""COMPUTED_VALUE"""),"iPad (第七代) 32GB WIFI (MW762TA/A)")</f>
        <v>iPad (第七代) 32GB WIFI (MW762TA/A)</v>
      </c>
      <c r="U11" s="41"/>
      <c r="V11" s="41"/>
      <c r="W11" s="41"/>
      <c r="X11" s="45" t="str">
        <f>IFERROR(__xludf.DUMMYFUNCTION("""COMPUTED_VALUE"""),"")</f>
        <v/>
      </c>
      <c r="Y11" s="41"/>
      <c r="Z11" s="41"/>
      <c r="AA11" s="41"/>
      <c r="AB11" s="41"/>
      <c r="AC11" s="41"/>
      <c r="AD11" s="41"/>
      <c r="AE11" s="41"/>
      <c r="AF11" s="41"/>
      <c r="AG11" s="41"/>
      <c r="AH11" s="41"/>
    </row>
    <row r="12">
      <c r="B12" s="41"/>
      <c r="C12" s="41" t="str">
        <f>IFERROR(__xludf.DUMMYFUNCTION("""COMPUTED_VALUE"""),"滿三年更換")</f>
        <v>滿三年更換</v>
      </c>
      <c r="D12" s="41" t="str">
        <f>IFERROR(__xludf.DUMMYFUNCTION("""COMPUTED_VALUE"""),"TW")</f>
        <v>TW</v>
      </c>
      <c r="E12" s="41"/>
      <c r="F12" s="41"/>
      <c r="G12" s="41"/>
      <c r="H12" s="65" t="str">
        <f>IFERROR(__xludf.DUMMYFUNCTION("""COMPUTED_VALUE"""),"客戶價值中心:客戶成功管理部:PE團隊")</f>
        <v>客戶價值中心:客戶成功管理部:PE團隊</v>
      </c>
      <c r="I12" s="41" t="str">
        <f>IFERROR(__xludf.DUMMYFUNCTION("""COMPUTED_VALUE"""),"資訊裝置")</f>
        <v>資訊裝置</v>
      </c>
      <c r="J12" s="41" t="str">
        <f>IFERROR(__xludf.DUMMYFUNCTION("""COMPUTED_VALUE"""),"AICHIP02103052")</f>
        <v>AICHIP02103052</v>
      </c>
      <c r="K12" s="41" t="str">
        <f>IFERROR(__xludf.DUMMYFUNCTION("""COMPUTED_VALUE"""),"iPad")</f>
        <v>iPad</v>
      </c>
      <c r="L12" s="41" t="str">
        <f>IFERROR(__xludf.DUMMYFUNCTION("""COMPUTED_VALUE"""),"GG7CN2N8MF3M")</f>
        <v>GG7CN2N8MF3M</v>
      </c>
      <c r="M12" s="41" t="str">
        <f>IFERROR(__xludf.DUMMYFUNCTION("""COMPUTED_VALUE"""),"朱肇平")</f>
        <v>朱肇平</v>
      </c>
      <c r="N12" s="65">
        <f>IFERROR(__xludf.DUMMYFUNCTION("""COMPUTED_VALUE"""),44285.0)</f>
        <v>44285</v>
      </c>
      <c r="O12" s="45">
        <f>IFERROR(__xludf.DUMMYFUNCTION("""COMPUTED_VALUE"""),8640.0)</f>
        <v>8640</v>
      </c>
      <c r="P12" s="41" t="str">
        <f>IFERROR(__xludf.DUMMYFUNCTION("""COMPUTED_VALUE"""),"資訊裝置")</f>
        <v>資訊裝置</v>
      </c>
      <c r="Q12" s="41">
        <f>IFERROR(__xludf.DUMMYFUNCTION("""COMPUTED_VALUE"""),36.0)</f>
        <v>36</v>
      </c>
      <c r="R12" s="41">
        <f>IFERROR(__xludf.DUMMYFUNCTION("""COMPUTED_VALUE"""),36.0)</f>
        <v>36</v>
      </c>
      <c r="S12" s="41" t="str">
        <f>IFERROR(__xludf.DUMMYFUNCTION("""COMPUTED_VALUE"""),"NT$8,640")</f>
        <v>NT$8,640</v>
      </c>
      <c r="T12" s="41" t="str">
        <f>IFERROR(__xludf.DUMMYFUNCTION("""COMPUTED_VALUE"""),"iPad (第七代) 32GB WIFI(MW742TA/A)")</f>
        <v>iPad (第七代) 32GB WIFI(MW742TA/A)</v>
      </c>
      <c r="U12" s="41"/>
      <c r="V12" s="41"/>
      <c r="W12" s="41"/>
      <c r="X12" s="45" t="str">
        <f>IFERROR(__xludf.DUMMYFUNCTION("""COMPUTED_VALUE"""),"")</f>
        <v/>
      </c>
      <c r="Y12" s="41"/>
      <c r="Z12" s="41"/>
      <c r="AA12" s="41"/>
      <c r="AB12" s="41"/>
      <c r="AC12" s="41"/>
      <c r="AD12" s="41"/>
      <c r="AE12" s="41"/>
      <c r="AF12" s="41"/>
      <c r="AG12" s="41"/>
      <c r="AH12" s="41"/>
    </row>
    <row r="13">
      <c r="B13" s="41"/>
      <c r="C13" s="41" t="str">
        <f>IFERROR(__xludf.DUMMYFUNCTION("""COMPUTED_VALUE"""),"滿三年更換")</f>
        <v>滿三年更換</v>
      </c>
      <c r="D13" s="41" t="str">
        <f>IFERROR(__xludf.DUMMYFUNCTION("""COMPUTED_VALUE"""),"TW")</f>
        <v>TW</v>
      </c>
      <c r="E13" s="41"/>
      <c r="F13" s="41"/>
      <c r="G13" s="41"/>
      <c r="H13" s="65" t="str">
        <f>IFERROR(__xludf.DUMMYFUNCTION("""COMPUTED_VALUE"""),"客戶價值中心:客戶成功管理部:PE團隊")</f>
        <v>客戶價值中心:客戶成功管理部:PE團隊</v>
      </c>
      <c r="I13" s="41" t="str">
        <f>IFERROR(__xludf.DUMMYFUNCTION("""COMPUTED_VALUE"""),"資訊裝置")</f>
        <v>資訊裝置</v>
      </c>
      <c r="J13" s="41" t="str">
        <f>IFERROR(__xludf.DUMMYFUNCTION("""COMPUTED_VALUE"""),"AICHMN02010086")</f>
        <v>AICHMN02010086</v>
      </c>
      <c r="K13" s="41" t="str">
        <f>IFERROR(__xludf.DUMMYFUNCTION("""COMPUTED_VALUE"""),"螢幕")</f>
        <v>螢幕</v>
      </c>
      <c r="L13" s="41" t="str">
        <f>IFERROR(__xludf.DUMMYFUNCTION("""COMPUTED_VALUE"""),"CN-0CYKT7-WSL00-09F-CZCW-A09")</f>
        <v>CN-0CYKT7-WSL00-09F-CZCW-A09</v>
      </c>
      <c r="M13" s="41" t="str">
        <f>IFERROR(__xludf.DUMMYFUNCTION("""COMPUTED_VALUE"""),"朱肇平")</f>
        <v>朱肇平</v>
      </c>
      <c r="N13" s="66">
        <f>IFERROR(__xludf.DUMMYFUNCTION("""COMPUTED_VALUE"""),44180.0)</f>
        <v>44180</v>
      </c>
      <c r="O13" s="45">
        <f>IFERROR(__xludf.DUMMYFUNCTION("""COMPUTED_VALUE"""),9446.0)</f>
        <v>9446</v>
      </c>
      <c r="P13" s="41" t="str">
        <f>IFERROR(__xludf.DUMMYFUNCTION("""COMPUTED_VALUE"""),"資訊裝置")</f>
        <v>資訊裝置</v>
      </c>
      <c r="Q13" s="41">
        <f>IFERROR(__xludf.DUMMYFUNCTION("""COMPUTED_VALUE"""),36.0)</f>
        <v>36</v>
      </c>
      <c r="R13" s="41">
        <f>IFERROR(__xludf.DUMMYFUNCTION("""COMPUTED_VALUE"""),36.0)</f>
        <v>36</v>
      </c>
      <c r="S13" s="41" t="str">
        <f>IFERROR(__xludf.DUMMYFUNCTION("""COMPUTED_VALUE"""),"NT$9,446")</f>
        <v>NT$9,446</v>
      </c>
      <c r="T13" s="41" t="str">
        <f>IFERROR(__xludf.DUMMYFUNCTION("""COMPUTED_VALUE"""),"Dell 24吋 U2419H")</f>
        <v>Dell 24吋 U2419H</v>
      </c>
      <c r="U13" s="41"/>
      <c r="V13" s="41"/>
      <c r="W13" s="41"/>
      <c r="X13" s="45" t="str">
        <f>IFERROR(__xludf.DUMMYFUNCTION("""COMPUTED_VALUE"""),"")</f>
        <v/>
      </c>
      <c r="Y13" s="41"/>
      <c r="Z13" s="41"/>
      <c r="AA13" s="41"/>
      <c r="AB13" s="41"/>
      <c r="AC13" s="41"/>
      <c r="AD13" s="41"/>
      <c r="AE13" s="41"/>
      <c r="AF13" s="41"/>
      <c r="AG13" s="41"/>
      <c r="AH13" s="41"/>
    </row>
    <row r="14">
      <c r="B14" s="41"/>
      <c r="C14" s="41" t="str">
        <f>IFERROR(__xludf.DUMMYFUNCTION("""COMPUTED_VALUE"""),"滿三年更換")</f>
        <v>滿三年更換</v>
      </c>
      <c r="D14" s="41" t="str">
        <f>IFERROR(__xludf.DUMMYFUNCTION("""COMPUTED_VALUE"""),"TW")</f>
        <v>TW</v>
      </c>
      <c r="E14" s="41"/>
      <c r="F14" s="41"/>
      <c r="G14" s="41"/>
      <c r="H14" s="65" t="str">
        <f>IFERROR(__xludf.DUMMYFUNCTION("""COMPUTED_VALUE"""),"行銷營運中心:產品行銷部:產品品牌團隊")</f>
        <v>行銷營運中心:產品行銷部:產品品牌團隊</v>
      </c>
      <c r="I14" s="41" t="str">
        <f>IFERROR(__xludf.DUMMYFUNCTION("""COMPUTED_VALUE"""),"資訊裝置")</f>
        <v>資訊裝置</v>
      </c>
      <c r="J14" s="41" t="str">
        <f>IFERROR(__xludf.DUMMYFUNCTION("""COMPUTED_VALUE"""),"AICHMN01904056")</f>
        <v>AICHMN01904056</v>
      </c>
      <c r="K14" s="41" t="str">
        <f>IFERROR(__xludf.DUMMYFUNCTION("""COMPUTED_VALUE"""),"螢幕")</f>
        <v>螢幕</v>
      </c>
      <c r="L14" s="41" t="str">
        <f>IFERROR(__xludf.DUMMYFUNCTION("""COMPUTED_VALUE"""),"CN-07JNY5-74445-43F-110S")</f>
        <v>CN-07JNY5-74445-43F-110S</v>
      </c>
      <c r="M14" s="41" t="str">
        <f>IFERROR(__xludf.DUMMYFUNCTION("""COMPUTED_VALUE"""),"江彧琳")</f>
        <v>江彧琳</v>
      </c>
      <c r="N14" s="65">
        <f>IFERROR(__xludf.DUMMYFUNCTION("""COMPUTED_VALUE"""),43585.0)</f>
        <v>43585</v>
      </c>
      <c r="O14" s="41"/>
      <c r="P14" s="41" t="str">
        <f>IFERROR(__xludf.DUMMYFUNCTION("""COMPUTED_VALUE"""),"資訊裝置")</f>
        <v>資訊裝置</v>
      </c>
      <c r="Q14" s="41">
        <f>IFERROR(__xludf.DUMMYFUNCTION("""COMPUTED_VALUE"""),36.0)</f>
        <v>36</v>
      </c>
      <c r="R14" s="41">
        <f>IFERROR(__xludf.DUMMYFUNCTION("""COMPUTED_VALUE"""),36.0)</f>
        <v>36</v>
      </c>
      <c r="S14" s="41" t="str">
        <f>IFERROR(__xludf.DUMMYFUNCTION("""COMPUTED_VALUE"""),"NT$0")</f>
        <v>NT$0</v>
      </c>
      <c r="T14" s="41" t="str">
        <f>IFERROR(__xludf.DUMMYFUNCTION("""COMPUTED_VALUE"""),"Dell 27吋 U2713H")</f>
        <v>Dell 27吋 U2713H</v>
      </c>
      <c r="U14" s="41"/>
      <c r="V14" s="41"/>
      <c r="W14" s="41"/>
      <c r="X14" s="45" t="str">
        <f>IFERROR(__xludf.DUMMYFUNCTION("""COMPUTED_VALUE"""),"")</f>
        <v/>
      </c>
      <c r="Y14" s="41"/>
      <c r="Z14" s="41"/>
      <c r="AA14" s="41"/>
      <c r="AB14" s="41"/>
      <c r="AC14" s="41"/>
      <c r="AD14" s="41"/>
      <c r="AE14" s="41"/>
      <c r="AF14" s="41"/>
      <c r="AG14" s="41"/>
      <c r="AH14" s="41"/>
    </row>
    <row r="15">
      <c r="B15" s="41"/>
      <c r="C15" s="41" t="str">
        <f>IFERROR(__xludf.DUMMYFUNCTION("""COMPUTED_VALUE"""),"滿三年更換")</f>
        <v>滿三年更換</v>
      </c>
      <c r="D15" s="41" t="str">
        <f>IFERROR(__xludf.DUMMYFUNCTION("""COMPUTED_VALUE"""),"TW")</f>
        <v>TW</v>
      </c>
      <c r="E15" s="41"/>
      <c r="F15" s="41"/>
      <c r="G15" s="41"/>
      <c r="H15" s="65" t="str">
        <f>IFERROR(__xludf.DUMMYFUNCTION("""COMPUTED_VALUE"""),"研發中心:產品設計部:產品經理團隊")</f>
        <v>研發中心:產品設計部:產品經理團隊</v>
      </c>
      <c r="I15" s="41" t="str">
        <f>IFERROR(__xludf.DUMMYFUNCTION("""COMPUTED_VALUE"""),"資訊裝置")</f>
        <v>資訊裝置</v>
      </c>
      <c r="J15" s="41" t="str">
        <f>IFERROR(__xludf.DUMMYFUNCTION("""COMPUTED_VALUE"""),"AICHMP02108033")</f>
        <v>AICHMP02108033</v>
      </c>
      <c r="K15" s="41" t="str">
        <f>IFERROR(__xludf.DUMMYFUNCTION("""COMPUTED_VALUE"""),"Macbook Pro")</f>
        <v>Macbook Pro</v>
      </c>
      <c r="L15" s="41" t="str">
        <f>IFERROR(__xludf.DUMMYFUNCTION("""COMPUTED_VALUE"""),"C02G459MQ05P")</f>
        <v>C02G459MQ05P</v>
      </c>
      <c r="M15" s="41" t="str">
        <f>IFERROR(__xludf.DUMMYFUNCTION("""COMPUTED_VALUE"""),"吳允欣")</f>
        <v>吳允欣</v>
      </c>
      <c r="N15" s="65">
        <f>IFERROR(__xludf.DUMMYFUNCTION("""COMPUTED_VALUE"""),44414.0)</f>
        <v>44414</v>
      </c>
      <c r="O15" s="45">
        <f>IFERROR(__xludf.DUMMYFUNCTION("""COMPUTED_VALUE"""),45500.0)</f>
        <v>45500</v>
      </c>
      <c r="P15" s="41" t="str">
        <f>IFERROR(__xludf.DUMMYFUNCTION("""COMPUTED_VALUE"""),"資訊裝置")</f>
        <v>資訊裝置</v>
      </c>
      <c r="Q15" s="41">
        <f>IFERROR(__xludf.DUMMYFUNCTION("""COMPUTED_VALUE"""),36.0)</f>
        <v>36</v>
      </c>
      <c r="R15" s="41">
        <f>IFERROR(__xludf.DUMMYFUNCTION("""COMPUTED_VALUE"""),36.0)</f>
        <v>36</v>
      </c>
      <c r="S15" s="41" t="str">
        <f>IFERROR(__xludf.DUMMYFUNCTION("""COMPUTED_VALUE"""),"NT$45,500")</f>
        <v>NT$45,500</v>
      </c>
      <c r="T15" s="41" t="str">
        <f>IFERROR(__xludf.DUMMYFUNCTION("""COMPUTED_VALUE"""),"A2338 MBP13 (2020) M1/16GBRAM/512GBSSD")</f>
        <v>A2338 MBP13 (2020) M1/16GBRAM/512GBSSD</v>
      </c>
      <c r="U15" s="41"/>
      <c r="V15" s="41"/>
      <c r="W15" s="41"/>
      <c r="X15" s="45" t="str">
        <f>IFERROR(__xludf.DUMMYFUNCTION("""COMPUTED_VALUE"""),"")</f>
        <v/>
      </c>
      <c r="Y15" s="41"/>
      <c r="Z15" s="41"/>
      <c r="AA15" s="41"/>
      <c r="AB15" s="41"/>
      <c r="AC15" s="41"/>
      <c r="AD15" s="41"/>
      <c r="AE15" s="41"/>
      <c r="AF15" s="41"/>
      <c r="AG15" s="41"/>
      <c r="AH15" s="41"/>
    </row>
    <row r="16">
      <c r="B16" s="41"/>
      <c r="C16" s="41" t="str">
        <f>IFERROR(__xludf.DUMMYFUNCTION("""COMPUTED_VALUE"""),"滿三年更換")</f>
        <v>滿三年更換</v>
      </c>
      <c r="D16" s="41" t="str">
        <f>IFERROR(__xludf.DUMMYFUNCTION("""COMPUTED_VALUE"""),"TW")</f>
        <v>TW</v>
      </c>
      <c r="E16" s="41"/>
      <c r="F16" s="41"/>
      <c r="G16" s="41"/>
      <c r="H16" s="65" t="str">
        <f>IFERROR(__xludf.DUMMYFUNCTION("""COMPUTED_VALUE"""),"研發中心:產品設計部:產品經理團隊")</f>
        <v>研發中心:產品設計部:產品經理團隊</v>
      </c>
      <c r="I16" s="41" t="str">
        <f>IFERROR(__xludf.DUMMYFUNCTION("""COMPUTED_VALUE"""),"資訊裝置")</f>
        <v>資訊裝置</v>
      </c>
      <c r="J16" s="41" t="str">
        <f>IFERROR(__xludf.DUMMYFUNCTION("""COMPUTED_VALUE"""),"AICHIP02107066")</f>
        <v>AICHIP02107066</v>
      </c>
      <c r="K16" s="41" t="str">
        <f>IFERROR(__xludf.DUMMYFUNCTION("""COMPUTED_VALUE"""),"iPad")</f>
        <v>iPad</v>
      </c>
      <c r="L16" s="41" t="str">
        <f>IFERROR(__xludf.DUMMYFUNCTION("""COMPUTED_VALUE"""),"F9FFQ4CWQ1GD")</f>
        <v>F9FFQ4CWQ1GD</v>
      </c>
      <c r="M16" s="41" t="str">
        <f>IFERROR(__xludf.DUMMYFUNCTION("""COMPUTED_VALUE"""),"吳允欣")</f>
        <v>吳允欣</v>
      </c>
      <c r="N16" s="65">
        <f>IFERROR(__xludf.DUMMYFUNCTION("""COMPUTED_VALUE"""),44398.0)</f>
        <v>44398</v>
      </c>
      <c r="O16" s="45">
        <f>IFERROR(__xludf.DUMMYFUNCTION("""COMPUTED_VALUE"""),9450.0)</f>
        <v>9450</v>
      </c>
      <c r="P16" s="41" t="str">
        <f>IFERROR(__xludf.DUMMYFUNCTION("""COMPUTED_VALUE"""),"資訊裝置")</f>
        <v>資訊裝置</v>
      </c>
      <c r="Q16" s="41">
        <f>IFERROR(__xludf.DUMMYFUNCTION("""COMPUTED_VALUE"""),36.0)</f>
        <v>36</v>
      </c>
      <c r="R16" s="41">
        <f>IFERROR(__xludf.DUMMYFUNCTION("""COMPUTED_VALUE"""),36.0)</f>
        <v>36</v>
      </c>
      <c r="S16" s="41" t="str">
        <f>IFERROR(__xludf.DUMMYFUNCTION("""COMPUTED_VALUE"""),"NT$9,450")</f>
        <v>NT$9,450</v>
      </c>
      <c r="T16" s="41" t="str">
        <f>IFERROR(__xludf.DUMMYFUNCTION("""COMPUTED_VALUE"""),"iPad (第八代) 32GB WIFI(A2270)")</f>
        <v>iPad (第八代) 32GB WIFI(A2270)</v>
      </c>
      <c r="U16" s="41"/>
      <c r="V16" s="41"/>
      <c r="W16" s="41"/>
      <c r="X16" s="45" t="str">
        <f>IFERROR(__xludf.DUMMYFUNCTION("""COMPUTED_VALUE"""),"")</f>
        <v/>
      </c>
      <c r="Y16" s="41"/>
      <c r="Z16" s="41"/>
      <c r="AA16" s="41"/>
      <c r="AB16" s="41"/>
      <c r="AC16" s="41"/>
      <c r="AD16" s="41"/>
      <c r="AE16" s="41"/>
      <c r="AF16" s="41"/>
      <c r="AG16" s="41"/>
      <c r="AH16" s="41"/>
    </row>
    <row r="17">
      <c r="B17" s="41"/>
      <c r="C17" s="41" t="str">
        <f>IFERROR(__xludf.DUMMYFUNCTION("""COMPUTED_VALUE"""),"滿三年更換")</f>
        <v>滿三年更換</v>
      </c>
      <c r="D17" s="41" t="str">
        <f>IFERROR(__xludf.DUMMYFUNCTION("""COMPUTED_VALUE"""),"TW")</f>
        <v>TW</v>
      </c>
      <c r="E17" s="41"/>
      <c r="F17" s="41"/>
      <c r="G17" s="41"/>
      <c r="H17" s="65" t="str">
        <f>IFERROR(__xludf.DUMMYFUNCTION("""COMPUTED_VALUE"""),"研發中心:產品設計部:產品經理團隊")</f>
        <v>研發中心:產品設計部:產品經理團隊</v>
      </c>
      <c r="I17" s="41" t="str">
        <f>IFERROR(__xludf.DUMMYFUNCTION("""COMPUTED_VALUE"""),"資訊裝置")</f>
        <v>資訊裝置</v>
      </c>
      <c r="J17" s="41" t="str">
        <f>IFERROR(__xludf.DUMMYFUNCTION("""COMPUTED_VALUE"""),"AICHMN02108101")</f>
        <v>AICHMN02108101</v>
      </c>
      <c r="K17" s="41" t="str">
        <f>IFERROR(__xludf.DUMMYFUNCTION("""COMPUTED_VALUE"""),"螢幕")</f>
        <v>螢幕</v>
      </c>
      <c r="L17" s="41" t="str">
        <f>IFERROR(__xludf.DUMMYFUNCTION("""COMPUTED_VALUE"""),"CN-0458FC-WSL00-163-036B-A04")</f>
        <v>CN-0458FC-WSL00-163-036B-A04</v>
      </c>
      <c r="M17" s="41" t="str">
        <f>IFERROR(__xludf.DUMMYFUNCTION("""COMPUTED_VALUE"""),"吳允欣")</f>
        <v>吳允欣</v>
      </c>
      <c r="N17" s="65">
        <f>IFERROR(__xludf.DUMMYFUNCTION("""COMPUTED_VALUE"""),44418.0)</f>
        <v>44418</v>
      </c>
      <c r="O17" s="41"/>
      <c r="P17" s="41" t="str">
        <f>IFERROR(__xludf.DUMMYFUNCTION("""COMPUTED_VALUE"""),"資訊裝置")</f>
        <v>資訊裝置</v>
      </c>
      <c r="Q17" s="41">
        <f>IFERROR(__xludf.DUMMYFUNCTION("""COMPUTED_VALUE"""),36.0)</f>
        <v>36</v>
      </c>
      <c r="R17" s="41">
        <f>IFERROR(__xludf.DUMMYFUNCTION("""COMPUTED_VALUE"""),36.0)</f>
        <v>36</v>
      </c>
      <c r="S17" s="41" t="str">
        <f>IFERROR(__xludf.DUMMYFUNCTION("""COMPUTED_VALUE"""),"NT$0")</f>
        <v>NT$0</v>
      </c>
      <c r="T17" s="41" t="str">
        <f>IFERROR(__xludf.DUMMYFUNCTION("""COMPUTED_VALUE"""),"Dell 24吋 S2421HSX")</f>
        <v>Dell 24吋 S2421HSX</v>
      </c>
      <c r="U17" s="41"/>
      <c r="V17" s="41"/>
      <c r="W17" s="41"/>
      <c r="X17" s="45" t="str">
        <f>IFERROR(__xludf.DUMMYFUNCTION("""COMPUTED_VALUE"""),"")</f>
        <v/>
      </c>
      <c r="Y17" s="41"/>
      <c r="Z17" s="41"/>
      <c r="AA17" s="41"/>
      <c r="AB17" s="41"/>
      <c r="AC17" s="41"/>
      <c r="AD17" s="41"/>
      <c r="AE17" s="41"/>
      <c r="AF17" s="41"/>
      <c r="AG17" s="41"/>
      <c r="AH17" s="41"/>
    </row>
    <row r="18">
      <c r="B18" s="41"/>
      <c r="C18" s="41" t="str">
        <f>IFERROR(__xludf.DUMMYFUNCTION("""COMPUTED_VALUE"""),"滿三年更換")</f>
        <v>滿三年更換</v>
      </c>
      <c r="D18" s="41" t="str">
        <f>IFERROR(__xludf.DUMMYFUNCTION("""COMPUTED_VALUE"""),"TW")</f>
        <v>TW</v>
      </c>
      <c r="E18" s="41"/>
      <c r="F18" s="41"/>
      <c r="G18" s="41"/>
      <c r="H18" s="41" t="str">
        <f>IFERROR(__xludf.DUMMYFUNCTION("""COMPUTED_VALUE"""),"執行長室:執行長室")</f>
        <v>執行長室:執行長室</v>
      </c>
      <c r="I18" s="41" t="str">
        <f>IFERROR(__xludf.DUMMYFUNCTION("""COMPUTED_VALUE"""),"資訊裝置")</f>
        <v>資訊裝置</v>
      </c>
      <c r="J18" s="41" t="str">
        <f>IFERROR(__xludf.DUMMYFUNCTION("""COMPUTED_VALUE"""),"AICHMN01604032")</f>
        <v>AICHMN01604032</v>
      </c>
      <c r="K18" s="41" t="str">
        <f>IFERROR(__xludf.DUMMYFUNCTION("""COMPUTED_VALUE"""),"螢幕")</f>
        <v>螢幕</v>
      </c>
      <c r="L18" s="41" t="str">
        <f>IFERROR(__xludf.DUMMYFUNCTION("""COMPUTED_VALUE"""),"CN-0MTYGK-64180-61B-00NS-A02")</f>
        <v>CN-0MTYGK-64180-61B-00NS-A02</v>
      </c>
      <c r="M18" s="41" t="str">
        <f>IFERROR(__xludf.DUMMYFUNCTION("""COMPUTED_VALUE"""),"吳佳駿")</f>
        <v>吳佳駿</v>
      </c>
      <c r="N18" s="65">
        <f>IFERROR(__xludf.DUMMYFUNCTION("""COMPUTED_VALUE"""),42590.0)</f>
        <v>42590</v>
      </c>
      <c r="O18" s="41"/>
      <c r="P18" s="41" t="str">
        <f>IFERROR(__xludf.DUMMYFUNCTION("""COMPUTED_VALUE"""),"資訊裝置")</f>
        <v>資訊裝置</v>
      </c>
      <c r="Q18" s="41">
        <f>IFERROR(__xludf.DUMMYFUNCTION("""COMPUTED_VALUE"""),36.0)</f>
        <v>36</v>
      </c>
      <c r="R18" s="41">
        <f>IFERROR(__xludf.DUMMYFUNCTION("""COMPUTED_VALUE"""),36.0)</f>
        <v>36</v>
      </c>
      <c r="S18" s="41" t="str">
        <f>IFERROR(__xludf.DUMMYFUNCTION("""COMPUTED_VALUE"""),"NT$0")</f>
        <v>NT$0</v>
      </c>
      <c r="T18" s="41" t="str">
        <f>IFERROR(__xludf.DUMMYFUNCTION("""COMPUTED_VALUE"""),"Dell 24吋 U2412Mc")</f>
        <v>Dell 24吋 U2412Mc</v>
      </c>
      <c r="U18" s="41"/>
      <c r="V18" s="41"/>
      <c r="W18" s="41"/>
      <c r="X18" s="45" t="str">
        <f>IFERROR(__xludf.DUMMYFUNCTION("""COMPUTED_VALUE"""),"")</f>
        <v/>
      </c>
      <c r="Y18" s="41"/>
      <c r="Z18" s="41"/>
      <c r="AA18" s="41"/>
      <c r="AB18" s="41"/>
      <c r="AC18" s="41"/>
      <c r="AD18" s="41"/>
      <c r="AE18" s="41"/>
      <c r="AF18" s="41"/>
      <c r="AG18" s="41"/>
      <c r="AH18" s="41"/>
    </row>
    <row r="19">
      <c r="B19" s="41"/>
      <c r="C19" s="41" t="str">
        <f>IFERROR(__xludf.DUMMYFUNCTION("""COMPUTED_VALUE"""),"滿三年更換")</f>
        <v>滿三年更換</v>
      </c>
      <c r="D19" s="41" t="str">
        <f>IFERROR(__xludf.DUMMYFUNCTION("""COMPUTED_VALUE"""),"TW")</f>
        <v>TW</v>
      </c>
      <c r="E19" s="41"/>
      <c r="F19" s="41"/>
      <c r="G19" s="41"/>
      <c r="H19" s="65" t="str">
        <f>IFERROR(__xludf.DUMMYFUNCTION("""COMPUTED_VALUE"""),"研發中心:軟體工程部:後端團隊")</f>
        <v>研發中心:軟體工程部:後端團隊</v>
      </c>
      <c r="I19" s="41" t="str">
        <f>IFERROR(__xludf.DUMMYFUNCTION("""COMPUTED_VALUE"""),"資訊裝置")</f>
        <v>資訊裝置</v>
      </c>
      <c r="J19" s="41" t="str">
        <f>IFERROR(__xludf.DUMMYFUNCTION("""COMPUTED_VALUE"""),"AICHMN02009073")</f>
        <v>AICHMN02009073</v>
      </c>
      <c r="K19" s="41" t="str">
        <f>IFERROR(__xludf.DUMMYFUNCTION("""COMPUTED_VALUE"""),"螢幕")</f>
        <v>螢幕</v>
      </c>
      <c r="L19" s="41" t="str">
        <f>IFERROR(__xludf.DUMMYFUNCTION("""COMPUTED_VALUE"""),"CN-0Y2YF1-QDC00-083-054L-A16")</f>
        <v>CN-0Y2YF1-QDC00-083-054L-A16</v>
      </c>
      <c r="M19" s="41" t="str">
        <f>IFERROR(__xludf.DUMMYFUNCTION("""COMPUTED_VALUE"""),"吳岱蓉")</f>
        <v>吳岱蓉</v>
      </c>
      <c r="N19" s="65">
        <f>IFERROR(__xludf.DUMMYFUNCTION("""COMPUTED_VALUE"""),44097.0)</f>
        <v>44097</v>
      </c>
      <c r="O19" s="45">
        <f>IFERROR(__xludf.DUMMYFUNCTION("""COMPUTED_VALUE"""),13410.0)</f>
        <v>13410</v>
      </c>
      <c r="P19" s="41" t="str">
        <f>IFERROR(__xludf.DUMMYFUNCTION("""COMPUTED_VALUE"""),"資訊裝置")</f>
        <v>資訊裝置</v>
      </c>
      <c r="Q19" s="41">
        <f>IFERROR(__xludf.DUMMYFUNCTION("""COMPUTED_VALUE"""),36.0)</f>
        <v>36</v>
      </c>
      <c r="R19" s="41">
        <f>IFERROR(__xludf.DUMMYFUNCTION("""COMPUTED_VALUE"""),36.0)</f>
        <v>36</v>
      </c>
      <c r="S19" s="41" t="str">
        <f>IFERROR(__xludf.DUMMYFUNCTION("""COMPUTED_VALUE"""),"NT$13,410")</f>
        <v>NT$13,410</v>
      </c>
      <c r="T19" s="41" t="str">
        <f>IFERROR(__xludf.DUMMYFUNCTION("""COMPUTED_VALUE"""),"Dell 24吋 U2415")</f>
        <v>Dell 24吋 U2415</v>
      </c>
      <c r="U19" s="41"/>
      <c r="V19" s="41"/>
      <c r="W19" s="41"/>
      <c r="X19" s="45" t="str">
        <f>IFERROR(__xludf.DUMMYFUNCTION("""COMPUTED_VALUE"""),"")</f>
        <v/>
      </c>
      <c r="Y19" s="41"/>
      <c r="Z19" s="41"/>
      <c r="AA19" s="41"/>
      <c r="AB19" s="41"/>
      <c r="AC19" s="41"/>
      <c r="AD19" s="41"/>
      <c r="AE19" s="41"/>
      <c r="AF19" s="41"/>
      <c r="AG19" s="41"/>
      <c r="AH19" s="41"/>
    </row>
    <row r="20">
      <c r="B20" s="41"/>
      <c r="C20" s="41" t="str">
        <f>IFERROR(__xludf.DUMMYFUNCTION("""COMPUTED_VALUE"""),"滿三年更換")</f>
        <v>滿三年更換</v>
      </c>
      <c r="D20" s="41" t="str">
        <f>IFERROR(__xludf.DUMMYFUNCTION("""COMPUTED_VALUE"""),"TW")</f>
        <v>TW</v>
      </c>
      <c r="E20" s="41"/>
      <c r="F20" s="41"/>
      <c r="G20" s="41"/>
      <c r="H20" s="65" t="str">
        <f>IFERROR(__xludf.DUMMYFUNCTION("""COMPUTED_VALUE"""),"研發中心:軟體工程部:後端團隊")</f>
        <v>研發中心:軟體工程部:後端團隊</v>
      </c>
      <c r="I20" s="41" t="str">
        <f>IFERROR(__xludf.DUMMYFUNCTION("""COMPUTED_VALUE"""),"資訊裝置")</f>
        <v>資訊裝置</v>
      </c>
      <c r="J20" s="41" t="str">
        <f>IFERROR(__xludf.DUMMYFUNCTION("""COMPUTED_VALUE"""),"AICHMN02009075")</f>
        <v>AICHMN02009075</v>
      </c>
      <c r="K20" s="41" t="str">
        <f>IFERROR(__xludf.DUMMYFUNCTION("""COMPUTED_VALUE"""),"螢幕")</f>
        <v>螢幕</v>
      </c>
      <c r="L20" s="41" t="str">
        <f>IFERROR(__xludf.DUMMYFUNCTION("""COMPUTED_VALUE"""),"CN-0Y2YF1-QDC00-083-069L-A16")</f>
        <v>CN-0Y2YF1-QDC00-083-069L-A16</v>
      </c>
      <c r="M20" s="41" t="str">
        <f>IFERROR(__xludf.DUMMYFUNCTION("""COMPUTED_VALUE"""),"吳岱蓉")</f>
        <v>吳岱蓉</v>
      </c>
      <c r="N20" s="65">
        <f>IFERROR(__xludf.DUMMYFUNCTION("""COMPUTED_VALUE"""),44097.0)</f>
        <v>44097</v>
      </c>
      <c r="O20" s="45">
        <f>IFERROR(__xludf.DUMMYFUNCTION("""COMPUTED_VALUE"""),59800.0)</f>
        <v>59800</v>
      </c>
      <c r="P20" s="41" t="str">
        <f>IFERROR(__xludf.DUMMYFUNCTION("""COMPUTED_VALUE"""),"資訊裝置")</f>
        <v>資訊裝置</v>
      </c>
      <c r="Q20" s="41">
        <f>IFERROR(__xludf.DUMMYFUNCTION("""COMPUTED_VALUE"""),36.0)</f>
        <v>36</v>
      </c>
      <c r="R20" s="41">
        <f>IFERROR(__xludf.DUMMYFUNCTION("""COMPUTED_VALUE"""),36.0)</f>
        <v>36</v>
      </c>
      <c r="S20" s="41" t="str">
        <f>IFERROR(__xludf.DUMMYFUNCTION("""COMPUTED_VALUE"""),"NT$59,800")</f>
        <v>NT$59,800</v>
      </c>
      <c r="T20" s="41" t="str">
        <f>IFERROR(__xludf.DUMMYFUNCTION("""COMPUTED_VALUE"""),"Dell 24吋 U2415")</f>
        <v>Dell 24吋 U2415</v>
      </c>
      <c r="U20" s="41"/>
      <c r="V20" s="41"/>
      <c r="W20" s="41"/>
      <c r="X20" s="45" t="str">
        <f>IFERROR(__xludf.DUMMYFUNCTION("""COMPUTED_VALUE"""),"")</f>
        <v/>
      </c>
      <c r="Y20" s="41"/>
      <c r="Z20" s="41"/>
      <c r="AA20" s="41"/>
      <c r="AB20" s="41"/>
      <c r="AC20" s="41"/>
      <c r="AD20" s="41"/>
      <c r="AE20" s="41"/>
      <c r="AF20" s="41"/>
      <c r="AG20" s="41"/>
      <c r="AH20" s="41"/>
    </row>
    <row r="21">
      <c r="B21" s="41"/>
      <c r="C21" s="41" t="str">
        <f>IFERROR(__xludf.DUMMYFUNCTION("""COMPUTED_VALUE"""),"滿三年更換")</f>
        <v>滿三年更換</v>
      </c>
      <c r="D21" s="41" t="str">
        <f>IFERROR(__xludf.DUMMYFUNCTION("""COMPUTED_VALUE"""),"TW")</f>
        <v>TW</v>
      </c>
      <c r="E21" s="41"/>
      <c r="F21" s="41"/>
      <c r="G21" s="41"/>
      <c r="H21" s="65" t="str">
        <f>IFERROR(__xludf.DUMMYFUNCTION("""COMPUTED_VALUE"""),"研發中心:軟體工程部:前端團隊")</f>
        <v>研發中心:軟體工程部:前端團隊</v>
      </c>
      <c r="I21" s="41" t="str">
        <f>IFERROR(__xludf.DUMMYFUNCTION("""COMPUTED_VALUE"""),"資訊裝置")</f>
        <v>資訊裝置</v>
      </c>
      <c r="J21" s="41" t="str">
        <f>IFERROR(__xludf.DUMMYFUNCTION("""COMPUTED_VALUE"""),"AICHMP02212055")</f>
        <v>AICHMP02212055</v>
      </c>
      <c r="K21" s="41" t="str">
        <f>IFERROR(__xludf.DUMMYFUNCTION("""COMPUTED_VALUE"""),"Macbook Pro")</f>
        <v>Macbook Pro</v>
      </c>
      <c r="L21" s="41" t="str">
        <f>IFERROR(__xludf.DUMMYFUNCTION("""COMPUTED_VALUE"""),"KWNP71QLP0")</f>
        <v>KWNP71QLP0</v>
      </c>
      <c r="M21" s="41" t="str">
        <f>IFERROR(__xludf.DUMMYFUNCTION("""COMPUTED_VALUE"""),"吳旻達")</f>
        <v>吳旻達</v>
      </c>
      <c r="N21" s="65">
        <f>IFERROR(__xludf.DUMMYFUNCTION("""COMPUTED_VALUE"""),44924.0)</f>
        <v>44924</v>
      </c>
      <c r="O21" s="45">
        <f>IFERROR(__xludf.DUMMYFUNCTION("""COMPUTED_VALUE"""),63100.0)</f>
        <v>63100</v>
      </c>
      <c r="P21" s="41" t="str">
        <f>IFERROR(__xludf.DUMMYFUNCTION("""COMPUTED_VALUE"""),"資訊裝置")</f>
        <v>資訊裝置</v>
      </c>
      <c r="Q21" s="41">
        <f>IFERROR(__xludf.DUMMYFUNCTION("""COMPUTED_VALUE"""),36.0)</f>
        <v>36</v>
      </c>
      <c r="R21" s="41">
        <f>IFERROR(__xludf.DUMMYFUNCTION("""COMPUTED_VALUE"""),34.0)</f>
        <v>34</v>
      </c>
      <c r="S21" s="41" t="str">
        <f>IFERROR(__xludf.DUMMYFUNCTION("""COMPUTED_VALUE"""),"NT$59,594")</f>
        <v>NT$59,594</v>
      </c>
      <c r="T21" s="41" t="str">
        <f>IFERROR(__xludf.DUMMYFUNCTION("""COMPUTED_VALUE"""),"A2442 MBP14 (2021) M1Pro/32GBRAM/512GBSSD")</f>
        <v>A2442 MBP14 (2021) M1Pro/32GBRAM/512GBSSD</v>
      </c>
      <c r="U21" s="41"/>
      <c r="V21" s="41"/>
      <c r="W21" s="41"/>
      <c r="X21" s="45" t="str">
        <f>IFERROR(__xludf.DUMMYFUNCTION("""COMPUTED_VALUE"""),"")</f>
        <v/>
      </c>
      <c r="Y21" s="41"/>
      <c r="Z21" s="41"/>
      <c r="AA21" s="41"/>
      <c r="AB21" s="41"/>
      <c r="AC21" s="41"/>
      <c r="AD21" s="41"/>
      <c r="AE21" s="41"/>
      <c r="AF21" s="41"/>
      <c r="AG21" s="41"/>
      <c r="AH21" s="41"/>
    </row>
    <row r="22">
      <c r="B22" s="41"/>
      <c r="C22" s="41" t="str">
        <f>IFERROR(__xludf.DUMMYFUNCTION("""COMPUTED_VALUE"""),"滿三年更換")</f>
        <v>滿三年更換</v>
      </c>
      <c r="D22" s="41" t="str">
        <f>IFERROR(__xludf.DUMMYFUNCTION("""COMPUTED_VALUE"""),"TW")</f>
        <v>TW</v>
      </c>
      <c r="E22" s="41"/>
      <c r="F22" s="41"/>
      <c r="G22" s="41"/>
      <c r="H22" s="65" t="str">
        <f>IFERROR(__xludf.DUMMYFUNCTION("""COMPUTED_VALUE"""),"研發中心:軟體工程部:前端團隊")</f>
        <v>研發中心:軟體工程部:前端團隊</v>
      </c>
      <c r="I22" s="41" t="str">
        <f>IFERROR(__xludf.DUMMYFUNCTION("""COMPUTED_VALUE"""),"資訊裝置")</f>
        <v>資訊裝置</v>
      </c>
      <c r="J22" s="41" t="str">
        <f>IFERROR(__xludf.DUMMYFUNCTION("""COMPUTED_VALUE"""),"AICHMN02212122")</f>
        <v>AICHMN02212122</v>
      </c>
      <c r="K22" s="41" t="str">
        <f>IFERROR(__xludf.DUMMYFUNCTION("""COMPUTED_VALUE"""),"螢幕")</f>
        <v>螢幕</v>
      </c>
      <c r="L22" s="41" t="str">
        <f>IFERROR(__xludf.DUMMYFUNCTION("""COMPUTED_VALUE"""),"ET7AN0244901Q")</f>
        <v>ET7AN0244901Q</v>
      </c>
      <c r="M22" s="41" t="str">
        <f>IFERROR(__xludf.DUMMYFUNCTION("""COMPUTED_VALUE"""),"吳旻達")</f>
        <v>吳旻達</v>
      </c>
      <c r="N22" s="65">
        <f>IFERROR(__xludf.DUMMYFUNCTION("""COMPUTED_VALUE"""),44915.0)</f>
        <v>44915</v>
      </c>
      <c r="O22" s="41"/>
      <c r="P22" s="41" t="str">
        <f>IFERROR(__xludf.DUMMYFUNCTION("""COMPUTED_VALUE"""),"資訊裝置")</f>
        <v>資訊裝置</v>
      </c>
      <c r="Q22" s="41">
        <f>IFERROR(__xludf.DUMMYFUNCTION("""COMPUTED_VALUE"""),36.0)</f>
        <v>36</v>
      </c>
      <c r="R22" s="41">
        <f>IFERROR(__xludf.DUMMYFUNCTION("""COMPUTED_VALUE"""),34.0)</f>
        <v>34</v>
      </c>
      <c r="S22" s="41" t="str">
        <f>IFERROR(__xludf.DUMMYFUNCTION("""COMPUTED_VALUE"""),"NT$0")</f>
        <v>NT$0</v>
      </c>
      <c r="T22" s="41" t="str">
        <f>IFERROR(__xludf.DUMMYFUNCTION("""COMPUTED_VALUE"""),"BenQ 27吋 GW2780-T")</f>
        <v>BenQ 27吋 GW2780-T</v>
      </c>
      <c r="U22" s="41"/>
      <c r="V22" s="41"/>
      <c r="W22" s="41"/>
      <c r="X22" s="45" t="str">
        <f>IFERROR(__xludf.DUMMYFUNCTION("""COMPUTED_VALUE"""),"")</f>
        <v/>
      </c>
      <c r="Y22" s="41"/>
      <c r="Z22" s="41"/>
      <c r="AA22" s="41"/>
      <c r="AB22" s="41"/>
      <c r="AC22" s="41"/>
      <c r="AD22" s="41"/>
      <c r="AE22" s="41"/>
      <c r="AF22" s="41"/>
      <c r="AG22" s="41"/>
      <c r="AH22" s="41"/>
    </row>
    <row r="23">
      <c r="B23" s="41"/>
      <c r="C23" s="41" t="str">
        <f>IFERROR(__xludf.DUMMYFUNCTION("""COMPUTED_VALUE"""),"滿三年更換")</f>
        <v>滿三年更換</v>
      </c>
      <c r="D23" s="41" t="str">
        <f>IFERROR(__xludf.DUMMYFUNCTION("""COMPUTED_VALUE"""),"TW")</f>
        <v>TW</v>
      </c>
      <c r="E23" s="41"/>
      <c r="F23" s="41"/>
      <c r="G23" s="41"/>
      <c r="H23" s="65" t="str">
        <f>IFERROR(__xludf.DUMMYFUNCTION("""COMPUTED_VALUE"""),"研發中心:軟體工程部:前端團隊")</f>
        <v>研發中心:軟體工程部:前端團隊</v>
      </c>
      <c r="I23" s="41" t="str">
        <f>IFERROR(__xludf.DUMMYFUNCTION("""COMPUTED_VALUE"""),"資訊裝置")</f>
        <v>資訊裝置</v>
      </c>
      <c r="J23" s="41" t="str">
        <f>IFERROR(__xludf.DUMMYFUNCTION("""COMPUTED_VALUE"""),"AICHMN02212123")</f>
        <v>AICHMN02212123</v>
      </c>
      <c r="K23" s="41" t="str">
        <f>IFERROR(__xludf.DUMMYFUNCTION("""COMPUTED_VALUE"""),"螢幕")</f>
        <v>螢幕</v>
      </c>
      <c r="L23" s="41" t="str">
        <f>IFERROR(__xludf.DUMMYFUNCTION("""COMPUTED_VALUE"""),"N9LMTF132008")</f>
        <v>N9LMTF132008</v>
      </c>
      <c r="M23" s="41" t="str">
        <f>IFERROR(__xludf.DUMMYFUNCTION("""COMPUTED_VALUE"""),"吳旻達")</f>
        <v>吳旻達</v>
      </c>
      <c r="N23" s="65">
        <f>IFERROR(__xludf.DUMMYFUNCTION("""COMPUTED_VALUE"""),44923.0)</f>
        <v>44923</v>
      </c>
      <c r="O23" s="41"/>
      <c r="P23" s="41" t="str">
        <f>IFERROR(__xludf.DUMMYFUNCTION("""COMPUTED_VALUE"""),"資訊裝置")</f>
        <v>資訊裝置</v>
      </c>
      <c r="Q23" s="41">
        <f>IFERROR(__xludf.DUMMYFUNCTION("""COMPUTED_VALUE"""),36.0)</f>
        <v>36</v>
      </c>
      <c r="R23" s="41">
        <f>IFERROR(__xludf.DUMMYFUNCTION("""COMPUTED_VALUE"""),34.0)</f>
        <v>34</v>
      </c>
      <c r="S23" s="41" t="str">
        <f>IFERROR(__xludf.DUMMYFUNCTION("""COMPUTED_VALUE"""),"NT$0")</f>
        <v>NT$0</v>
      </c>
      <c r="T23" s="41" t="str">
        <f>IFERROR(__xludf.DUMMYFUNCTION("""COMPUTED_VALUE"""),"ASUS 27吋 VY279HE")</f>
        <v>ASUS 27吋 VY279HE</v>
      </c>
      <c r="U23" s="41"/>
      <c r="V23" s="41"/>
      <c r="W23" s="41"/>
      <c r="X23" s="45" t="str">
        <f>IFERROR(__xludf.DUMMYFUNCTION("""COMPUTED_VALUE"""),"")</f>
        <v/>
      </c>
      <c r="Y23" s="41"/>
      <c r="Z23" s="41"/>
      <c r="AA23" s="41"/>
      <c r="AB23" s="41"/>
      <c r="AC23" s="41"/>
      <c r="AD23" s="41"/>
      <c r="AE23" s="41"/>
      <c r="AF23" s="41"/>
      <c r="AG23" s="41"/>
      <c r="AH23" s="41"/>
    </row>
    <row r="24">
      <c r="B24" s="41"/>
      <c r="C24" s="41" t="str">
        <f>IFERROR(__xludf.DUMMYFUNCTION("""COMPUTED_VALUE"""),"滿三年更換")</f>
        <v>滿三年更換</v>
      </c>
      <c r="D24" s="41" t="str">
        <f>IFERROR(__xludf.DUMMYFUNCTION("""COMPUTED_VALUE"""),"TW")</f>
        <v>TW</v>
      </c>
      <c r="E24" s="41"/>
      <c r="F24" s="41"/>
      <c r="G24" s="41"/>
      <c r="H24" s="65" t="str">
        <f>IFERROR(__xludf.DUMMYFUNCTION("""COMPUTED_VALUE"""),"客戶價值中心:客戶關係管理部:客服團隊 POS/OMO")</f>
        <v>客戶價值中心:客戶關係管理部:客服團隊 POS/OMO</v>
      </c>
      <c r="I24" s="41" t="str">
        <f>IFERROR(__xludf.DUMMYFUNCTION("""COMPUTED_VALUE"""),"資訊裝置")</f>
        <v>資訊裝置</v>
      </c>
      <c r="J24" s="41" t="str">
        <f>IFERROR(__xludf.DUMMYFUNCTION("""COMPUTED_VALUE"""),"AICHIP02006029")</f>
        <v>AICHIP02006029</v>
      </c>
      <c r="K24" s="41" t="str">
        <f>IFERROR(__xludf.DUMMYFUNCTION("""COMPUTED_VALUE"""),"iPad")</f>
        <v>iPad</v>
      </c>
      <c r="L24" s="41" t="str">
        <f>IFERROR(__xludf.DUMMYFUNCTION("""COMPUTED_VALUE"""),"GG7CQF2GMF3P")</f>
        <v>GG7CQF2GMF3P</v>
      </c>
      <c r="M24" s="41" t="str">
        <f>IFERROR(__xludf.DUMMYFUNCTION("""COMPUTED_VALUE"""),"吳欣庭")</f>
        <v>吳欣庭</v>
      </c>
      <c r="N24" s="65">
        <f>IFERROR(__xludf.DUMMYFUNCTION("""COMPUTED_VALUE"""),43998.0)</f>
        <v>43998</v>
      </c>
      <c r="O24" s="45">
        <f>IFERROR(__xludf.DUMMYFUNCTION("""COMPUTED_VALUE"""),9800.0)</f>
        <v>9800</v>
      </c>
      <c r="P24" s="41" t="str">
        <f>IFERROR(__xludf.DUMMYFUNCTION("""COMPUTED_VALUE"""),"資訊裝置")</f>
        <v>資訊裝置</v>
      </c>
      <c r="Q24" s="41">
        <f>IFERROR(__xludf.DUMMYFUNCTION("""COMPUTED_VALUE"""),36.0)</f>
        <v>36</v>
      </c>
      <c r="R24" s="41">
        <f>IFERROR(__xludf.DUMMYFUNCTION("""COMPUTED_VALUE"""),36.0)</f>
        <v>36</v>
      </c>
      <c r="S24" s="41" t="str">
        <f>IFERROR(__xludf.DUMMYFUNCTION("""COMPUTED_VALUE"""),"NT$9,800")</f>
        <v>NT$9,800</v>
      </c>
      <c r="T24" s="41" t="str">
        <f>IFERROR(__xludf.DUMMYFUNCTION("""COMPUTED_VALUE"""),"iPad (第七代) 32GB WIFI(MW762TA/A)")</f>
        <v>iPad (第七代) 32GB WIFI(MW762TA/A)</v>
      </c>
      <c r="U24" s="41"/>
      <c r="V24" s="41"/>
      <c r="W24" s="41"/>
      <c r="X24" s="45" t="str">
        <f>IFERROR(__xludf.DUMMYFUNCTION("""COMPUTED_VALUE"""),"")</f>
        <v/>
      </c>
      <c r="Y24" s="41"/>
      <c r="Z24" s="41"/>
      <c r="AA24" s="41"/>
      <c r="AB24" s="41"/>
      <c r="AC24" s="41"/>
      <c r="AD24" s="41"/>
      <c r="AE24" s="41"/>
      <c r="AF24" s="41"/>
      <c r="AG24" s="41"/>
      <c r="AH24" s="41"/>
    </row>
    <row r="25">
      <c r="B25" s="41"/>
      <c r="C25" s="41" t="str">
        <f>IFERROR(__xludf.DUMMYFUNCTION("""COMPUTED_VALUE"""),"滿三年更換")</f>
        <v>滿三年更換</v>
      </c>
      <c r="D25" s="41" t="str">
        <f>IFERROR(__xludf.DUMMYFUNCTION("""COMPUTED_VALUE"""),"TW")</f>
        <v>TW</v>
      </c>
      <c r="E25" s="41"/>
      <c r="F25" s="41"/>
      <c r="G25" s="41"/>
      <c r="H25" s="65" t="str">
        <f>IFERROR(__xludf.DUMMYFUNCTION("""COMPUTED_VALUE"""),"客戶價值中心:客戶關係管理部:客服團隊 POS/OMO")</f>
        <v>客戶價值中心:客戶關係管理部:客服團隊 POS/OMO</v>
      </c>
      <c r="I25" s="41" t="str">
        <f>IFERROR(__xludf.DUMMYFUNCTION("""COMPUTED_VALUE"""),"資訊裝置")</f>
        <v>資訊裝置</v>
      </c>
      <c r="J25" s="41" t="str">
        <f>IFERROR(__xludf.DUMMYFUNCTION("""COMPUTED_VALUE"""),"AICHMN01910059")</f>
        <v>AICHMN01910059</v>
      </c>
      <c r="K25" s="41" t="str">
        <f>IFERROR(__xludf.DUMMYFUNCTION("""COMPUTED_VALUE"""),"螢幕")</f>
        <v>螢幕</v>
      </c>
      <c r="L25" s="41" t="str">
        <f>IFERROR(__xludf.DUMMYFUNCTION("""COMPUTED_VALUE"""),"CN-07N2FG-TV100-97T-00EB-A10")</f>
        <v>CN-07N2FG-TV100-97T-00EB-A10</v>
      </c>
      <c r="M25" s="41" t="str">
        <f>IFERROR(__xludf.DUMMYFUNCTION("""COMPUTED_VALUE"""),"吳芯儀")</f>
        <v>吳芯儀</v>
      </c>
      <c r="N25" s="66">
        <f>IFERROR(__xludf.DUMMYFUNCTION("""COMPUTED_VALUE"""),43769.0)</f>
        <v>43769</v>
      </c>
      <c r="O25" s="41"/>
      <c r="P25" s="41" t="str">
        <f>IFERROR(__xludf.DUMMYFUNCTION("""COMPUTED_VALUE"""),"資訊裝置")</f>
        <v>資訊裝置</v>
      </c>
      <c r="Q25" s="41">
        <f>IFERROR(__xludf.DUMMYFUNCTION("""COMPUTED_VALUE"""),36.0)</f>
        <v>36</v>
      </c>
      <c r="R25" s="41">
        <f>IFERROR(__xludf.DUMMYFUNCTION("""COMPUTED_VALUE"""),36.0)</f>
        <v>36</v>
      </c>
      <c r="S25" s="41" t="str">
        <f>IFERROR(__xludf.DUMMYFUNCTION("""COMPUTED_VALUE"""),"NT$0")</f>
        <v>NT$0</v>
      </c>
      <c r="T25" s="41" t="str">
        <f>IFERROR(__xludf.DUMMYFUNCTION("""COMPUTED_VALUE"""),"Dell 24吋 U2412M")</f>
        <v>Dell 24吋 U2412M</v>
      </c>
      <c r="U25" s="41"/>
      <c r="V25" s="41"/>
      <c r="W25" s="41"/>
      <c r="X25" s="45" t="str">
        <f>IFERROR(__xludf.DUMMYFUNCTION("""COMPUTED_VALUE"""),"")</f>
        <v/>
      </c>
      <c r="Y25" s="41"/>
      <c r="Z25" s="41"/>
      <c r="AA25" s="41"/>
      <c r="AB25" s="41"/>
      <c r="AC25" s="41"/>
      <c r="AD25" s="41"/>
      <c r="AE25" s="41"/>
      <c r="AF25" s="41"/>
      <c r="AG25" s="41"/>
      <c r="AH25" s="41"/>
    </row>
    <row r="26">
      <c r="B26" s="41"/>
      <c r="C26" s="41" t="str">
        <f>IFERROR(__xludf.DUMMYFUNCTION("""COMPUTED_VALUE"""),"滿三年更換")</f>
        <v>滿三年更換</v>
      </c>
      <c r="D26" s="41" t="str">
        <f>IFERROR(__xludf.DUMMYFUNCTION("""COMPUTED_VALUE"""),"TW")</f>
        <v>TW</v>
      </c>
      <c r="E26" s="41"/>
      <c r="F26" s="41"/>
      <c r="G26" s="41"/>
      <c r="H26" s="65" t="str">
        <f>IFERROR(__xludf.DUMMYFUNCTION("""COMPUTED_VALUE"""),"研發中心:軟體工程部:QE團隊")</f>
        <v>研發中心:軟體工程部:QE團隊</v>
      </c>
      <c r="I26" s="41" t="str">
        <f>IFERROR(__xludf.DUMMYFUNCTION("""COMPUTED_VALUE"""),"資訊裝置")</f>
        <v>資訊裝置</v>
      </c>
      <c r="J26" s="41" t="str">
        <f>IFERROR(__xludf.DUMMYFUNCTION("""COMPUTED_VALUE"""),"AICHMC02109010")</f>
        <v>AICHMC02109010</v>
      </c>
      <c r="K26" s="41" t="str">
        <f>IFERROR(__xludf.DUMMYFUNCTION("""COMPUTED_VALUE"""),"Mac mini")</f>
        <v>Mac mini</v>
      </c>
      <c r="L26" s="41" t="str">
        <f>IFERROR(__xludf.DUMMYFUNCTION("""COMPUTED_VALUE"""),"C07GD0M0Q6NY")</f>
        <v>C07GD0M0Q6NY</v>
      </c>
      <c r="M26" s="41" t="str">
        <f>IFERROR(__xludf.DUMMYFUNCTION("""COMPUTED_VALUE"""),"吳德毅")</f>
        <v>吳德毅</v>
      </c>
      <c r="N26" s="65">
        <f>IFERROR(__xludf.DUMMYFUNCTION("""COMPUTED_VALUE"""),44453.0)</f>
        <v>44453</v>
      </c>
      <c r="O26" s="45">
        <f>IFERROR(__xludf.DUMMYFUNCTION("""COMPUTED_VALUE"""),76200.0)</f>
        <v>76200</v>
      </c>
      <c r="P26" s="41" t="str">
        <f>IFERROR(__xludf.DUMMYFUNCTION("""COMPUTED_VALUE"""),"資訊裝置")</f>
        <v>資訊裝置</v>
      </c>
      <c r="Q26" s="41">
        <f>IFERROR(__xludf.DUMMYFUNCTION("""COMPUTED_VALUE"""),36.0)</f>
        <v>36</v>
      </c>
      <c r="R26" s="41">
        <f>IFERROR(__xludf.DUMMYFUNCTION("""COMPUTED_VALUE"""),36.0)</f>
        <v>36</v>
      </c>
      <c r="S26" s="41" t="str">
        <f>IFERROR(__xludf.DUMMYFUNCTION("""COMPUTED_VALUE"""),"NT$76,200")</f>
        <v>NT$76,200</v>
      </c>
      <c r="T26" s="41" t="str">
        <f>IFERROR(__xludf.DUMMYFUNCTION("""COMPUTED_VALUE"""),"MM(2020)M1/16GB/256GBSSD")</f>
        <v>MM(2020)M1/16GB/256GBSSD</v>
      </c>
      <c r="U26" s="41"/>
      <c r="V26" s="41"/>
      <c r="W26" s="41"/>
      <c r="X26" s="45" t="str">
        <f>IFERROR(__xludf.DUMMYFUNCTION("""COMPUTED_VALUE"""),"")</f>
        <v/>
      </c>
      <c r="Y26" s="41"/>
      <c r="Z26" s="41"/>
      <c r="AA26" s="41"/>
      <c r="AB26" s="41"/>
      <c r="AC26" s="41"/>
      <c r="AD26" s="41"/>
      <c r="AE26" s="41"/>
      <c r="AF26" s="41"/>
      <c r="AG26" s="41"/>
      <c r="AH26" s="41"/>
    </row>
    <row r="27">
      <c r="B27" s="41"/>
      <c r="C27" s="41" t="str">
        <f>IFERROR(__xludf.DUMMYFUNCTION("""COMPUTED_VALUE"""),"滿三年更換")</f>
        <v>滿三年更換</v>
      </c>
      <c r="D27" s="41" t="str">
        <f>IFERROR(__xludf.DUMMYFUNCTION("""COMPUTED_VALUE"""),"TW")</f>
        <v>TW</v>
      </c>
      <c r="E27" s="41"/>
      <c r="F27" s="41"/>
      <c r="G27" s="41"/>
      <c r="H27" s="65" t="str">
        <f>IFERROR(__xludf.DUMMYFUNCTION("""COMPUTED_VALUE"""),"研發中心:軟體工程部:QE團隊")</f>
        <v>研發中心:軟體工程部:QE團隊</v>
      </c>
      <c r="I27" s="41" t="str">
        <f>IFERROR(__xludf.DUMMYFUNCTION("""COMPUTED_VALUE"""),"資訊裝置")</f>
        <v>資訊裝置</v>
      </c>
      <c r="J27" s="41" t="str">
        <f>IFERROR(__xludf.DUMMYFUNCTION("""COMPUTED_VALUE"""),"AICHMC02109011")</f>
        <v>AICHMC02109011</v>
      </c>
      <c r="K27" s="41" t="str">
        <f>IFERROR(__xludf.DUMMYFUNCTION("""COMPUTED_VALUE"""),"Mac mini")</f>
        <v>Mac mini</v>
      </c>
      <c r="L27" s="41" t="str">
        <f>IFERROR(__xludf.DUMMYFUNCTION("""COMPUTED_VALUE"""),"C07GD0LWQ6NY")</f>
        <v>C07GD0LWQ6NY</v>
      </c>
      <c r="M27" s="41" t="str">
        <f>IFERROR(__xludf.DUMMYFUNCTION("""COMPUTED_VALUE"""),"吳德毅")</f>
        <v>吳德毅</v>
      </c>
      <c r="N27" s="65">
        <f>IFERROR(__xludf.DUMMYFUNCTION("""COMPUTED_VALUE"""),44453.0)</f>
        <v>44453</v>
      </c>
      <c r="O27" s="41"/>
      <c r="P27" s="41" t="str">
        <f>IFERROR(__xludf.DUMMYFUNCTION("""COMPUTED_VALUE"""),"資訊裝置")</f>
        <v>資訊裝置</v>
      </c>
      <c r="Q27" s="41">
        <f>IFERROR(__xludf.DUMMYFUNCTION("""COMPUTED_VALUE"""),36.0)</f>
        <v>36</v>
      </c>
      <c r="R27" s="41">
        <f>IFERROR(__xludf.DUMMYFUNCTION("""COMPUTED_VALUE"""),36.0)</f>
        <v>36</v>
      </c>
      <c r="S27" s="41" t="str">
        <f>IFERROR(__xludf.DUMMYFUNCTION("""COMPUTED_VALUE"""),"NT$0")</f>
        <v>NT$0</v>
      </c>
      <c r="T27" s="41" t="str">
        <f>IFERROR(__xludf.DUMMYFUNCTION("""COMPUTED_VALUE"""),"MM(2020)M1/16GB/256GBSSD")</f>
        <v>MM(2020)M1/16GB/256GBSSD</v>
      </c>
      <c r="U27" s="41"/>
      <c r="V27" s="41"/>
      <c r="W27" s="41"/>
      <c r="X27" s="45" t="str">
        <f>IFERROR(__xludf.DUMMYFUNCTION("""COMPUTED_VALUE"""),"")</f>
        <v/>
      </c>
      <c r="Y27" s="41"/>
      <c r="Z27" s="41"/>
      <c r="AA27" s="41"/>
      <c r="AB27" s="41"/>
      <c r="AC27" s="41"/>
      <c r="AD27" s="41"/>
      <c r="AE27" s="41"/>
      <c r="AF27" s="41"/>
      <c r="AG27" s="41"/>
      <c r="AH27" s="41"/>
    </row>
    <row r="28">
      <c r="B28" s="41"/>
      <c r="C28" s="41" t="str">
        <f>IFERROR(__xludf.DUMMYFUNCTION("""COMPUTED_VALUE"""),"滿三年更換")</f>
        <v>滿三年更換</v>
      </c>
      <c r="D28" s="41" t="str">
        <f>IFERROR(__xludf.DUMMYFUNCTION("""COMPUTED_VALUE"""),"TW")</f>
        <v>TW</v>
      </c>
      <c r="E28" s="41"/>
      <c r="F28" s="41"/>
      <c r="G28" s="41"/>
      <c r="H28" s="65" t="str">
        <f>IFERROR(__xludf.DUMMYFUNCTION("""COMPUTED_VALUE"""),"研發中心:軟體工程部:QE團隊")</f>
        <v>研發中心:軟體工程部:QE團隊</v>
      </c>
      <c r="I28" s="41" t="str">
        <f>IFERROR(__xludf.DUMMYFUNCTION("""COMPUTED_VALUE"""),"資訊裝置")</f>
        <v>資訊裝置</v>
      </c>
      <c r="J28" s="41" t="str">
        <f>IFERROR(__xludf.DUMMYFUNCTION("""COMPUTED_VALUE"""),"AICHMC02109012")</f>
        <v>AICHMC02109012</v>
      </c>
      <c r="K28" s="41" t="str">
        <f>IFERROR(__xludf.DUMMYFUNCTION("""COMPUTED_VALUE"""),"Mac mini")</f>
        <v>Mac mini</v>
      </c>
      <c r="L28" s="41" t="str">
        <f>IFERROR(__xludf.DUMMYFUNCTION("""COMPUTED_VALUE"""),"C07GD0LUQ6NY")</f>
        <v>C07GD0LUQ6NY</v>
      </c>
      <c r="M28" s="41" t="str">
        <f>IFERROR(__xludf.DUMMYFUNCTION("""COMPUTED_VALUE"""),"吳德毅")</f>
        <v>吳德毅</v>
      </c>
      <c r="N28" s="65">
        <f>IFERROR(__xludf.DUMMYFUNCTION("""COMPUTED_VALUE"""),44453.0)</f>
        <v>44453</v>
      </c>
      <c r="O28" s="41"/>
      <c r="P28" s="41" t="str">
        <f>IFERROR(__xludf.DUMMYFUNCTION("""COMPUTED_VALUE"""),"資訊裝置")</f>
        <v>資訊裝置</v>
      </c>
      <c r="Q28" s="41">
        <f>IFERROR(__xludf.DUMMYFUNCTION("""COMPUTED_VALUE"""),36.0)</f>
        <v>36</v>
      </c>
      <c r="R28" s="41">
        <f>IFERROR(__xludf.DUMMYFUNCTION("""COMPUTED_VALUE"""),36.0)</f>
        <v>36</v>
      </c>
      <c r="S28" s="41" t="str">
        <f>IFERROR(__xludf.DUMMYFUNCTION("""COMPUTED_VALUE"""),"NT$0")</f>
        <v>NT$0</v>
      </c>
      <c r="T28" s="41" t="str">
        <f>IFERROR(__xludf.DUMMYFUNCTION("""COMPUTED_VALUE"""),"MM(2020)M1/16GB/256GBSSD")</f>
        <v>MM(2020)M1/16GB/256GBSSD</v>
      </c>
      <c r="U28" s="41"/>
      <c r="V28" s="41"/>
      <c r="W28" s="41"/>
      <c r="X28" s="45" t="str">
        <f>IFERROR(__xludf.DUMMYFUNCTION("""COMPUTED_VALUE"""),"")</f>
        <v/>
      </c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29">
      <c r="B29" s="41"/>
      <c r="C29" s="41" t="str">
        <f>IFERROR(__xludf.DUMMYFUNCTION("""COMPUTED_VALUE"""),"滿三年更換")</f>
        <v>滿三年更換</v>
      </c>
      <c r="D29" s="41" t="str">
        <f>IFERROR(__xludf.DUMMYFUNCTION("""COMPUTED_VALUE"""),"TW")</f>
        <v>TW</v>
      </c>
      <c r="E29" s="41"/>
      <c r="F29" s="41"/>
      <c r="G29" s="41"/>
      <c r="H29" s="65" t="str">
        <f>IFERROR(__xludf.DUMMYFUNCTION("""COMPUTED_VALUE"""),"研發中心:軟體工程部:QE團隊")</f>
        <v>研發中心:軟體工程部:QE團隊</v>
      </c>
      <c r="I29" s="41" t="str">
        <f>IFERROR(__xludf.DUMMYFUNCTION("""COMPUTED_VALUE"""),"資訊裝置")</f>
        <v>資訊裝置</v>
      </c>
      <c r="J29" s="41" t="str">
        <f>IFERROR(__xludf.DUMMYFUNCTION("""COMPUTED_VALUE"""),"AICHMC02109013")</f>
        <v>AICHMC02109013</v>
      </c>
      <c r="K29" s="41" t="str">
        <f>IFERROR(__xludf.DUMMYFUNCTION("""COMPUTED_VALUE"""),"Mac mini")</f>
        <v>Mac mini</v>
      </c>
      <c r="L29" s="41" t="str">
        <f>IFERROR(__xludf.DUMMYFUNCTION("""COMPUTED_VALUE"""),"C07GD0LXQ6NY")</f>
        <v>C07GD0LXQ6NY</v>
      </c>
      <c r="M29" s="41" t="str">
        <f>IFERROR(__xludf.DUMMYFUNCTION("""COMPUTED_VALUE"""),"吳德毅")</f>
        <v>吳德毅</v>
      </c>
      <c r="N29" s="65">
        <f>IFERROR(__xludf.DUMMYFUNCTION("""COMPUTED_VALUE"""),44453.0)</f>
        <v>44453</v>
      </c>
      <c r="O29" s="41"/>
      <c r="P29" s="41" t="str">
        <f>IFERROR(__xludf.DUMMYFUNCTION("""COMPUTED_VALUE"""),"資訊裝置")</f>
        <v>資訊裝置</v>
      </c>
      <c r="Q29" s="41">
        <f>IFERROR(__xludf.DUMMYFUNCTION("""COMPUTED_VALUE"""),36.0)</f>
        <v>36</v>
      </c>
      <c r="R29" s="41">
        <f>IFERROR(__xludf.DUMMYFUNCTION("""COMPUTED_VALUE"""),36.0)</f>
        <v>36</v>
      </c>
      <c r="S29" s="41" t="str">
        <f>IFERROR(__xludf.DUMMYFUNCTION("""COMPUTED_VALUE"""),"NT$0")</f>
        <v>NT$0</v>
      </c>
      <c r="T29" s="41" t="str">
        <f>IFERROR(__xludf.DUMMYFUNCTION("""COMPUTED_VALUE"""),"MM(2020)M1/16GB/256GBSSD")</f>
        <v>MM(2020)M1/16GB/256GBSSD</v>
      </c>
      <c r="U29" s="41"/>
      <c r="V29" s="41"/>
      <c r="W29" s="41"/>
      <c r="X29" s="45" t="str">
        <f>IFERROR(__xludf.DUMMYFUNCTION("""COMPUTED_VALUE"""),"")</f>
        <v/>
      </c>
      <c r="Y29" s="41"/>
      <c r="Z29" s="41"/>
      <c r="AA29" s="41"/>
      <c r="AB29" s="41"/>
      <c r="AC29" s="41"/>
      <c r="AD29" s="41"/>
      <c r="AE29" s="41"/>
      <c r="AF29" s="41"/>
      <c r="AG29" s="41"/>
      <c r="AH29" s="41"/>
    </row>
    <row r="30">
      <c r="B30" s="41"/>
      <c r="C30" s="41" t="str">
        <f>IFERROR(__xludf.DUMMYFUNCTION("""COMPUTED_VALUE"""),"滿三年更換")</f>
        <v>滿三年更換</v>
      </c>
      <c r="D30" s="41" t="str">
        <f>IFERROR(__xludf.DUMMYFUNCTION("""COMPUTED_VALUE"""),"TW")</f>
        <v>TW</v>
      </c>
      <c r="E30" s="41"/>
      <c r="F30" s="41"/>
      <c r="G30" s="41"/>
      <c r="H30" s="65" t="str">
        <f>IFERROR(__xludf.DUMMYFUNCTION("""COMPUTED_VALUE"""),"研發中心:軟體工程部:QE團隊")</f>
        <v>研發中心:軟體工程部:QE團隊</v>
      </c>
      <c r="I30" s="41" t="str">
        <f>IFERROR(__xludf.DUMMYFUNCTION("""COMPUTED_VALUE"""),"資訊裝置")</f>
        <v>資訊裝置</v>
      </c>
      <c r="J30" s="41" t="str">
        <f>IFERROR(__xludf.DUMMYFUNCTION("""COMPUTED_VALUE"""),"AICHIP02007032")</f>
        <v>AICHIP02007032</v>
      </c>
      <c r="K30" s="41" t="str">
        <f>IFERROR(__xludf.DUMMYFUNCTION("""COMPUTED_VALUE"""),"iPad Pro")</f>
        <v>iPad Pro</v>
      </c>
      <c r="L30" s="41" t="str">
        <f>IFERROR(__xludf.DUMMYFUNCTION("""COMPUTED_VALUE"""),"DLXXT25KK7M9")</f>
        <v>DLXXT25KK7M9</v>
      </c>
      <c r="M30" s="41" t="str">
        <f>IFERROR(__xludf.DUMMYFUNCTION("""COMPUTED_VALUE"""),"吳德毅")</f>
        <v>吳德毅</v>
      </c>
      <c r="N30" s="65">
        <f>IFERROR(__xludf.DUMMYFUNCTION("""COMPUTED_VALUE"""),44020.0)</f>
        <v>44020</v>
      </c>
      <c r="O30" s="45">
        <f>IFERROR(__xludf.DUMMYFUNCTION("""COMPUTED_VALUE"""),30349.0)</f>
        <v>30349</v>
      </c>
      <c r="P30" s="41" t="str">
        <f>IFERROR(__xludf.DUMMYFUNCTION("""COMPUTED_VALUE"""),"資訊裝置")</f>
        <v>資訊裝置</v>
      </c>
      <c r="Q30" s="41">
        <f>IFERROR(__xludf.DUMMYFUNCTION("""COMPUTED_VALUE"""),36.0)</f>
        <v>36</v>
      </c>
      <c r="R30" s="41">
        <f>IFERROR(__xludf.DUMMYFUNCTION("""COMPUTED_VALUE"""),36.0)</f>
        <v>36</v>
      </c>
      <c r="S30" s="41" t="str">
        <f>IFERROR(__xludf.DUMMYFUNCTION("""COMPUTED_VALUE"""),"NT$30,349")</f>
        <v>NT$30,349</v>
      </c>
      <c r="T30" s="41" t="str">
        <f>IFERROR(__xludf.DUMMYFUNCTION("""COMPUTED_VALUE"""),"iPad Pro 12.9吋 256GB(A1876)")</f>
        <v>iPad Pro 12.9吋 256GB(A1876)</v>
      </c>
      <c r="U30" s="41"/>
      <c r="V30" s="41"/>
      <c r="W30" s="41"/>
      <c r="X30" s="45" t="str">
        <f>IFERROR(__xludf.DUMMYFUNCTION("""COMPUTED_VALUE"""),"")</f>
        <v/>
      </c>
      <c r="Y30" s="41"/>
      <c r="Z30" s="41"/>
      <c r="AA30" s="41"/>
      <c r="AB30" s="41"/>
      <c r="AC30" s="41"/>
      <c r="AD30" s="41"/>
      <c r="AE30" s="41"/>
      <c r="AF30" s="41"/>
      <c r="AG30" s="41"/>
      <c r="AH30" s="41"/>
    </row>
    <row r="31">
      <c r="B31" s="41"/>
      <c r="C31" s="41" t="str">
        <f>IFERROR(__xludf.DUMMYFUNCTION("""COMPUTED_VALUE"""),"滿三年更換")</f>
        <v>滿三年更換</v>
      </c>
      <c r="D31" s="41" t="str">
        <f>IFERROR(__xludf.DUMMYFUNCTION("""COMPUTED_VALUE"""),"TW")</f>
        <v>TW</v>
      </c>
      <c r="E31" s="41"/>
      <c r="F31" s="41"/>
      <c r="G31" s="41"/>
      <c r="H31" s="65" t="str">
        <f>IFERROR(__xludf.DUMMYFUNCTION("""COMPUTED_VALUE"""),"研發中心:軟體工程部:QE團隊")</f>
        <v>研發中心:軟體工程部:QE團隊</v>
      </c>
      <c r="I31" s="41" t="str">
        <f>IFERROR(__xludf.DUMMYFUNCTION("""COMPUTED_VALUE"""),"資訊裝置")</f>
        <v>資訊裝置</v>
      </c>
      <c r="J31" s="41" t="str">
        <f>IFERROR(__xludf.DUMMYFUNCTION("""COMPUTED_VALUE"""),"AICHMN01705040")</f>
        <v>AICHMN01705040</v>
      </c>
      <c r="K31" s="41" t="str">
        <f>IFERROR(__xludf.DUMMYFUNCTION("""COMPUTED_VALUE"""),"螢幕")</f>
        <v>螢幕</v>
      </c>
      <c r="L31" s="41" t="str">
        <f>IFERROR(__xludf.DUMMYFUNCTION("""COMPUTED_VALUE"""),"CN-07N2FG-TV100-83M-044S-A07")</f>
        <v>CN-07N2FG-TV100-83M-044S-A07</v>
      </c>
      <c r="M31" s="41" t="str">
        <f>IFERROR(__xludf.DUMMYFUNCTION("""COMPUTED_VALUE"""),"吳德毅")</f>
        <v>吳德毅</v>
      </c>
      <c r="N31" s="65">
        <f>IFERROR(__xludf.DUMMYFUNCTION("""COMPUTED_VALUE"""),43245.0)</f>
        <v>43245</v>
      </c>
      <c r="O31" s="41"/>
      <c r="P31" s="41" t="str">
        <f>IFERROR(__xludf.DUMMYFUNCTION("""COMPUTED_VALUE"""),"資訊裝置")</f>
        <v>資訊裝置</v>
      </c>
      <c r="Q31" s="41">
        <f>IFERROR(__xludf.DUMMYFUNCTION("""COMPUTED_VALUE"""),36.0)</f>
        <v>36</v>
      </c>
      <c r="R31" s="41">
        <f>IFERROR(__xludf.DUMMYFUNCTION("""COMPUTED_VALUE"""),36.0)</f>
        <v>36</v>
      </c>
      <c r="S31" s="41" t="str">
        <f>IFERROR(__xludf.DUMMYFUNCTION("""COMPUTED_VALUE"""),"NT$0")</f>
        <v>NT$0</v>
      </c>
      <c r="T31" s="41" t="str">
        <f>IFERROR(__xludf.DUMMYFUNCTION("""COMPUTED_VALUE"""),"Dell 24吋 U2412Mc")</f>
        <v>Dell 24吋 U2412Mc</v>
      </c>
      <c r="U31" s="41"/>
      <c r="V31" s="41"/>
      <c r="W31" s="41"/>
      <c r="X31" s="45" t="str">
        <f>IFERROR(__xludf.DUMMYFUNCTION("""COMPUTED_VALUE"""),"")</f>
        <v/>
      </c>
      <c r="Y31" s="41"/>
      <c r="Z31" s="41"/>
      <c r="AA31" s="41"/>
      <c r="AB31" s="41"/>
      <c r="AC31" s="41"/>
      <c r="AD31" s="41"/>
      <c r="AE31" s="41"/>
      <c r="AF31" s="41"/>
      <c r="AG31" s="41"/>
      <c r="AH31" s="41"/>
    </row>
    <row r="32">
      <c r="B32" s="41"/>
      <c r="C32" s="41" t="str">
        <f>IFERROR(__xludf.DUMMYFUNCTION("""COMPUTED_VALUE"""),"滿三年更換")</f>
        <v>滿三年更換</v>
      </c>
      <c r="D32" s="41" t="str">
        <f>IFERROR(__xludf.DUMMYFUNCTION("""COMPUTED_VALUE"""),"TW")</f>
        <v>TW</v>
      </c>
      <c r="E32" s="41"/>
      <c r="F32" s="41"/>
      <c r="G32" s="41"/>
      <c r="H32" s="65" t="str">
        <f>IFERROR(__xludf.DUMMYFUNCTION("""COMPUTED_VALUE"""),"研發中心:軟體工程部:QE團隊")</f>
        <v>研發中心:軟體工程部:QE團隊</v>
      </c>
      <c r="I32" s="41" t="str">
        <f>IFERROR(__xludf.DUMMYFUNCTION("""COMPUTED_VALUE"""),"資訊裝置")</f>
        <v>資訊裝置</v>
      </c>
      <c r="J32" s="41" t="str">
        <f>IFERROR(__xludf.DUMMYFUNCTION("""COMPUTED_VALUE"""),"AICHMN01811052")</f>
        <v>AICHMN01811052</v>
      </c>
      <c r="K32" s="41" t="str">
        <f>IFERROR(__xludf.DUMMYFUNCTION("""COMPUTED_VALUE"""),"螢幕")</f>
        <v>螢幕</v>
      </c>
      <c r="L32" s="41" t="str">
        <f>IFERROR(__xludf.DUMMYFUNCTION("""COMPUTED_VALUE"""),"CN-07N2FG-TV100-88G-03KU-A08")</f>
        <v>CN-07N2FG-TV100-88G-03KU-A08</v>
      </c>
      <c r="M32" s="41" t="str">
        <f>IFERROR(__xludf.DUMMYFUNCTION("""COMPUTED_VALUE"""),"吳德毅")</f>
        <v>吳德毅</v>
      </c>
      <c r="N32" s="66">
        <f>IFERROR(__xludf.DUMMYFUNCTION("""COMPUTED_VALUE"""),43398.0)</f>
        <v>43398</v>
      </c>
      <c r="O32" s="45">
        <f>IFERROR(__xludf.DUMMYFUNCTION("""COMPUTED_VALUE"""),9450.0)</f>
        <v>9450</v>
      </c>
      <c r="P32" s="41" t="str">
        <f>IFERROR(__xludf.DUMMYFUNCTION("""COMPUTED_VALUE"""),"資訊裝置")</f>
        <v>資訊裝置</v>
      </c>
      <c r="Q32" s="41">
        <f>IFERROR(__xludf.DUMMYFUNCTION("""COMPUTED_VALUE"""),36.0)</f>
        <v>36</v>
      </c>
      <c r="R32" s="41">
        <f>IFERROR(__xludf.DUMMYFUNCTION("""COMPUTED_VALUE"""),36.0)</f>
        <v>36</v>
      </c>
      <c r="S32" s="41" t="str">
        <f>IFERROR(__xludf.DUMMYFUNCTION("""COMPUTED_VALUE"""),"NT$9,450")</f>
        <v>NT$9,450</v>
      </c>
      <c r="T32" s="41" t="str">
        <f>IFERROR(__xludf.DUMMYFUNCTION("""COMPUTED_VALUE"""),"Dell 24吋 U2412Mc")</f>
        <v>Dell 24吋 U2412Mc</v>
      </c>
      <c r="U32" s="41"/>
      <c r="V32" s="41"/>
      <c r="W32" s="41"/>
      <c r="X32" s="45" t="str">
        <f>IFERROR(__xludf.DUMMYFUNCTION("""COMPUTED_VALUE"""),"")</f>
        <v/>
      </c>
      <c r="Y32" s="41"/>
      <c r="Z32" s="41"/>
      <c r="AA32" s="41"/>
      <c r="AB32" s="41"/>
      <c r="AC32" s="41"/>
      <c r="AD32" s="41"/>
      <c r="AE32" s="41"/>
      <c r="AF32" s="41"/>
      <c r="AG32" s="41"/>
      <c r="AH32" s="41"/>
    </row>
    <row r="33">
      <c r="B33" s="41"/>
      <c r="C33" s="41" t="str">
        <f>IFERROR(__xludf.DUMMYFUNCTION("""COMPUTED_VALUE"""),"滿三年更換")</f>
        <v>滿三年更換</v>
      </c>
      <c r="D33" s="41" t="str">
        <f>IFERROR(__xludf.DUMMYFUNCTION("""COMPUTED_VALUE"""),"TW")</f>
        <v>TW</v>
      </c>
      <c r="E33" s="41"/>
      <c r="F33" s="41"/>
      <c r="G33" s="41"/>
      <c r="H33" s="65" t="str">
        <f>IFERROR(__xludf.DUMMYFUNCTION("""COMPUTED_VALUE"""),"行銷營運中心:銷售營運部:銷售顧問團隊")</f>
        <v>行銷營運中心:銷售營運部:銷售顧問團隊</v>
      </c>
      <c r="I33" s="41" t="str">
        <f>IFERROR(__xludf.DUMMYFUNCTION("""COMPUTED_VALUE"""),"資訊裝置")</f>
        <v>資訊裝置</v>
      </c>
      <c r="J33" s="41" t="str">
        <f>IFERROR(__xludf.DUMMYFUNCTION("""COMPUTED_VALUE"""),"AICHMN01604017")</f>
        <v>AICHMN01604017</v>
      </c>
      <c r="K33" s="41" t="str">
        <f>IFERROR(__xludf.DUMMYFUNCTION("""COMPUTED_VALUE"""),"螢幕")</f>
        <v>螢幕</v>
      </c>
      <c r="L33" s="41" t="str">
        <f>IFERROR(__xludf.DUMMYFUNCTION("""COMPUTED_VALUE"""),"CN-0YR48V-74261-21T-UUT")</f>
        <v>CN-0YR48V-74261-21T-UUT</v>
      </c>
      <c r="M33" s="41" t="str">
        <f>IFERROR(__xludf.DUMMYFUNCTION("""COMPUTED_VALUE"""),"巫喬婷")</f>
        <v>巫喬婷</v>
      </c>
      <c r="N33" s="65">
        <f>IFERROR(__xludf.DUMMYFUNCTION("""COMPUTED_VALUE"""),42468.0)</f>
        <v>42468</v>
      </c>
      <c r="O33" s="41"/>
      <c r="P33" s="41" t="str">
        <f>IFERROR(__xludf.DUMMYFUNCTION("""COMPUTED_VALUE"""),"資訊裝置")</f>
        <v>資訊裝置</v>
      </c>
      <c r="Q33" s="41">
        <f>IFERROR(__xludf.DUMMYFUNCTION("""COMPUTED_VALUE"""),36.0)</f>
        <v>36</v>
      </c>
      <c r="R33" s="41">
        <f>IFERROR(__xludf.DUMMYFUNCTION("""COMPUTED_VALUE"""),36.0)</f>
        <v>36</v>
      </c>
      <c r="S33" s="41" t="str">
        <f>IFERROR(__xludf.DUMMYFUNCTION("""COMPUTED_VALUE"""),"NT$0")</f>
        <v>NT$0</v>
      </c>
      <c r="T33" s="41" t="str">
        <f>IFERROR(__xludf.DUMMYFUNCTION("""COMPUTED_VALUE"""),"Dell 24吋 U2412Mb")</f>
        <v>Dell 24吋 U2412Mb</v>
      </c>
      <c r="U33" s="41"/>
      <c r="V33" s="41"/>
      <c r="W33" s="41"/>
      <c r="X33" s="45" t="str">
        <f>IFERROR(__xludf.DUMMYFUNCTION("""COMPUTED_VALUE"""),"")</f>
        <v/>
      </c>
      <c r="Y33" s="41"/>
      <c r="Z33" s="41"/>
      <c r="AA33" s="41"/>
      <c r="AB33" s="41"/>
      <c r="AC33" s="41"/>
      <c r="AD33" s="41"/>
      <c r="AE33" s="41"/>
      <c r="AF33" s="41"/>
      <c r="AG33" s="41"/>
      <c r="AH33" s="41"/>
    </row>
    <row r="34">
      <c r="B34" s="41"/>
      <c r="C34" s="41" t="str">
        <f>IFERROR(__xludf.DUMMYFUNCTION("""COMPUTED_VALUE"""),"滿三年更換")</f>
        <v>滿三年更換</v>
      </c>
      <c r="D34" s="41" t="str">
        <f>IFERROR(__xludf.DUMMYFUNCTION("""COMPUTED_VALUE"""),"TW")</f>
        <v>TW</v>
      </c>
      <c r="E34" s="41"/>
      <c r="F34" s="41"/>
      <c r="G34" s="41"/>
      <c r="H34" s="65" t="str">
        <f>IFERROR(__xludf.DUMMYFUNCTION("""COMPUTED_VALUE"""),"行銷營運中心:銷售營運部:線上開發團隊")</f>
        <v>行銷營運中心:銷售營運部:線上開發團隊</v>
      </c>
      <c r="I34" s="41" t="str">
        <f>IFERROR(__xludf.DUMMYFUNCTION("""COMPUTED_VALUE"""),"資訊裝置")</f>
        <v>資訊裝置</v>
      </c>
      <c r="J34" s="41" t="str">
        <f>IFERROR(__xludf.DUMMYFUNCTION("""COMPUTED_VALUE"""),"AICHMA02108037")</f>
        <v>AICHMA02108037</v>
      </c>
      <c r="K34" s="41" t="str">
        <f>IFERROR(__xludf.DUMMYFUNCTION("""COMPUTED_VALUE"""),"Macbook Air")</f>
        <v>Macbook Air</v>
      </c>
      <c r="L34" s="41" t="str">
        <f>IFERROR(__xludf.DUMMYFUNCTION("""COMPUTED_VALUE"""),"FVFG3SFQQ6LC")</f>
        <v>FVFG3SFQQ6LC</v>
      </c>
      <c r="M34" s="41" t="str">
        <f>IFERROR(__xludf.DUMMYFUNCTION("""COMPUTED_VALUE"""),"李安晴")</f>
        <v>李安晴</v>
      </c>
      <c r="N34" s="65">
        <f>IFERROR(__xludf.DUMMYFUNCTION("""COMPUTED_VALUE"""),44411.0)</f>
        <v>44411</v>
      </c>
      <c r="O34" s="45">
        <f>IFERROR(__xludf.DUMMYFUNCTION("""COMPUTED_VALUE"""),27075.0)</f>
        <v>27075</v>
      </c>
      <c r="P34" s="41" t="str">
        <f>IFERROR(__xludf.DUMMYFUNCTION("""COMPUTED_VALUE"""),"資訊裝置")</f>
        <v>資訊裝置</v>
      </c>
      <c r="Q34" s="41">
        <f>IFERROR(__xludf.DUMMYFUNCTION("""COMPUTED_VALUE"""),36.0)</f>
        <v>36</v>
      </c>
      <c r="R34" s="41">
        <f>IFERROR(__xludf.DUMMYFUNCTION("""COMPUTED_VALUE"""),36.0)</f>
        <v>36</v>
      </c>
      <c r="S34" s="41" t="str">
        <f>IFERROR(__xludf.DUMMYFUNCTION("""COMPUTED_VALUE"""),"NT$27,075")</f>
        <v>NT$27,075</v>
      </c>
      <c r="T34" s="41" t="str">
        <f>IFERROR(__xludf.DUMMYFUNCTION("""COMPUTED_VALUE"""),"MBA13 (2020) M1/8GBRAM/256GBSSD")</f>
        <v>MBA13 (2020) M1/8GBRAM/256GBSSD</v>
      </c>
      <c r="U34" s="41"/>
      <c r="V34" s="41"/>
      <c r="W34" s="41"/>
      <c r="X34" s="45" t="str">
        <f>IFERROR(__xludf.DUMMYFUNCTION("""COMPUTED_VALUE"""),"")</f>
        <v/>
      </c>
      <c r="Y34" s="41"/>
      <c r="Z34" s="41"/>
      <c r="AA34" s="41"/>
      <c r="AB34" s="41"/>
      <c r="AC34" s="41"/>
      <c r="AD34" s="41"/>
      <c r="AE34" s="41"/>
      <c r="AF34" s="41"/>
      <c r="AG34" s="41"/>
      <c r="AH34" s="41"/>
    </row>
    <row r="35">
      <c r="B35" s="41"/>
      <c r="C35" s="41" t="str">
        <f>IFERROR(__xludf.DUMMYFUNCTION("""COMPUTED_VALUE"""),"滿三年更換")</f>
        <v>滿三年更換</v>
      </c>
      <c r="D35" s="41" t="str">
        <f>IFERROR(__xludf.DUMMYFUNCTION("""COMPUTED_VALUE"""),"TW")</f>
        <v>TW</v>
      </c>
      <c r="E35" s="41"/>
      <c r="F35" s="41"/>
      <c r="G35" s="41"/>
      <c r="H35" s="65" t="str">
        <f>IFERROR(__xludf.DUMMYFUNCTION("""COMPUTED_VALUE"""),"行銷營運中心:銷售營運部:線上開發團隊")</f>
        <v>行銷營運中心:銷售營運部:線上開發團隊</v>
      </c>
      <c r="I35" s="41" t="str">
        <f>IFERROR(__xludf.DUMMYFUNCTION("""COMPUTED_VALUE"""),"資訊裝置")</f>
        <v>資訊裝置</v>
      </c>
      <c r="J35" s="41" t="str">
        <f>IFERROR(__xludf.DUMMYFUNCTION("""COMPUTED_VALUE"""),"AICHMN01604006")</f>
        <v>AICHMN01604006</v>
      </c>
      <c r="K35" s="41" t="str">
        <f>IFERROR(__xludf.DUMMYFUNCTION("""COMPUTED_VALUE"""),"螢幕")</f>
        <v>螢幕</v>
      </c>
      <c r="L35" s="41" t="str">
        <f>IFERROR(__xludf.DUMMYFUNCTION("""COMPUTED_VALUE"""),"CN-0MTYGK-64180-581-00FS")</f>
        <v>CN-0MTYGK-64180-581-00FS</v>
      </c>
      <c r="M35" s="41" t="str">
        <f>IFERROR(__xludf.DUMMYFUNCTION("""COMPUTED_VALUE"""),"李安晴")</f>
        <v>李安晴</v>
      </c>
      <c r="N35" s="65">
        <f>IFERROR(__xludf.DUMMYFUNCTION("""COMPUTED_VALUE"""),42468.0)</f>
        <v>42468</v>
      </c>
      <c r="O35" s="41"/>
      <c r="P35" s="41" t="str">
        <f>IFERROR(__xludf.DUMMYFUNCTION("""COMPUTED_VALUE"""),"資訊裝置")</f>
        <v>資訊裝置</v>
      </c>
      <c r="Q35" s="41">
        <f>IFERROR(__xludf.DUMMYFUNCTION("""COMPUTED_VALUE"""),36.0)</f>
        <v>36</v>
      </c>
      <c r="R35" s="41">
        <f>IFERROR(__xludf.DUMMYFUNCTION("""COMPUTED_VALUE"""),36.0)</f>
        <v>36</v>
      </c>
      <c r="S35" s="41" t="str">
        <f>IFERROR(__xludf.DUMMYFUNCTION("""COMPUTED_VALUE"""),"NT$0")</f>
        <v>NT$0</v>
      </c>
      <c r="T35" s="41" t="str">
        <f>IFERROR(__xludf.DUMMYFUNCTION("""COMPUTED_VALUE"""),"Dell 24吋 U2412Mc")</f>
        <v>Dell 24吋 U2412Mc</v>
      </c>
      <c r="U35" s="41"/>
      <c r="V35" s="41"/>
      <c r="W35" s="41"/>
      <c r="X35" s="45" t="str">
        <f>IFERROR(__xludf.DUMMYFUNCTION("""COMPUTED_VALUE"""),"")</f>
        <v/>
      </c>
      <c r="Y35" s="41"/>
      <c r="Z35" s="41"/>
      <c r="AA35" s="41"/>
      <c r="AB35" s="41"/>
      <c r="AC35" s="41"/>
      <c r="AD35" s="41"/>
      <c r="AE35" s="41"/>
      <c r="AF35" s="41"/>
      <c r="AG35" s="41"/>
      <c r="AH35" s="41"/>
    </row>
    <row r="36">
      <c r="B36" s="41"/>
      <c r="C36" s="41" t="str">
        <f>IFERROR(__xludf.DUMMYFUNCTION("""COMPUTED_VALUE"""),"滿三年更換")</f>
        <v>滿三年更換</v>
      </c>
      <c r="D36" s="41" t="str">
        <f>IFERROR(__xludf.DUMMYFUNCTION("""COMPUTED_VALUE"""),"TW")</f>
        <v>TW</v>
      </c>
      <c r="E36" s="41"/>
      <c r="F36" s="41"/>
      <c r="G36" s="41"/>
      <c r="H36" s="65" t="str">
        <f>IFERROR(__xludf.DUMMYFUNCTION("""COMPUTED_VALUE"""),"行銷營運中心:銷售營運部:銷售顧問團隊")</f>
        <v>行銷營運中心:銷售營運部:銷售顧問團隊</v>
      </c>
      <c r="I36" s="41" t="str">
        <f>IFERROR(__xludf.DUMMYFUNCTION("""COMPUTED_VALUE"""),"資訊裝置")</f>
        <v>資訊裝置</v>
      </c>
      <c r="J36" s="41" t="str">
        <f>IFERROR(__xludf.DUMMYFUNCTION("""COMPUTED_VALUE"""),"AICHIP02006031")</f>
        <v>AICHIP02006031</v>
      </c>
      <c r="K36" s="41" t="str">
        <f>IFERROR(__xludf.DUMMYFUNCTION("""COMPUTED_VALUE"""),"iPad")</f>
        <v>iPad</v>
      </c>
      <c r="L36" s="41" t="str">
        <f>IFERROR(__xludf.DUMMYFUNCTION("""COMPUTED_VALUE"""),"GG7CQ2XRMF3P")</f>
        <v>GG7CQ2XRMF3P</v>
      </c>
      <c r="M36" s="41" t="str">
        <f>IFERROR(__xludf.DUMMYFUNCTION("""COMPUTED_VALUE"""),"李艾凌")</f>
        <v>李艾凌</v>
      </c>
      <c r="N36" s="65">
        <f>IFERROR(__xludf.DUMMYFUNCTION("""COMPUTED_VALUE"""),43998.0)</f>
        <v>43998</v>
      </c>
      <c r="O36" s="45">
        <f>IFERROR(__xludf.DUMMYFUNCTION("""COMPUTED_VALUE"""),9800.0)</f>
        <v>9800</v>
      </c>
      <c r="P36" s="41" t="str">
        <f>IFERROR(__xludf.DUMMYFUNCTION("""COMPUTED_VALUE"""),"資訊裝置")</f>
        <v>資訊裝置</v>
      </c>
      <c r="Q36" s="41">
        <f>IFERROR(__xludf.DUMMYFUNCTION("""COMPUTED_VALUE"""),36.0)</f>
        <v>36</v>
      </c>
      <c r="R36" s="41">
        <f>IFERROR(__xludf.DUMMYFUNCTION("""COMPUTED_VALUE"""),36.0)</f>
        <v>36</v>
      </c>
      <c r="S36" s="41" t="str">
        <f>IFERROR(__xludf.DUMMYFUNCTION("""COMPUTED_VALUE"""),"NT$9,800")</f>
        <v>NT$9,800</v>
      </c>
      <c r="T36" s="41" t="str">
        <f>IFERROR(__xludf.DUMMYFUNCTION("""COMPUTED_VALUE"""),"iPad (第七代) 32GB WIFI(A2197)")</f>
        <v>iPad (第七代) 32GB WIFI(A2197)</v>
      </c>
      <c r="U36" s="41"/>
      <c r="V36" s="41"/>
      <c r="W36" s="41"/>
      <c r="X36" s="45" t="str">
        <f>IFERROR(__xludf.DUMMYFUNCTION("""COMPUTED_VALUE"""),"")</f>
        <v/>
      </c>
      <c r="Y36" s="41"/>
      <c r="Z36" s="41"/>
      <c r="AA36" s="41"/>
      <c r="AB36" s="41"/>
      <c r="AC36" s="41"/>
      <c r="AD36" s="41"/>
      <c r="AE36" s="41"/>
      <c r="AF36" s="41"/>
      <c r="AG36" s="41"/>
      <c r="AH36" s="41"/>
    </row>
    <row r="37">
      <c r="B37" s="41"/>
      <c r="C37" s="41" t="str">
        <f>IFERROR(__xludf.DUMMYFUNCTION("""COMPUTED_VALUE"""),"滿三年更換")</f>
        <v>滿三年更換</v>
      </c>
      <c r="D37" s="41" t="str">
        <f>IFERROR(__xludf.DUMMYFUNCTION("""COMPUTED_VALUE"""),"TW")</f>
        <v>TW</v>
      </c>
      <c r="E37" s="41"/>
      <c r="F37" s="41"/>
      <c r="G37" s="41"/>
      <c r="H37" s="65" t="str">
        <f>IFERROR(__xludf.DUMMYFUNCTION("""COMPUTED_VALUE"""),"研發中心:軟體工程部:QE團隊")</f>
        <v>研發中心:軟體工程部:QE團隊</v>
      </c>
      <c r="I37" s="41" t="str">
        <f>IFERROR(__xludf.DUMMYFUNCTION("""COMPUTED_VALUE"""),"資訊裝置")</f>
        <v>資訊裝置</v>
      </c>
      <c r="J37" s="41" t="str">
        <f>IFERROR(__xludf.DUMMYFUNCTION("""COMPUTED_VALUE"""),"AICHMP02212054")</f>
        <v>AICHMP02212054</v>
      </c>
      <c r="K37" s="41" t="str">
        <f>IFERROR(__xludf.DUMMYFUNCTION("""COMPUTED_VALUE"""),"Macbook Pro")</f>
        <v>Macbook Pro</v>
      </c>
      <c r="L37" s="41" t="str">
        <f>IFERROR(__xludf.DUMMYFUNCTION("""COMPUTED_VALUE"""),"RDYTFP9729")</f>
        <v>RDYTFP9729</v>
      </c>
      <c r="M37" s="41" t="str">
        <f>IFERROR(__xludf.DUMMYFUNCTION("""COMPUTED_VALUE"""),"李怡萱")</f>
        <v>李怡萱</v>
      </c>
      <c r="N37" s="65">
        <f>IFERROR(__xludf.DUMMYFUNCTION("""COMPUTED_VALUE"""),44924.0)</f>
        <v>44924</v>
      </c>
      <c r="O37" s="45">
        <f>IFERROR(__xludf.DUMMYFUNCTION("""COMPUTED_VALUE"""),68300.0)</f>
        <v>68300</v>
      </c>
      <c r="P37" s="41" t="str">
        <f>IFERROR(__xludf.DUMMYFUNCTION("""COMPUTED_VALUE"""),"資訊裝置")</f>
        <v>資訊裝置</v>
      </c>
      <c r="Q37" s="41">
        <f>IFERROR(__xludf.DUMMYFUNCTION("""COMPUTED_VALUE"""),36.0)</f>
        <v>36</v>
      </c>
      <c r="R37" s="41">
        <f>IFERROR(__xludf.DUMMYFUNCTION("""COMPUTED_VALUE"""),34.0)</f>
        <v>34</v>
      </c>
      <c r="S37" s="41" t="str">
        <f>IFERROR(__xludf.DUMMYFUNCTION("""COMPUTED_VALUE"""),"NT$64,506")</f>
        <v>NT$64,506</v>
      </c>
      <c r="T37" s="41" t="str">
        <f>IFERROR(__xludf.DUMMYFUNCTION("""COMPUTED_VALUE"""),"A2442 MBP14 (2021) M1Pro/32GBRAM/512GBSSD")</f>
        <v>A2442 MBP14 (2021) M1Pro/32GBRAM/512GBSSD</v>
      </c>
      <c r="U37" s="41"/>
      <c r="V37" s="41"/>
      <c r="W37" s="41"/>
      <c r="X37" s="45" t="str">
        <f>IFERROR(__xludf.DUMMYFUNCTION("""COMPUTED_VALUE"""),"")</f>
        <v/>
      </c>
      <c r="Y37" s="41"/>
      <c r="Z37" s="41"/>
      <c r="AA37" s="41"/>
      <c r="AB37" s="41"/>
      <c r="AC37" s="41"/>
      <c r="AD37" s="41"/>
      <c r="AE37" s="41"/>
      <c r="AF37" s="41"/>
      <c r="AG37" s="41"/>
      <c r="AH37" s="41"/>
    </row>
    <row r="38">
      <c r="B38" s="41"/>
      <c r="C38" s="41" t="str">
        <f>IFERROR(__xludf.DUMMYFUNCTION("""COMPUTED_VALUE"""),"滿三年更換")</f>
        <v>滿三年更換</v>
      </c>
      <c r="D38" s="41" t="str">
        <f>IFERROR(__xludf.DUMMYFUNCTION("""COMPUTED_VALUE"""),"TW")</f>
        <v>TW</v>
      </c>
      <c r="E38" s="41"/>
      <c r="F38" s="41"/>
      <c r="G38" s="41"/>
      <c r="H38" s="65" t="str">
        <f>IFERROR(__xludf.DUMMYFUNCTION("""COMPUTED_VALUE"""),"研發中心:軟體工程部:QE團隊")</f>
        <v>研發中心:軟體工程部:QE團隊</v>
      </c>
      <c r="I38" s="41" t="str">
        <f>IFERROR(__xludf.DUMMYFUNCTION("""COMPUTED_VALUE"""),"資訊裝置")</f>
        <v>資訊裝置</v>
      </c>
      <c r="J38" s="41" t="str">
        <f>IFERROR(__xludf.DUMMYFUNCTION("""COMPUTED_VALUE"""),"AICHIP02011043")</f>
        <v>AICHIP02011043</v>
      </c>
      <c r="K38" s="41" t="str">
        <f>IFERROR(__xludf.DUMMYFUNCTION("""COMPUTED_VALUE"""),"iPad")</f>
        <v>iPad</v>
      </c>
      <c r="L38" s="41" t="str">
        <f>IFERROR(__xludf.DUMMYFUNCTION("""COMPUTED_VALUE"""),"DMPDMDJHQ1GF")</f>
        <v>DMPDMDJHQ1GF</v>
      </c>
      <c r="M38" s="41" t="str">
        <f>IFERROR(__xludf.DUMMYFUNCTION("""COMPUTED_VALUE"""),"李怡萱")</f>
        <v>李怡萱</v>
      </c>
      <c r="N38" s="65">
        <f>IFERROR(__xludf.DUMMYFUNCTION("""COMPUTED_VALUE"""),44165.0)</f>
        <v>44165</v>
      </c>
      <c r="O38" s="45">
        <f>IFERROR(__xludf.DUMMYFUNCTION("""COMPUTED_VALUE"""),9450.0)</f>
        <v>9450</v>
      </c>
      <c r="P38" s="41" t="str">
        <f>IFERROR(__xludf.DUMMYFUNCTION("""COMPUTED_VALUE"""),"資訊裝置")</f>
        <v>資訊裝置</v>
      </c>
      <c r="Q38" s="41">
        <f>IFERROR(__xludf.DUMMYFUNCTION("""COMPUTED_VALUE"""),36.0)</f>
        <v>36</v>
      </c>
      <c r="R38" s="41">
        <f>IFERROR(__xludf.DUMMYFUNCTION("""COMPUTED_VALUE"""),36.0)</f>
        <v>36</v>
      </c>
      <c r="S38" s="41" t="str">
        <f>IFERROR(__xludf.DUMMYFUNCTION("""COMPUTED_VALUE"""),"NT$9,450")</f>
        <v>NT$9,450</v>
      </c>
      <c r="T38" s="41" t="str">
        <f>IFERROR(__xludf.DUMMYFUNCTION("""COMPUTED_VALUE"""),"iPad (第八代) 32GB WIFI(A2270)")</f>
        <v>iPad (第八代) 32GB WIFI(A2270)</v>
      </c>
      <c r="U38" s="41"/>
      <c r="V38" s="41"/>
      <c r="W38" s="41"/>
      <c r="X38" s="45" t="str">
        <f>IFERROR(__xludf.DUMMYFUNCTION("""COMPUTED_VALUE"""),"")</f>
        <v/>
      </c>
      <c r="Y38" s="41"/>
      <c r="Z38" s="41"/>
      <c r="AA38" s="41"/>
      <c r="AB38" s="41"/>
      <c r="AC38" s="41"/>
      <c r="AD38" s="41"/>
      <c r="AE38" s="41"/>
      <c r="AF38" s="41"/>
      <c r="AG38" s="41"/>
      <c r="AH38" s="41"/>
    </row>
    <row r="39">
      <c r="B39" s="41"/>
      <c r="C39" s="41" t="str">
        <f>IFERROR(__xludf.DUMMYFUNCTION("""COMPUTED_VALUE"""),"滿三年更換")</f>
        <v>滿三年更換</v>
      </c>
      <c r="D39" s="41" t="str">
        <f>IFERROR(__xludf.DUMMYFUNCTION("""COMPUTED_VALUE"""),"TW")</f>
        <v>TW</v>
      </c>
      <c r="E39" s="41"/>
      <c r="F39" s="41"/>
      <c r="G39" s="41"/>
      <c r="H39" s="65" t="str">
        <f>IFERROR(__xludf.DUMMYFUNCTION("""COMPUTED_VALUE"""),"研發中心:軟體工程部:QE團隊")</f>
        <v>研發中心:軟體工程部:QE團隊</v>
      </c>
      <c r="I39" s="41" t="str">
        <f>IFERROR(__xludf.DUMMYFUNCTION("""COMPUTED_VALUE"""),"資訊裝置")</f>
        <v>資訊裝置</v>
      </c>
      <c r="J39" s="41" t="str">
        <f>IFERROR(__xludf.DUMMYFUNCTION("""COMPUTED_VALUE"""),"AICHIP02111080")</f>
        <v>AICHIP02111080</v>
      </c>
      <c r="K39" s="41" t="str">
        <f>IFERROR(__xludf.DUMMYFUNCTION("""COMPUTED_VALUE"""),"iPad 9")</f>
        <v>iPad 9</v>
      </c>
      <c r="L39" s="41" t="str">
        <f>IFERROR(__xludf.DUMMYFUNCTION("""COMPUTED_VALUE"""),"LC65HM2GVQ")</f>
        <v>LC65HM2GVQ</v>
      </c>
      <c r="M39" s="41" t="str">
        <f>IFERROR(__xludf.DUMMYFUNCTION("""COMPUTED_VALUE"""),"李怡萱")</f>
        <v>李怡萱</v>
      </c>
      <c r="N39" s="65">
        <f>IFERROR(__xludf.DUMMYFUNCTION("""COMPUTED_VALUE"""),44516.0)</f>
        <v>44516</v>
      </c>
      <c r="O39" s="45">
        <f>IFERROR(__xludf.DUMMYFUNCTION("""COMPUTED_VALUE"""),9450.0)</f>
        <v>9450</v>
      </c>
      <c r="P39" s="41" t="str">
        <f>IFERROR(__xludf.DUMMYFUNCTION("""COMPUTED_VALUE"""),"資訊裝置")</f>
        <v>資訊裝置</v>
      </c>
      <c r="Q39" s="41">
        <f>IFERROR(__xludf.DUMMYFUNCTION("""COMPUTED_VALUE"""),36.0)</f>
        <v>36</v>
      </c>
      <c r="R39" s="41">
        <f>IFERROR(__xludf.DUMMYFUNCTION("""COMPUTED_VALUE"""),36.0)</f>
        <v>36</v>
      </c>
      <c r="S39" s="41" t="str">
        <f>IFERROR(__xludf.DUMMYFUNCTION("""COMPUTED_VALUE"""),"NT$9,450")</f>
        <v>NT$9,450</v>
      </c>
      <c r="T39" s="41" t="str">
        <f>IFERROR(__xludf.DUMMYFUNCTION("""COMPUTED_VALUE"""),"iPad (第九代) 64GB WiFi(A2602)")</f>
        <v>iPad (第九代) 64GB WiFi(A2602)</v>
      </c>
      <c r="U39" s="41"/>
      <c r="V39" s="41"/>
      <c r="W39" s="41"/>
      <c r="X39" s="45" t="str">
        <f>IFERROR(__xludf.DUMMYFUNCTION("""COMPUTED_VALUE"""),"")</f>
        <v/>
      </c>
      <c r="Y39" s="41"/>
      <c r="Z39" s="41"/>
      <c r="AA39" s="41"/>
      <c r="AB39" s="41"/>
      <c r="AC39" s="41"/>
      <c r="AD39" s="41"/>
      <c r="AE39" s="41"/>
      <c r="AF39" s="41"/>
      <c r="AG39" s="41"/>
      <c r="AH39" s="41"/>
    </row>
    <row r="40">
      <c r="B40" s="41"/>
      <c r="C40" s="41" t="str">
        <f>IFERROR(__xludf.DUMMYFUNCTION("""COMPUTED_VALUE"""),"滿三年更換")</f>
        <v>滿三年更換</v>
      </c>
      <c r="D40" s="41" t="str">
        <f>IFERROR(__xludf.DUMMYFUNCTION("""COMPUTED_VALUE"""),"TW")</f>
        <v>TW</v>
      </c>
      <c r="E40" s="41"/>
      <c r="F40" s="41"/>
      <c r="G40" s="41"/>
      <c r="H40" s="65" t="str">
        <f>IFERROR(__xludf.DUMMYFUNCTION("""COMPUTED_VALUE"""),"研發中心:軟體工程部:QE團隊")</f>
        <v>研發中心:軟體工程部:QE團隊</v>
      </c>
      <c r="I40" s="41" t="str">
        <f>IFERROR(__xludf.DUMMYFUNCTION("""COMPUTED_VALUE"""),"資訊裝置")</f>
        <v>資訊裝置</v>
      </c>
      <c r="J40" s="41" t="str">
        <f>IFERROR(__xludf.DUMMYFUNCTION("""COMPUTED_VALUE"""),"AICHMN02108105")</f>
        <v>AICHMN02108105</v>
      </c>
      <c r="K40" s="41" t="str">
        <f>IFERROR(__xludf.DUMMYFUNCTION("""COMPUTED_VALUE"""),"螢幕")</f>
        <v>螢幕</v>
      </c>
      <c r="L40" s="41" t="str">
        <f>IFERROR(__xludf.DUMMYFUNCTION("""COMPUTED_VALUE"""),"CN-0458FC-WSL00-15Q-934B-A04")</f>
        <v>CN-0458FC-WSL00-15Q-934B-A04</v>
      </c>
      <c r="M40" s="41" t="str">
        <f>IFERROR(__xludf.DUMMYFUNCTION("""COMPUTED_VALUE"""),"李怡萱")</f>
        <v>李怡萱</v>
      </c>
      <c r="N40" s="65">
        <f>IFERROR(__xludf.DUMMYFUNCTION("""COMPUTED_VALUE"""),44418.0)</f>
        <v>44418</v>
      </c>
      <c r="O40" s="45">
        <f>IFERROR(__xludf.DUMMYFUNCTION("""COMPUTED_VALUE"""),5417.0)</f>
        <v>5417</v>
      </c>
      <c r="P40" s="41" t="str">
        <f>IFERROR(__xludf.DUMMYFUNCTION("""COMPUTED_VALUE"""),"資訊裝置")</f>
        <v>資訊裝置</v>
      </c>
      <c r="Q40" s="41">
        <f>IFERROR(__xludf.DUMMYFUNCTION("""COMPUTED_VALUE"""),36.0)</f>
        <v>36</v>
      </c>
      <c r="R40" s="41">
        <f>IFERROR(__xludf.DUMMYFUNCTION("""COMPUTED_VALUE"""),36.0)</f>
        <v>36</v>
      </c>
      <c r="S40" s="41" t="str">
        <f>IFERROR(__xludf.DUMMYFUNCTION("""COMPUTED_VALUE"""),"NT$5,417")</f>
        <v>NT$5,417</v>
      </c>
      <c r="T40" s="41" t="str">
        <f>IFERROR(__xludf.DUMMYFUNCTION("""COMPUTED_VALUE"""),"Dell 24吋 S2421HSX")</f>
        <v>Dell 24吋 S2421HSX</v>
      </c>
      <c r="U40" s="41"/>
      <c r="V40" s="41"/>
      <c r="W40" s="41"/>
      <c r="X40" s="45" t="str">
        <f>IFERROR(__xludf.DUMMYFUNCTION("""COMPUTED_VALUE"""),"")</f>
        <v/>
      </c>
      <c r="Y40" s="41"/>
      <c r="Z40" s="41"/>
      <c r="AA40" s="41"/>
      <c r="AB40" s="41"/>
      <c r="AC40" s="41"/>
      <c r="AD40" s="41"/>
      <c r="AE40" s="41"/>
      <c r="AF40" s="41"/>
      <c r="AG40" s="41"/>
      <c r="AH40" s="41"/>
    </row>
    <row r="41">
      <c r="B41" s="41"/>
      <c r="C41" s="41" t="str">
        <f>IFERROR(__xludf.DUMMYFUNCTION("""COMPUTED_VALUE"""),"滿三年更換")</f>
        <v>滿三年更換</v>
      </c>
      <c r="D41" s="41" t="str">
        <f>IFERROR(__xludf.DUMMYFUNCTION("""COMPUTED_VALUE"""),"TW")</f>
        <v>TW</v>
      </c>
      <c r="E41" s="41"/>
      <c r="F41" s="41"/>
      <c r="G41" s="41"/>
      <c r="H41" s="65" t="str">
        <f>IFERROR(__xludf.DUMMYFUNCTION("""COMPUTED_VALUE"""),"研發中心:軟體工程部:QE團隊")</f>
        <v>研發中心:軟體工程部:QE團隊</v>
      </c>
      <c r="I41" s="41" t="str">
        <f>IFERROR(__xludf.DUMMYFUNCTION("""COMPUTED_VALUE"""),"資訊裝置")</f>
        <v>資訊裝置</v>
      </c>
      <c r="J41" s="41" t="str">
        <f>IFERROR(__xludf.DUMMYFUNCTION("""COMPUTED_VALUE"""),"AICHMN02212121")</f>
        <v>AICHMN02212121</v>
      </c>
      <c r="K41" s="41" t="str">
        <f>IFERROR(__xludf.DUMMYFUNCTION("""COMPUTED_VALUE"""),"螢幕")</f>
        <v>螢幕</v>
      </c>
      <c r="L41" s="41" t="str">
        <f>IFERROR(__xludf.DUMMYFUNCTION("""COMPUTED_VALUE"""),"ET9AN01513019")</f>
        <v>ET9AN01513019</v>
      </c>
      <c r="M41" s="41" t="str">
        <f>IFERROR(__xludf.DUMMYFUNCTION("""COMPUTED_VALUE"""),"李怡萱")</f>
        <v>李怡萱</v>
      </c>
      <c r="N41" s="65">
        <f>IFERROR(__xludf.DUMMYFUNCTION("""COMPUTED_VALUE"""),44915.0)</f>
        <v>44915</v>
      </c>
      <c r="O41" s="45">
        <f>IFERROR(__xludf.DUMMYFUNCTION("""COMPUTED_VALUE"""),7893.0)</f>
        <v>7893</v>
      </c>
      <c r="P41" s="41" t="str">
        <f>IFERROR(__xludf.DUMMYFUNCTION("""COMPUTED_VALUE"""),"資訊裝置")</f>
        <v>資訊裝置</v>
      </c>
      <c r="Q41" s="41">
        <f>IFERROR(__xludf.DUMMYFUNCTION("""COMPUTED_VALUE"""),36.0)</f>
        <v>36</v>
      </c>
      <c r="R41" s="41">
        <f>IFERROR(__xludf.DUMMYFUNCTION("""COMPUTED_VALUE"""),34.0)</f>
        <v>34</v>
      </c>
      <c r="S41" s="41" t="str">
        <f>IFERROR(__xludf.DUMMYFUNCTION("""COMPUTED_VALUE"""),"NT$7,455")</f>
        <v>NT$7,455</v>
      </c>
      <c r="T41" s="41" t="str">
        <f>IFERROR(__xludf.DUMMYFUNCTION("""COMPUTED_VALUE"""),"BenQ 27吋 EW2780-T")</f>
        <v>BenQ 27吋 EW2780-T</v>
      </c>
      <c r="U41" s="41"/>
      <c r="V41" s="41"/>
      <c r="W41" s="41"/>
      <c r="X41" s="45" t="str">
        <f>IFERROR(__xludf.DUMMYFUNCTION("""COMPUTED_VALUE"""),"")</f>
        <v/>
      </c>
      <c r="Y41" s="41"/>
      <c r="Z41" s="41"/>
      <c r="AA41" s="41"/>
      <c r="AB41" s="41"/>
      <c r="AC41" s="41"/>
      <c r="AD41" s="41"/>
      <c r="AE41" s="41"/>
      <c r="AF41" s="41"/>
      <c r="AG41" s="41"/>
      <c r="AH41" s="41"/>
    </row>
    <row r="42">
      <c r="B42" s="41"/>
      <c r="C42" s="41" t="str">
        <f>IFERROR(__xludf.DUMMYFUNCTION("""COMPUTED_VALUE"""),"滿三年更換")</f>
        <v>滿三年更換</v>
      </c>
      <c r="D42" s="41" t="str">
        <f>IFERROR(__xludf.DUMMYFUNCTION("""COMPUTED_VALUE"""),"TW")</f>
        <v>TW</v>
      </c>
      <c r="E42" s="41"/>
      <c r="F42" s="41"/>
      <c r="G42" s="41"/>
      <c r="H42" s="65" t="str">
        <f>IFERROR(__xludf.DUMMYFUNCTION("""COMPUTED_VALUE"""),"研發中心:軟體工程部:QE團隊")</f>
        <v>研發中心:軟體工程部:QE團隊</v>
      </c>
      <c r="I42" s="41" t="str">
        <f>IFERROR(__xludf.DUMMYFUNCTION("""COMPUTED_VALUE"""),"資訊裝置")</f>
        <v>資訊裝置</v>
      </c>
      <c r="J42" s="41" t="str">
        <f>IFERROR(__xludf.DUMMYFUNCTION("""COMPUTED_VALUE"""),"AICHMC02106009")</f>
        <v>AICHMC02106009</v>
      </c>
      <c r="K42" s="41" t="str">
        <f>IFERROR(__xludf.DUMMYFUNCTION("""COMPUTED_VALUE"""),"Mac mini")</f>
        <v>Mac mini</v>
      </c>
      <c r="L42" s="41" t="str">
        <f>IFERROR(__xludf.DUMMYFUNCTION("""COMPUTED_VALUE"""),"C07FQ160Q6P0")</f>
        <v>C07FQ160Q6P0</v>
      </c>
      <c r="M42" s="41" t="str">
        <f>IFERROR(__xludf.DUMMYFUNCTION("""COMPUTED_VALUE"""),"李冠宇")</f>
        <v>李冠宇</v>
      </c>
      <c r="N42" s="65">
        <f>IFERROR(__xludf.DUMMYFUNCTION("""COMPUTED_VALUE"""),44350.0)</f>
        <v>44350</v>
      </c>
      <c r="O42" s="45">
        <f>IFERROR(__xludf.DUMMYFUNCTION("""COMPUTED_VALUE"""),68300.0)</f>
        <v>68300</v>
      </c>
      <c r="P42" s="41" t="str">
        <f>IFERROR(__xludf.DUMMYFUNCTION("""COMPUTED_VALUE"""),"資訊裝置")</f>
        <v>資訊裝置</v>
      </c>
      <c r="Q42" s="41">
        <f>IFERROR(__xludf.DUMMYFUNCTION("""COMPUTED_VALUE"""),36.0)</f>
        <v>36</v>
      </c>
      <c r="R42" s="41">
        <f>IFERROR(__xludf.DUMMYFUNCTION("""COMPUTED_VALUE"""),36.0)</f>
        <v>36</v>
      </c>
      <c r="S42" s="41" t="str">
        <f>IFERROR(__xludf.DUMMYFUNCTION("""COMPUTED_VALUE"""),"NT$68,300")</f>
        <v>NT$68,300</v>
      </c>
      <c r="T42" s="41" t="str">
        <f>IFERROR(__xludf.DUMMYFUNCTION("""COMPUTED_VALUE"""),"Macmini(2020) M1/16GB")</f>
        <v>Macmini(2020) M1/16GB</v>
      </c>
      <c r="U42" s="41"/>
      <c r="V42" s="41"/>
      <c r="W42" s="41"/>
      <c r="X42" s="45" t="str">
        <f>IFERROR(__xludf.DUMMYFUNCTION("""COMPUTED_VALUE"""),"")</f>
        <v/>
      </c>
      <c r="Y42" s="41"/>
      <c r="Z42" s="41"/>
      <c r="AA42" s="41"/>
      <c r="AB42" s="41"/>
      <c r="AC42" s="41"/>
      <c r="AD42" s="41"/>
      <c r="AE42" s="41"/>
      <c r="AF42" s="41"/>
      <c r="AG42" s="41"/>
      <c r="AH42" s="41"/>
    </row>
    <row r="43">
      <c r="B43" s="41"/>
      <c r="C43" s="41" t="str">
        <f>IFERROR(__xludf.DUMMYFUNCTION("""COMPUTED_VALUE"""),"滿三年更換")</f>
        <v>滿三年更換</v>
      </c>
      <c r="D43" s="41" t="str">
        <f>IFERROR(__xludf.DUMMYFUNCTION("""COMPUTED_VALUE"""),"TW")</f>
        <v>TW</v>
      </c>
      <c r="E43" s="41"/>
      <c r="F43" s="41"/>
      <c r="G43" s="41"/>
      <c r="H43" s="65" t="str">
        <f>IFERROR(__xludf.DUMMYFUNCTION("""COMPUTED_VALUE"""),"研發中心:軟體工程部:QE團隊")</f>
        <v>研發中心:軟體工程部:QE團隊</v>
      </c>
      <c r="I43" s="41" t="str">
        <f>IFERROR(__xludf.DUMMYFUNCTION("""COMPUTED_VALUE"""),"資訊裝置")</f>
        <v>資訊裝置</v>
      </c>
      <c r="J43" s="41" t="str">
        <f>IFERROR(__xludf.DUMMYFUNCTION("""COMPUTED_VALUE"""),"AICHIP02206084")</f>
        <v>AICHIP02206084</v>
      </c>
      <c r="K43" s="41" t="str">
        <f>IFERROR(__xludf.DUMMYFUNCTION("""COMPUTED_VALUE"""),"iPad mini")</f>
        <v>iPad mini</v>
      </c>
      <c r="L43" s="41" t="str">
        <f>IFERROR(__xludf.DUMMYFUNCTION("""COMPUTED_VALUE"""),"G97X37XG65")</f>
        <v>G97X37XG65</v>
      </c>
      <c r="M43" s="41" t="str">
        <f>IFERROR(__xludf.DUMMYFUNCTION("""COMPUTED_VALUE"""),"李冠宇")</f>
        <v>李冠宇</v>
      </c>
      <c r="N43" s="65">
        <f>IFERROR(__xludf.DUMMYFUNCTION("""COMPUTED_VALUE"""),44740.0)</f>
        <v>44740</v>
      </c>
      <c r="O43" s="45">
        <f>IFERROR(__xludf.DUMMYFUNCTION("""COMPUTED_VALUE"""),13410.0)</f>
        <v>13410</v>
      </c>
      <c r="P43" s="41" t="str">
        <f>IFERROR(__xludf.DUMMYFUNCTION("""COMPUTED_VALUE"""),"資訊裝置")</f>
        <v>資訊裝置</v>
      </c>
      <c r="Q43" s="41">
        <f>IFERROR(__xludf.DUMMYFUNCTION("""COMPUTED_VALUE"""),36.0)</f>
        <v>36</v>
      </c>
      <c r="R43" s="41">
        <f>IFERROR(__xludf.DUMMYFUNCTION("""COMPUTED_VALUE"""),36.0)</f>
        <v>36</v>
      </c>
      <c r="S43" s="41" t="str">
        <f>IFERROR(__xludf.DUMMYFUNCTION("""COMPUTED_VALUE"""),"NT$13,410")</f>
        <v>NT$13,410</v>
      </c>
      <c r="T43" s="41" t="str">
        <f>IFERROR(__xludf.DUMMYFUNCTION("""COMPUTED_VALUE"""),"iPad mini(第六代) 64GB WIFI(MK7M3TA/A)")</f>
        <v>iPad mini(第六代) 64GB WIFI(MK7M3TA/A)</v>
      </c>
      <c r="U43" s="41"/>
      <c r="V43" s="41"/>
      <c r="W43" s="41"/>
      <c r="X43" s="45" t="str">
        <f>IFERROR(__xludf.DUMMYFUNCTION("""COMPUTED_VALUE"""),"")</f>
        <v/>
      </c>
      <c r="Y43" s="41"/>
      <c r="Z43" s="41"/>
      <c r="AA43" s="41"/>
      <c r="AB43" s="41"/>
      <c r="AC43" s="41"/>
      <c r="AD43" s="41"/>
      <c r="AE43" s="41"/>
      <c r="AF43" s="41"/>
      <c r="AG43" s="41"/>
      <c r="AH43" s="41"/>
    </row>
    <row r="44">
      <c r="B44" s="41"/>
      <c r="C44" s="41" t="str">
        <f>IFERROR(__xludf.DUMMYFUNCTION("""COMPUTED_VALUE"""),"滿三年更換")</f>
        <v>滿三年更換</v>
      </c>
      <c r="D44" s="41" t="str">
        <f>IFERROR(__xludf.DUMMYFUNCTION("""COMPUTED_VALUE"""),"TW")</f>
        <v>TW</v>
      </c>
      <c r="E44" s="41"/>
      <c r="F44" s="41"/>
      <c r="G44" s="41"/>
      <c r="H44" s="65" t="str">
        <f>IFERROR(__xludf.DUMMYFUNCTION("""COMPUTED_VALUE"""),"研發中心:產品設計部:產品經理團隊")</f>
        <v>研發中心:產品設計部:產品經理團隊</v>
      </c>
      <c r="I44" s="41" t="str">
        <f>IFERROR(__xludf.DUMMYFUNCTION("""COMPUTED_VALUE"""),"資訊裝置")</f>
        <v>資訊裝置</v>
      </c>
      <c r="J44" s="41" t="str">
        <f>IFERROR(__xludf.DUMMYFUNCTION("""COMPUTED_VALUE"""),"AICHMN01811049")</f>
        <v>AICHMN01811049</v>
      </c>
      <c r="K44" s="41" t="str">
        <f>IFERROR(__xludf.DUMMYFUNCTION("""COMPUTED_VALUE"""),"螢幕")</f>
        <v>螢幕</v>
      </c>
      <c r="L44" s="41" t="str">
        <f>IFERROR(__xludf.DUMMYFUNCTION("""COMPUTED_VALUE"""),"CN-07N2FG-TV100-88G-06VU-A08")</f>
        <v>CN-07N2FG-TV100-88G-06VU-A08</v>
      </c>
      <c r="M44" s="41" t="str">
        <f>IFERROR(__xludf.DUMMYFUNCTION("""COMPUTED_VALUE"""),"李珈錡")</f>
        <v>李珈錡</v>
      </c>
      <c r="N44" s="66">
        <f>IFERROR(__xludf.DUMMYFUNCTION("""COMPUTED_VALUE"""),43397.0)</f>
        <v>43397</v>
      </c>
      <c r="O44" s="45">
        <f>IFERROR(__xludf.DUMMYFUNCTION("""COMPUTED_VALUE"""),5512.0)</f>
        <v>5512</v>
      </c>
      <c r="P44" s="41" t="str">
        <f>IFERROR(__xludf.DUMMYFUNCTION("""COMPUTED_VALUE"""),"資訊裝置")</f>
        <v>資訊裝置</v>
      </c>
      <c r="Q44" s="41">
        <f>IFERROR(__xludf.DUMMYFUNCTION("""COMPUTED_VALUE"""),36.0)</f>
        <v>36</v>
      </c>
      <c r="R44" s="41">
        <f>IFERROR(__xludf.DUMMYFUNCTION("""COMPUTED_VALUE"""),36.0)</f>
        <v>36</v>
      </c>
      <c r="S44" s="41" t="str">
        <f>IFERROR(__xludf.DUMMYFUNCTION("""COMPUTED_VALUE"""),"NT$5,512")</f>
        <v>NT$5,512</v>
      </c>
      <c r="T44" s="41" t="str">
        <f>IFERROR(__xludf.DUMMYFUNCTION("""COMPUTED_VALUE"""),"Dell 24吋 U2412Mc")</f>
        <v>Dell 24吋 U2412Mc</v>
      </c>
      <c r="U44" s="41"/>
      <c r="V44" s="41"/>
      <c r="W44" s="41"/>
      <c r="X44" s="45" t="str">
        <f>IFERROR(__xludf.DUMMYFUNCTION("""COMPUTED_VALUE"""),"")</f>
        <v/>
      </c>
      <c r="Y44" s="41"/>
      <c r="Z44" s="41"/>
      <c r="AA44" s="41"/>
      <c r="AB44" s="41"/>
      <c r="AC44" s="41"/>
      <c r="AD44" s="41"/>
      <c r="AE44" s="41"/>
      <c r="AF44" s="41"/>
      <c r="AG44" s="41"/>
      <c r="AH44" s="41"/>
    </row>
    <row r="45">
      <c r="B45" s="41"/>
      <c r="C45" s="41" t="str">
        <f>IFERROR(__xludf.DUMMYFUNCTION("""COMPUTED_VALUE"""),"滿三年更換")</f>
        <v>滿三年更換</v>
      </c>
      <c r="D45" s="41" t="str">
        <f>IFERROR(__xludf.DUMMYFUNCTION("""COMPUTED_VALUE"""),"TW")</f>
        <v>TW</v>
      </c>
      <c r="E45" s="41"/>
      <c r="F45" s="41"/>
      <c r="G45" s="41"/>
      <c r="H45" s="65" t="str">
        <f>IFERROR(__xludf.DUMMYFUNCTION("""COMPUTED_VALUE"""),"行銷營運中心:社群關係部:餐廳社群團隊")</f>
        <v>行銷營運中心:社群關係部:餐廳社群團隊</v>
      </c>
      <c r="I45" s="41" t="str">
        <f>IFERROR(__xludf.DUMMYFUNCTION("""COMPUTED_VALUE"""),"資訊裝置")</f>
        <v>資訊裝置</v>
      </c>
      <c r="J45" s="41" t="str">
        <f>IFERROR(__xludf.DUMMYFUNCTION("""COMPUTED_VALUE"""),"AICHMN01910060")</f>
        <v>AICHMN01910060</v>
      </c>
      <c r="K45" s="41" t="str">
        <f>IFERROR(__xludf.DUMMYFUNCTION("""COMPUTED_VALUE"""),"螢幕")</f>
        <v>螢幕</v>
      </c>
      <c r="L45" s="41" t="str">
        <f>IFERROR(__xludf.DUMMYFUNCTION("""COMPUTED_VALUE"""),"CN-07N2FG-TV100-97A-018B-A10")</f>
        <v>CN-07N2FG-TV100-97A-018B-A10</v>
      </c>
      <c r="M45" s="41" t="str">
        <f>IFERROR(__xludf.DUMMYFUNCTION("""COMPUTED_VALUE"""),"車欣蓓")</f>
        <v>車欣蓓</v>
      </c>
      <c r="N45" s="66">
        <f>IFERROR(__xludf.DUMMYFUNCTION("""COMPUTED_VALUE"""),43769.0)</f>
        <v>43769</v>
      </c>
      <c r="O45" s="41"/>
      <c r="P45" s="41" t="str">
        <f>IFERROR(__xludf.DUMMYFUNCTION("""COMPUTED_VALUE"""),"資訊裝置")</f>
        <v>資訊裝置</v>
      </c>
      <c r="Q45" s="41">
        <f>IFERROR(__xludf.DUMMYFUNCTION("""COMPUTED_VALUE"""),36.0)</f>
        <v>36</v>
      </c>
      <c r="R45" s="41">
        <f>IFERROR(__xludf.DUMMYFUNCTION("""COMPUTED_VALUE"""),36.0)</f>
        <v>36</v>
      </c>
      <c r="S45" s="41" t="str">
        <f>IFERROR(__xludf.DUMMYFUNCTION("""COMPUTED_VALUE"""),"NT$0")</f>
        <v>NT$0</v>
      </c>
      <c r="T45" s="41" t="str">
        <f>IFERROR(__xludf.DUMMYFUNCTION("""COMPUTED_VALUE"""),"Dell 24吋 U2412M")</f>
        <v>Dell 24吋 U2412M</v>
      </c>
      <c r="U45" s="41"/>
      <c r="V45" s="41"/>
      <c r="W45" s="41"/>
      <c r="X45" s="45" t="str">
        <f>IFERROR(__xludf.DUMMYFUNCTION("""COMPUTED_VALUE"""),"")</f>
        <v/>
      </c>
      <c r="Y45" s="41"/>
      <c r="Z45" s="41"/>
      <c r="AA45" s="41"/>
      <c r="AB45" s="41"/>
      <c r="AC45" s="41"/>
      <c r="AD45" s="41"/>
      <c r="AE45" s="41"/>
      <c r="AF45" s="41"/>
      <c r="AG45" s="41"/>
      <c r="AH45" s="41"/>
    </row>
    <row r="46">
      <c r="B46" s="41"/>
      <c r="C46" s="41" t="str">
        <f>IFERROR(__xludf.DUMMYFUNCTION("""COMPUTED_VALUE"""),"滿三年更換")</f>
        <v>滿三年更換</v>
      </c>
      <c r="D46" s="41" t="str">
        <f>IFERROR(__xludf.DUMMYFUNCTION("""COMPUTED_VALUE"""),"TW")</f>
        <v>TW</v>
      </c>
      <c r="E46" s="41"/>
      <c r="F46" s="41"/>
      <c r="G46" s="41"/>
      <c r="H46" s="65" t="str">
        <f>IFERROR(__xludf.DUMMYFUNCTION("""COMPUTED_VALUE"""),"客戶價值中心:客戶成功管理部:PE團隊")</f>
        <v>客戶價值中心:客戶成功管理部:PE團隊</v>
      </c>
      <c r="I46" s="41" t="str">
        <f>IFERROR(__xludf.DUMMYFUNCTION("""COMPUTED_VALUE"""),"資訊裝置")</f>
        <v>資訊裝置</v>
      </c>
      <c r="J46" s="41" t="str">
        <f>IFERROR(__xludf.DUMMYFUNCTION("""COMPUTED_VALUE"""),"AICHIP02105056")</f>
        <v>AICHIP02105056</v>
      </c>
      <c r="K46" s="41" t="str">
        <f>IFERROR(__xludf.DUMMYFUNCTION("""COMPUTED_VALUE"""),"iPad")</f>
        <v>iPad</v>
      </c>
      <c r="L46" s="41" t="str">
        <f>IFERROR(__xludf.DUMMYFUNCTION("""COMPUTED_VALUE"""),"DMPD3H1AMF3P")</f>
        <v>DMPD3H1AMF3P</v>
      </c>
      <c r="M46" s="41" t="str">
        <f>IFERROR(__xludf.DUMMYFUNCTION("""COMPUTED_VALUE"""),"周玟萱")</f>
        <v>周玟萱</v>
      </c>
      <c r="N46" s="65">
        <f>IFERROR(__xludf.DUMMYFUNCTION("""COMPUTED_VALUE"""),44341.0)</f>
        <v>44341</v>
      </c>
      <c r="O46" s="45">
        <f>IFERROR(__xludf.DUMMYFUNCTION("""COMPUTED_VALUE"""),8640.0)</f>
        <v>8640</v>
      </c>
      <c r="P46" s="41" t="str">
        <f>IFERROR(__xludf.DUMMYFUNCTION("""COMPUTED_VALUE"""),"資訊裝置")</f>
        <v>資訊裝置</v>
      </c>
      <c r="Q46" s="41">
        <f>IFERROR(__xludf.DUMMYFUNCTION("""COMPUTED_VALUE"""),36.0)</f>
        <v>36</v>
      </c>
      <c r="R46" s="41">
        <f>IFERROR(__xludf.DUMMYFUNCTION("""COMPUTED_VALUE"""),36.0)</f>
        <v>36</v>
      </c>
      <c r="S46" s="41" t="str">
        <f>IFERROR(__xludf.DUMMYFUNCTION("""COMPUTED_VALUE"""),"NT$8,640")</f>
        <v>NT$8,640</v>
      </c>
      <c r="T46" s="41" t="str">
        <f>IFERROR(__xludf.DUMMYFUNCTION("""COMPUTED_VALUE"""),"iPad (第七代) 32GB WIFI(A2197)")</f>
        <v>iPad (第七代) 32GB WIFI(A2197)</v>
      </c>
      <c r="U46" s="41"/>
      <c r="V46" s="41"/>
      <c r="W46" s="41"/>
      <c r="X46" s="45" t="str">
        <f>IFERROR(__xludf.DUMMYFUNCTION("""COMPUTED_VALUE"""),"")</f>
        <v/>
      </c>
      <c r="Y46" s="41"/>
      <c r="Z46" s="41"/>
      <c r="AA46" s="41"/>
      <c r="AB46" s="41"/>
      <c r="AC46" s="41"/>
      <c r="AD46" s="41"/>
      <c r="AE46" s="41"/>
      <c r="AF46" s="41"/>
      <c r="AG46" s="41"/>
      <c r="AH46" s="41"/>
    </row>
    <row r="47">
      <c r="B47" s="41"/>
      <c r="C47" s="41" t="str">
        <f>IFERROR(__xludf.DUMMYFUNCTION("""COMPUTED_VALUE"""),"滿三年更換")</f>
        <v>滿三年更換</v>
      </c>
      <c r="D47" s="41" t="str">
        <f>IFERROR(__xludf.DUMMYFUNCTION("""COMPUTED_VALUE"""),"TW")</f>
        <v>TW</v>
      </c>
      <c r="E47" s="41"/>
      <c r="F47" s="41"/>
      <c r="G47" s="41"/>
      <c r="H47" s="65" t="str">
        <f>IFERROR(__xludf.DUMMYFUNCTION("""COMPUTED_VALUE"""),"客戶價值中心:客戶成功管理部:PE團隊")</f>
        <v>客戶價值中心:客戶成功管理部:PE團隊</v>
      </c>
      <c r="I47" s="41" t="str">
        <f>IFERROR(__xludf.DUMMYFUNCTION("""COMPUTED_VALUE"""),"資訊裝置")</f>
        <v>資訊裝置</v>
      </c>
      <c r="J47" s="41" t="str">
        <f>IFERROR(__xludf.DUMMYFUNCTION("""COMPUTED_VALUE"""),"AICHMN01604030")</f>
        <v>AICHMN01604030</v>
      </c>
      <c r="K47" s="41" t="str">
        <f>IFERROR(__xludf.DUMMYFUNCTION("""COMPUTED_VALUE"""),"螢幕")</f>
        <v>螢幕</v>
      </c>
      <c r="L47" s="41" t="str">
        <f>IFERROR(__xludf.DUMMYFUNCTION("""COMPUTED_VALUE"""),"CN-03W9XD-74261-477-7URS")</f>
        <v>CN-03W9XD-74261-477-7URS</v>
      </c>
      <c r="M47" s="41" t="str">
        <f>IFERROR(__xludf.DUMMYFUNCTION("""COMPUTED_VALUE"""),"周玟萱")</f>
        <v>周玟萱</v>
      </c>
      <c r="N47" s="65">
        <f>IFERROR(__xludf.DUMMYFUNCTION("""COMPUTED_VALUE"""),42468.0)</f>
        <v>42468</v>
      </c>
      <c r="O47" s="41"/>
      <c r="P47" s="41" t="str">
        <f>IFERROR(__xludf.DUMMYFUNCTION("""COMPUTED_VALUE"""),"資訊裝置")</f>
        <v>資訊裝置</v>
      </c>
      <c r="Q47" s="41">
        <f>IFERROR(__xludf.DUMMYFUNCTION("""COMPUTED_VALUE"""),36.0)</f>
        <v>36</v>
      </c>
      <c r="R47" s="41">
        <f>IFERROR(__xludf.DUMMYFUNCTION("""COMPUTED_VALUE"""),36.0)</f>
        <v>36</v>
      </c>
      <c r="S47" s="41" t="str">
        <f>IFERROR(__xludf.DUMMYFUNCTION("""COMPUTED_VALUE"""),"NT$0")</f>
        <v>NT$0</v>
      </c>
      <c r="T47" s="41" t="str">
        <f>IFERROR(__xludf.DUMMYFUNCTION("""COMPUTED_VALUE"""),"Dell 24吋 U2412Mb")</f>
        <v>Dell 24吋 U2412Mb</v>
      </c>
      <c r="U47" s="41"/>
      <c r="V47" s="41"/>
      <c r="W47" s="41"/>
      <c r="X47" s="45" t="str">
        <f>IFERROR(__xludf.DUMMYFUNCTION("""COMPUTED_VALUE"""),"")</f>
        <v/>
      </c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>
      <c r="B48" s="41"/>
      <c r="C48" s="41" t="str">
        <f>IFERROR(__xludf.DUMMYFUNCTION("""COMPUTED_VALUE"""),"滿三年更換")</f>
        <v>滿三年更換</v>
      </c>
      <c r="D48" s="41" t="str">
        <f>IFERROR(__xludf.DUMMYFUNCTION("""COMPUTED_VALUE"""),"TW")</f>
        <v>TW</v>
      </c>
      <c r="E48" s="41"/>
      <c r="F48" s="41"/>
      <c r="G48" s="41"/>
      <c r="H48" s="65" t="str">
        <f>IFERROR(__xludf.DUMMYFUNCTION("""COMPUTED_VALUE"""),"客戶價值中心:客戶關係管理部:客服團隊 POS/OMO")</f>
        <v>客戶價值中心:客戶關係管理部:客服團隊 POS/OMO</v>
      </c>
      <c r="I48" s="41" t="str">
        <f>IFERROR(__xludf.DUMMYFUNCTION("""COMPUTED_VALUE"""),"資訊裝置")</f>
        <v>資訊裝置</v>
      </c>
      <c r="J48" s="41" t="str">
        <f>IFERROR(__xludf.DUMMYFUNCTION("""COMPUTED_VALUE"""),"AICHMA02107032")</f>
        <v>AICHMA02107032</v>
      </c>
      <c r="K48" s="41" t="str">
        <f>IFERROR(__xludf.DUMMYFUNCTION("""COMPUTED_VALUE"""),"Macbook Air")</f>
        <v>Macbook Air</v>
      </c>
      <c r="L48" s="41" t="str">
        <f>IFERROR(__xludf.DUMMYFUNCTION("""COMPUTED_VALUE"""),"FVFFV30QQ6LC")</f>
        <v>FVFFV30QQ6LC</v>
      </c>
      <c r="M48" s="41" t="str">
        <f>IFERROR(__xludf.DUMMYFUNCTION("""COMPUTED_VALUE"""),"周思吟")</f>
        <v>周思吟</v>
      </c>
      <c r="N48" s="65">
        <f>IFERROR(__xludf.DUMMYFUNCTION("""COMPUTED_VALUE"""),44397.0)</f>
        <v>44397</v>
      </c>
      <c r="O48" s="45">
        <f>IFERROR(__xludf.DUMMYFUNCTION("""COMPUTED_VALUE"""),27075.0)</f>
        <v>27075</v>
      </c>
      <c r="P48" s="41" t="str">
        <f>IFERROR(__xludf.DUMMYFUNCTION("""COMPUTED_VALUE"""),"資訊裝置")</f>
        <v>資訊裝置</v>
      </c>
      <c r="Q48" s="41">
        <f>IFERROR(__xludf.DUMMYFUNCTION("""COMPUTED_VALUE"""),36.0)</f>
        <v>36</v>
      </c>
      <c r="R48" s="41">
        <f>IFERROR(__xludf.DUMMYFUNCTION("""COMPUTED_VALUE"""),36.0)</f>
        <v>36</v>
      </c>
      <c r="S48" s="41" t="str">
        <f>IFERROR(__xludf.DUMMYFUNCTION("""COMPUTED_VALUE"""),"NT$27,075")</f>
        <v>NT$27,075</v>
      </c>
      <c r="T48" s="41" t="str">
        <f>IFERROR(__xludf.DUMMYFUNCTION("""COMPUTED_VALUE"""),"A2337 MBA13 (2020) M1/8GBRAM/256GBSSD")</f>
        <v>A2337 MBA13 (2020) M1/8GBRAM/256GBSSD</v>
      </c>
      <c r="U48" s="41"/>
      <c r="V48" s="41"/>
      <c r="W48" s="41"/>
      <c r="X48" s="45" t="str">
        <f>IFERROR(__xludf.DUMMYFUNCTION("""COMPUTED_VALUE"""),"")</f>
        <v/>
      </c>
      <c r="Y48" s="41"/>
      <c r="Z48" s="41"/>
      <c r="AA48" s="41"/>
      <c r="AB48" s="41"/>
      <c r="AC48" s="41"/>
      <c r="AD48" s="41"/>
      <c r="AE48" s="41"/>
      <c r="AF48" s="41"/>
      <c r="AG48" s="41"/>
      <c r="AH48" s="41"/>
    </row>
    <row r="49">
      <c r="B49" s="41"/>
      <c r="C49" s="41" t="str">
        <f>IFERROR(__xludf.DUMMYFUNCTION("""COMPUTED_VALUE"""),"滿三年更換")</f>
        <v>滿三年更換</v>
      </c>
      <c r="D49" s="41" t="str">
        <f>IFERROR(__xludf.DUMMYFUNCTION("""COMPUTED_VALUE"""),"TW")</f>
        <v>TW</v>
      </c>
      <c r="E49" s="41"/>
      <c r="F49" s="41"/>
      <c r="G49" s="41"/>
      <c r="H49" s="65" t="str">
        <f>IFERROR(__xludf.DUMMYFUNCTION("""COMPUTED_VALUE"""),"研發中心:軟體工程部:前端團隊")</f>
        <v>研發中心:軟體工程部:前端團隊</v>
      </c>
      <c r="I49" s="41" t="str">
        <f>IFERROR(__xludf.DUMMYFUNCTION("""COMPUTED_VALUE"""),"資訊裝置")</f>
        <v>資訊裝置</v>
      </c>
      <c r="J49" s="41" t="str">
        <f>IFERROR(__xludf.DUMMYFUNCTION("""COMPUTED_VALUE"""),"AICHMP01904002")</f>
        <v>AICHMP01904002</v>
      </c>
      <c r="K49" s="41" t="str">
        <f>IFERROR(__xludf.DUMMYFUNCTION("""COMPUTED_VALUE"""),"Macbook Pro")</f>
        <v>Macbook Pro</v>
      </c>
      <c r="L49" s="41" t="str">
        <f>IFERROR(__xludf.DUMMYFUNCTION("""COMPUTED_VALUE"""),"FVFYF0ELHV2H")</f>
        <v>FVFYF0ELHV2H</v>
      </c>
      <c r="M49" s="41" t="str">
        <f>IFERROR(__xludf.DUMMYFUNCTION("""COMPUTED_VALUE"""),"周昱安")</f>
        <v>周昱安</v>
      </c>
      <c r="N49" s="65">
        <f>IFERROR(__xludf.DUMMYFUNCTION("""COMPUTED_VALUE"""),43585.0)</f>
        <v>43585</v>
      </c>
      <c r="O49" s="45">
        <f>IFERROR(__xludf.DUMMYFUNCTION("""COMPUTED_VALUE"""),54700.0)</f>
        <v>54700</v>
      </c>
      <c r="P49" s="41" t="str">
        <f>IFERROR(__xludf.DUMMYFUNCTION("""COMPUTED_VALUE"""),"資訊裝置")</f>
        <v>資訊裝置</v>
      </c>
      <c r="Q49" s="41">
        <f>IFERROR(__xludf.DUMMYFUNCTION("""COMPUTED_VALUE"""),36.0)</f>
        <v>36</v>
      </c>
      <c r="R49" s="41">
        <f>IFERROR(__xludf.DUMMYFUNCTION("""COMPUTED_VALUE"""),36.0)</f>
        <v>36</v>
      </c>
      <c r="S49" s="41" t="str">
        <f>IFERROR(__xludf.DUMMYFUNCTION("""COMPUTED_VALUE"""),"NT$54,700")</f>
        <v>NT$54,700</v>
      </c>
      <c r="T49" s="41" t="str">
        <f>IFERROR(__xludf.DUMMYFUNCTION("""COMPUTED_VALUE"""),"A1708 MBP14 (2019) i7/16GBRAM/256GBSSD")</f>
        <v>A1708 MBP14 (2019) i7/16GBRAM/256GBSSD</v>
      </c>
      <c r="U49" s="41"/>
      <c r="V49" s="41"/>
      <c r="W49" s="41"/>
      <c r="X49" s="45" t="str">
        <f>IFERROR(__xludf.DUMMYFUNCTION("""COMPUTED_VALUE"""),"")</f>
        <v/>
      </c>
      <c r="Y49" s="41"/>
      <c r="Z49" s="41"/>
      <c r="AA49" s="41"/>
      <c r="AB49" s="41"/>
      <c r="AC49" s="41"/>
      <c r="AD49" s="41"/>
      <c r="AE49" s="41"/>
      <c r="AF49" s="41"/>
      <c r="AG49" s="41"/>
      <c r="AH49" s="41"/>
    </row>
    <row r="50">
      <c r="B50" s="41"/>
      <c r="C50" s="41" t="str">
        <f>IFERROR(__xludf.DUMMYFUNCTION("""COMPUTED_VALUE"""),"滿三年更換")</f>
        <v>滿三年更換</v>
      </c>
      <c r="D50" s="41" t="str">
        <f>IFERROR(__xludf.DUMMYFUNCTION("""COMPUTED_VALUE"""),"TW")</f>
        <v>TW</v>
      </c>
      <c r="E50" s="41"/>
      <c r="F50" s="41"/>
      <c r="G50" s="41"/>
      <c r="H50" s="65" t="str">
        <f>IFERROR(__xludf.DUMMYFUNCTION("""COMPUTED_VALUE"""),"研發中心:軟體工程部:前端團隊")</f>
        <v>研發中心:軟體工程部:前端團隊</v>
      </c>
      <c r="I50" s="41" t="str">
        <f>IFERROR(__xludf.DUMMYFUNCTION("""COMPUTED_VALUE"""),"資訊裝置")</f>
        <v>資訊裝置</v>
      </c>
      <c r="J50" s="41" t="str">
        <f>IFERROR(__xludf.DUMMYFUNCTION("""COMPUTED_VALUE"""),"AICHMP02206047")</f>
        <v>AICHMP02206047</v>
      </c>
      <c r="K50" s="41" t="str">
        <f>IFERROR(__xludf.DUMMYFUNCTION("""COMPUTED_VALUE"""),"Macbook Pro")</f>
        <v>Macbook Pro</v>
      </c>
      <c r="L50" s="41" t="str">
        <f>IFERROR(__xludf.DUMMYFUNCTION("""COMPUTED_VALUE"""),"P6XWKRHY7D")</f>
        <v>P6XWKRHY7D</v>
      </c>
      <c r="M50" s="41" t="str">
        <f>IFERROR(__xludf.DUMMYFUNCTION("""COMPUTED_VALUE"""),"周昱安")</f>
        <v>周昱安</v>
      </c>
      <c r="N50" s="65">
        <f>IFERROR(__xludf.DUMMYFUNCTION("""COMPUTED_VALUE"""),44718.0)</f>
        <v>44718</v>
      </c>
      <c r="O50" s="45">
        <f>IFERROR(__xludf.DUMMYFUNCTION("""COMPUTED_VALUE"""),81450.0)</f>
        <v>81450</v>
      </c>
      <c r="P50" s="41" t="str">
        <f>IFERROR(__xludf.DUMMYFUNCTION("""COMPUTED_VALUE"""),"資訊裝置")</f>
        <v>資訊裝置</v>
      </c>
      <c r="Q50" s="41">
        <f>IFERROR(__xludf.DUMMYFUNCTION("""COMPUTED_VALUE"""),36.0)</f>
        <v>36</v>
      </c>
      <c r="R50" s="41">
        <f>IFERROR(__xludf.DUMMYFUNCTION("""COMPUTED_VALUE"""),36.0)</f>
        <v>36</v>
      </c>
      <c r="S50" s="41" t="str">
        <f>IFERROR(__xludf.DUMMYFUNCTION("""COMPUTED_VALUE"""),"NT$81,450")</f>
        <v>NT$81,450</v>
      </c>
      <c r="T50" s="41" t="str">
        <f>IFERROR(__xludf.DUMMYFUNCTION("""COMPUTED_VALUE"""),"A2442 MBP14 (2021) M1Max/32GBRAM/512GBSSD")</f>
        <v>A2442 MBP14 (2021) M1Max/32GBRAM/512GBSSD</v>
      </c>
      <c r="U50" s="41"/>
      <c r="V50" s="41"/>
      <c r="W50" s="41"/>
      <c r="X50" s="45" t="str">
        <f>IFERROR(__xludf.DUMMYFUNCTION("""COMPUTED_VALUE"""),"")</f>
        <v/>
      </c>
      <c r="Y50" s="41"/>
      <c r="Z50" s="41"/>
      <c r="AA50" s="41"/>
      <c r="AB50" s="41"/>
      <c r="AC50" s="41"/>
      <c r="AD50" s="41"/>
      <c r="AE50" s="41"/>
      <c r="AF50" s="41"/>
      <c r="AG50" s="41"/>
      <c r="AH50" s="41"/>
    </row>
    <row r="51">
      <c r="B51" s="41"/>
      <c r="C51" s="41" t="str">
        <f>IFERROR(__xludf.DUMMYFUNCTION("""COMPUTED_VALUE"""),"滿三年更換")</f>
        <v>滿三年更換</v>
      </c>
      <c r="D51" s="41" t="str">
        <f>IFERROR(__xludf.DUMMYFUNCTION("""COMPUTED_VALUE"""),"TW")</f>
        <v>TW</v>
      </c>
      <c r="E51" s="41"/>
      <c r="F51" s="41"/>
      <c r="G51" s="41"/>
      <c r="H51" s="65" t="str">
        <f>IFERROR(__xludf.DUMMYFUNCTION("""COMPUTED_VALUE"""),"研發中心:軟體工程部:前端團隊")</f>
        <v>研發中心:軟體工程部:前端團隊</v>
      </c>
      <c r="I51" s="41" t="str">
        <f>IFERROR(__xludf.DUMMYFUNCTION("""COMPUTED_VALUE"""),"資訊裝置")</f>
        <v>資訊裝置</v>
      </c>
      <c r="J51" s="41" t="str">
        <f>IFERROR(__xludf.DUMMYFUNCTION("""COMPUTED_VALUE"""),"AICHMN01606035")</f>
        <v>AICHMN01606035</v>
      </c>
      <c r="K51" s="41" t="str">
        <f>IFERROR(__xludf.DUMMYFUNCTION("""COMPUTED_VALUE"""),"螢幕")</f>
        <v>螢幕</v>
      </c>
      <c r="L51" s="41" t="str">
        <f>IFERROR(__xludf.DUMMYFUNCTION("""COMPUTED_VALUE"""),"CN-0MTYGK-64180-64F-077S-A02")</f>
        <v>CN-0MTYGK-64180-64F-077S-A02</v>
      </c>
      <c r="M51" s="41" t="str">
        <f>IFERROR(__xludf.DUMMYFUNCTION("""COMPUTED_VALUE"""),"周昱安")</f>
        <v>周昱安</v>
      </c>
      <c r="N51" s="65">
        <f>IFERROR(__xludf.DUMMYFUNCTION("""COMPUTED_VALUE"""),42527.0)</f>
        <v>42527</v>
      </c>
      <c r="O51" s="45">
        <f>IFERROR(__xludf.DUMMYFUNCTION("""COMPUTED_VALUE"""),8400.0)</f>
        <v>8400</v>
      </c>
      <c r="P51" s="41" t="str">
        <f>IFERROR(__xludf.DUMMYFUNCTION("""COMPUTED_VALUE"""),"資訊裝置")</f>
        <v>資訊裝置</v>
      </c>
      <c r="Q51" s="41">
        <f>IFERROR(__xludf.DUMMYFUNCTION("""COMPUTED_VALUE"""),36.0)</f>
        <v>36</v>
      </c>
      <c r="R51" s="41">
        <f>IFERROR(__xludf.DUMMYFUNCTION("""COMPUTED_VALUE"""),36.0)</f>
        <v>36</v>
      </c>
      <c r="S51" s="41" t="str">
        <f>IFERROR(__xludf.DUMMYFUNCTION("""COMPUTED_VALUE"""),"NT$8,400")</f>
        <v>NT$8,400</v>
      </c>
      <c r="T51" s="41" t="str">
        <f>IFERROR(__xludf.DUMMYFUNCTION("""COMPUTED_VALUE"""),"Dell 24吋 U2412Mc")</f>
        <v>Dell 24吋 U2412Mc</v>
      </c>
      <c r="U51" s="41"/>
      <c r="V51" s="41"/>
      <c r="W51" s="41"/>
      <c r="X51" s="45" t="str">
        <f>IFERROR(__xludf.DUMMYFUNCTION("""COMPUTED_VALUE"""),"")</f>
        <v/>
      </c>
      <c r="Y51" s="41"/>
      <c r="Z51" s="41"/>
      <c r="AA51" s="41"/>
      <c r="AB51" s="41"/>
      <c r="AC51" s="41"/>
      <c r="AD51" s="41"/>
      <c r="AE51" s="41"/>
      <c r="AF51" s="41"/>
      <c r="AG51" s="41"/>
      <c r="AH51" s="41"/>
    </row>
    <row r="52">
      <c r="B52" s="41"/>
      <c r="C52" s="41" t="str">
        <f>IFERROR(__xludf.DUMMYFUNCTION("""COMPUTED_VALUE"""),"滿三年更換")</f>
        <v>滿三年更換</v>
      </c>
      <c r="D52" s="41" t="str">
        <f>IFERROR(__xludf.DUMMYFUNCTION("""COMPUTED_VALUE"""),"TW")</f>
        <v>TW</v>
      </c>
      <c r="E52" s="41"/>
      <c r="F52" s="41"/>
      <c r="G52" s="41"/>
      <c r="H52" s="65" t="str">
        <f>IFERROR(__xludf.DUMMYFUNCTION("""COMPUTED_VALUE"""),"研發中心:軟體工程部:前端團隊")</f>
        <v>研發中心:軟體工程部:前端團隊</v>
      </c>
      <c r="I52" s="41" t="str">
        <f>IFERROR(__xludf.DUMMYFUNCTION("""COMPUTED_VALUE"""),"資訊裝置")</f>
        <v>資訊裝置</v>
      </c>
      <c r="J52" s="41" t="str">
        <f>IFERROR(__xludf.DUMMYFUNCTION("""COMPUTED_VALUE"""),"AICHMN02206112")</f>
        <v>AICHMN02206112</v>
      </c>
      <c r="K52" s="41" t="str">
        <f>IFERROR(__xludf.DUMMYFUNCTION("""COMPUTED_VALUE"""),"LG螢幕")</f>
        <v>LG螢幕</v>
      </c>
      <c r="L52" s="41" t="str">
        <f>IFERROR(__xludf.DUMMYFUNCTION("""COMPUTED_VALUE"""),"204NTMXAS579")</f>
        <v>204NTMXAS579</v>
      </c>
      <c r="M52" s="41" t="str">
        <f>IFERROR(__xludf.DUMMYFUNCTION("""COMPUTED_VALUE"""),"周昱安")</f>
        <v>周昱安</v>
      </c>
      <c r="N52" s="65">
        <f>IFERROR(__xludf.DUMMYFUNCTION("""COMPUTED_VALUE"""),44733.0)</f>
        <v>44733</v>
      </c>
      <c r="O52" s="41"/>
      <c r="P52" s="41" t="str">
        <f>IFERROR(__xludf.DUMMYFUNCTION("""COMPUTED_VALUE"""),"資訊裝置")</f>
        <v>資訊裝置</v>
      </c>
      <c r="Q52" s="41">
        <f>IFERROR(__xludf.DUMMYFUNCTION("""COMPUTED_VALUE"""),36.0)</f>
        <v>36</v>
      </c>
      <c r="R52" s="41">
        <f>IFERROR(__xludf.DUMMYFUNCTION("""COMPUTED_VALUE"""),36.0)</f>
        <v>36</v>
      </c>
      <c r="S52" s="41" t="str">
        <f>IFERROR(__xludf.DUMMYFUNCTION("""COMPUTED_VALUE"""),"NT$0")</f>
        <v>NT$0</v>
      </c>
      <c r="T52" s="41" t="str">
        <f>IFERROR(__xludf.DUMMYFUNCTION("""COMPUTED_VALUE"""),"LG  27吋 27UL850")</f>
        <v>LG  27吋 27UL850</v>
      </c>
      <c r="U52" s="41"/>
      <c r="V52" s="41"/>
      <c r="W52" s="41"/>
      <c r="X52" s="45" t="str">
        <f>IFERROR(__xludf.DUMMYFUNCTION("""COMPUTED_VALUE"""),"")</f>
        <v/>
      </c>
      <c r="Y52" s="41"/>
      <c r="Z52" s="41"/>
      <c r="AA52" s="41"/>
      <c r="AB52" s="41"/>
      <c r="AC52" s="41"/>
      <c r="AD52" s="41"/>
      <c r="AE52" s="41"/>
      <c r="AF52" s="41"/>
      <c r="AG52" s="41"/>
      <c r="AH52" s="41"/>
    </row>
    <row r="53">
      <c r="B53" s="41"/>
      <c r="C53" s="41" t="str">
        <f>IFERROR(__xludf.DUMMYFUNCTION("""COMPUTED_VALUE"""),"滿三年更換")</f>
        <v>滿三年更換</v>
      </c>
      <c r="D53" s="41" t="str">
        <f>IFERROR(__xludf.DUMMYFUNCTION("""COMPUTED_VALUE"""),"TW")</f>
        <v>TW</v>
      </c>
      <c r="E53" s="41"/>
      <c r="F53" s="41"/>
      <c r="G53" s="41"/>
      <c r="H53" s="65" t="str">
        <f>IFERROR(__xludf.DUMMYFUNCTION("""COMPUTED_VALUE"""),"行銷營運中心:銷售營運部:客戶導入團隊")</f>
        <v>行銷營運中心:銷售營運部:客戶導入團隊</v>
      </c>
      <c r="I53" s="41" t="str">
        <f>IFERROR(__xludf.DUMMYFUNCTION("""COMPUTED_VALUE"""),"資訊裝置")</f>
        <v>資訊裝置</v>
      </c>
      <c r="J53" s="41" t="str">
        <f>IFERROR(__xludf.DUMMYFUNCTION("""COMPUTED_VALUE"""),"AICHMA02103013")</f>
        <v>AICHMA02103013</v>
      </c>
      <c r="K53" s="41" t="str">
        <f>IFERROR(__xludf.DUMMYFUNCTION("""COMPUTED_VALUE"""),"Macbook Air")</f>
        <v>Macbook Air</v>
      </c>
      <c r="L53" s="41" t="str">
        <f>IFERROR(__xludf.DUMMYFUNCTION("""COMPUTED_VALUE"""),"FVFF86DVQ6L4")</f>
        <v>FVFF86DVQ6L4</v>
      </c>
      <c r="M53" s="41" t="str">
        <f>IFERROR(__xludf.DUMMYFUNCTION("""COMPUTED_VALUE"""),"周耿慧")</f>
        <v>周耿慧</v>
      </c>
      <c r="N53" s="65">
        <f>IFERROR(__xludf.DUMMYFUNCTION("""COMPUTED_VALUE"""),44258.0)</f>
        <v>44258</v>
      </c>
      <c r="O53" s="45">
        <f>IFERROR(__xludf.DUMMYFUNCTION("""COMPUTED_VALUE"""),27075.0)</f>
        <v>27075</v>
      </c>
      <c r="P53" s="41" t="str">
        <f>IFERROR(__xludf.DUMMYFUNCTION("""COMPUTED_VALUE"""),"資訊裝置")</f>
        <v>資訊裝置</v>
      </c>
      <c r="Q53" s="41">
        <f>IFERROR(__xludf.DUMMYFUNCTION("""COMPUTED_VALUE"""),36.0)</f>
        <v>36</v>
      </c>
      <c r="R53" s="41">
        <f>IFERROR(__xludf.DUMMYFUNCTION("""COMPUTED_VALUE"""),36.0)</f>
        <v>36</v>
      </c>
      <c r="S53" s="41" t="str">
        <f>IFERROR(__xludf.DUMMYFUNCTION("""COMPUTED_VALUE"""),"NT$27,075")</f>
        <v>NT$27,075</v>
      </c>
      <c r="T53" s="41" t="str">
        <f>IFERROR(__xludf.DUMMYFUNCTION("""COMPUTED_VALUE"""),"A2337 MBA13 (2020) M1/8GBRAM/256GBSSD")</f>
        <v>A2337 MBA13 (2020) M1/8GBRAM/256GBSSD</v>
      </c>
      <c r="U53" s="41"/>
      <c r="V53" s="41"/>
      <c r="W53" s="41"/>
      <c r="X53" s="45" t="str">
        <f>IFERROR(__xludf.DUMMYFUNCTION("""COMPUTED_VALUE"""),"")</f>
        <v/>
      </c>
      <c r="Y53" s="41"/>
      <c r="Z53" s="41"/>
      <c r="AA53" s="41"/>
      <c r="AB53" s="41"/>
      <c r="AC53" s="41"/>
      <c r="AD53" s="41"/>
      <c r="AE53" s="41"/>
      <c r="AF53" s="41"/>
      <c r="AG53" s="41"/>
      <c r="AH53" s="41"/>
    </row>
    <row r="54">
      <c r="B54" s="41"/>
      <c r="C54" s="41" t="str">
        <f>IFERROR(__xludf.DUMMYFUNCTION("""COMPUTED_VALUE"""),"滿三年更換")</f>
        <v>滿三年更換</v>
      </c>
      <c r="D54" s="41" t="str">
        <f>IFERROR(__xludf.DUMMYFUNCTION("""COMPUTED_VALUE"""),"TW")</f>
        <v>TW</v>
      </c>
      <c r="E54" s="41"/>
      <c r="F54" s="41"/>
      <c r="G54" s="41"/>
      <c r="H54" s="65" t="str">
        <f>IFERROR(__xludf.DUMMYFUNCTION("""COMPUTED_VALUE"""),"行銷營運中心:銷售營運部:客戶導入團隊")</f>
        <v>行銷營運中心:銷售營運部:客戶導入團隊</v>
      </c>
      <c r="I54" s="41" t="str">
        <f>IFERROR(__xludf.DUMMYFUNCTION("""COMPUTED_VALUE"""),"資訊裝置")</f>
        <v>資訊裝置</v>
      </c>
      <c r="J54" s="41" t="str">
        <f>IFERROR(__xludf.DUMMYFUNCTION("""COMPUTED_VALUE"""),"AICHIP02111081")</f>
        <v>AICHIP02111081</v>
      </c>
      <c r="K54" s="41" t="str">
        <f>IFERROR(__xludf.DUMMYFUNCTION("""COMPUTED_VALUE"""),"iPad")</f>
        <v>iPad</v>
      </c>
      <c r="L54" s="41" t="str">
        <f>IFERROR(__xludf.DUMMYFUNCTION("""COMPUTED_VALUE"""),"Q9TQG6JXRX")</f>
        <v>Q9TQG6JXRX</v>
      </c>
      <c r="M54" s="41" t="str">
        <f>IFERROR(__xludf.DUMMYFUNCTION("""COMPUTED_VALUE"""),"周耿慧")</f>
        <v>周耿慧</v>
      </c>
      <c r="N54" s="65">
        <f>IFERROR(__xludf.DUMMYFUNCTION("""COMPUTED_VALUE"""),44529.0)</f>
        <v>44529</v>
      </c>
      <c r="O54" s="45">
        <f>IFERROR(__xludf.DUMMYFUNCTION("""COMPUTED_VALUE"""),9450.0)</f>
        <v>9450</v>
      </c>
      <c r="P54" s="41" t="str">
        <f>IFERROR(__xludf.DUMMYFUNCTION("""COMPUTED_VALUE"""),"資訊裝置")</f>
        <v>資訊裝置</v>
      </c>
      <c r="Q54" s="41">
        <f>IFERROR(__xludf.DUMMYFUNCTION("""COMPUTED_VALUE"""),36.0)</f>
        <v>36</v>
      </c>
      <c r="R54" s="41">
        <f>IFERROR(__xludf.DUMMYFUNCTION("""COMPUTED_VALUE"""),36.0)</f>
        <v>36</v>
      </c>
      <c r="S54" s="41" t="str">
        <f>IFERROR(__xludf.DUMMYFUNCTION("""COMPUTED_VALUE"""),"NT$9,450")</f>
        <v>NT$9,450</v>
      </c>
      <c r="T54" s="41" t="str">
        <f>IFERROR(__xludf.DUMMYFUNCTION("""COMPUTED_VALUE"""),"IPad (第九代) 32GB WIFI(A2602)")</f>
        <v>IPad (第九代) 32GB WIFI(A2602)</v>
      </c>
      <c r="U54" s="41"/>
      <c r="V54" s="41"/>
      <c r="W54" s="41"/>
      <c r="X54" s="45" t="str">
        <f>IFERROR(__xludf.DUMMYFUNCTION("""COMPUTED_VALUE"""),"")</f>
        <v/>
      </c>
      <c r="Y54" s="41"/>
      <c r="Z54" s="41"/>
      <c r="AA54" s="41"/>
      <c r="AB54" s="41"/>
      <c r="AC54" s="41"/>
      <c r="AD54" s="41"/>
      <c r="AE54" s="41"/>
      <c r="AF54" s="41"/>
      <c r="AG54" s="41"/>
      <c r="AH54" s="41"/>
    </row>
    <row r="55">
      <c r="B55" s="41"/>
      <c r="C55" s="41" t="str">
        <f>IFERROR(__xludf.DUMMYFUNCTION("""COMPUTED_VALUE"""),"滿三年更換")</f>
        <v>滿三年更換</v>
      </c>
      <c r="D55" s="41" t="str">
        <f>IFERROR(__xludf.DUMMYFUNCTION("""COMPUTED_VALUE"""),"TW")</f>
        <v>TW</v>
      </c>
      <c r="E55" s="41"/>
      <c r="F55" s="41"/>
      <c r="G55" s="41"/>
      <c r="H55" s="65" t="str">
        <f>IFERROR(__xludf.DUMMYFUNCTION("""COMPUTED_VALUE"""),"行銷營運中心:社群關係部:餐廳社群團隊")</f>
        <v>行銷營運中心:社群關係部:餐廳社群團隊</v>
      </c>
      <c r="I55" s="41" t="str">
        <f>IFERROR(__xludf.DUMMYFUNCTION("""COMPUTED_VALUE"""),"資訊裝置")</f>
        <v>資訊裝置</v>
      </c>
      <c r="J55" s="41" t="str">
        <f>IFERROR(__xludf.DUMMYFUNCTION("""COMPUTED_VALUE"""),"AICHIP02010040")</f>
        <v>AICHIP02010040</v>
      </c>
      <c r="K55" s="41" t="str">
        <f>IFERROR(__xludf.DUMMYFUNCTION("""COMPUTED_VALUE"""),"iPad")</f>
        <v>iPad</v>
      </c>
      <c r="L55" s="41" t="str">
        <f>IFERROR(__xludf.DUMMYFUNCTION("""COMPUTED_VALUE"""),"DMQD83LFMF3M")</f>
        <v>DMQD83LFMF3M</v>
      </c>
      <c r="M55" s="41" t="str">
        <f>IFERROR(__xludf.DUMMYFUNCTION("""COMPUTED_VALUE"""),"季優")</f>
        <v>季優</v>
      </c>
      <c r="N55" s="66">
        <f>IFERROR(__xludf.DUMMYFUNCTION("""COMPUTED_VALUE"""),44135.0)</f>
        <v>44135</v>
      </c>
      <c r="O55" s="45">
        <f>IFERROR(__xludf.DUMMYFUNCTION("""COMPUTED_VALUE"""),8902.0)</f>
        <v>8902</v>
      </c>
      <c r="P55" s="41" t="str">
        <f>IFERROR(__xludf.DUMMYFUNCTION("""COMPUTED_VALUE"""),"資訊裝置")</f>
        <v>資訊裝置</v>
      </c>
      <c r="Q55" s="41">
        <f>IFERROR(__xludf.DUMMYFUNCTION("""COMPUTED_VALUE"""),36.0)</f>
        <v>36</v>
      </c>
      <c r="R55" s="41">
        <f>IFERROR(__xludf.DUMMYFUNCTION("""COMPUTED_VALUE"""),36.0)</f>
        <v>36</v>
      </c>
      <c r="S55" s="41" t="str">
        <f>IFERROR(__xludf.DUMMYFUNCTION("""COMPUTED_VALUE"""),"NT$8,902")</f>
        <v>NT$8,902</v>
      </c>
      <c r="T55" s="41" t="str">
        <f>IFERROR(__xludf.DUMMYFUNCTION("""COMPUTED_VALUE"""),"iPad (第七代) 32GB WIFI (MW742TA/A)")</f>
        <v>iPad (第七代) 32GB WIFI (MW742TA/A)</v>
      </c>
      <c r="U55" s="41"/>
      <c r="V55" s="41"/>
      <c r="W55" s="41"/>
      <c r="X55" s="45" t="str">
        <f>IFERROR(__xludf.DUMMYFUNCTION("""COMPUTED_VALUE"""),"")</f>
        <v/>
      </c>
      <c r="Y55" s="41"/>
      <c r="Z55" s="41"/>
      <c r="AA55" s="41"/>
      <c r="AB55" s="41"/>
      <c r="AC55" s="41"/>
      <c r="AD55" s="41"/>
      <c r="AE55" s="41"/>
      <c r="AF55" s="41"/>
      <c r="AG55" s="41"/>
      <c r="AH55" s="41"/>
    </row>
    <row r="56">
      <c r="B56" s="41"/>
      <c r="C56" s="41" t="str">
        <f>IFERROR(__xludf.DUMMYFUNCTION("""COMPUTED_VALUE"""),"滿三年更換")</f>
        <v>滿三年更換</v>
      </c>
      <c r="D56" s="41" t="str">
        <f>IFERROR(__xludf.DUMMYFUNCTION("""COMPUTED_VALUE"""),"TW")</f>
        <v>TW</v>
      </c>
      <c r="E56" s="41"/>
      <c r="F56" s="41"/>
      <c r="G56" s="41"/>
      <c r="H56" s="65" t="str">
        <f>IFERROR(__xludf.DUMMYFUNCTION("""COMPUTED_VALUE"""),"行銷營運中心:社群關係部:餐廳社群團隊")</f>
        <v>行銷營運中心:社群關係部:餐廳社群團隊</v>
      </c>
      <c r="I56" s="41" t="str">
        <f>IFERROR(__xludf.DUMMYFUNCTION("""COMPUTED_VALUE"""),"資訊裝置")</f>
        <v>資訊裝置</v>
      </c>
      <c r="J56" s="41" t="str">
        <f>IFERROR(__xludf.DUMMYFUNCTION("""COMPUTED_VALUE"""),"AICHMN01811054")</f>
        <v>AICHMN01811054</v>
      </c>
      <c r="K56" s="41" t="str">
        <f>IFERROR(__xludf.DUMMYFUNCTION("""COMPUTED_VALUE"""),"螢幕")</f>
        <v>螢幕</v>
      </c>
      <c r="L56" s="41" t="str">
        <f>IFERROR(__xludf.DUMMYFUNCTION("""COMPUTED_VALUE"""),"CN-043D22-TV100-88K-0SMB-A04")</f>
        <v>CN-043D22-TV100-88K-0SMB-A04</v>
      </c>
      <c r="M56" s="41" t="str">
        <f>IFERROR(__xludf.DUMMYFUNCTION("""COMPUTED_VALUE"""),"季優")</f>
        <v>季優</v>
      </c>
      <c r="N56" s="66">
        <f>IFERROR(__xludf.DUMMYFUNCTION("""COMPUTED_VALUE"""),43398.0)</f>
        <v>43398</v>
      </c>
      <c r="O56" s="45">
        <f>IFERROR(__xludf.DUMMYFUNCTION("""COMPUTED_VALUE"""),3608.0)</f>
        <v>3608</v>
      </c>
      <c r="P56" s="41" t="str">
        <f>IFERROR(__xludf.DUMMYFUNCTION("""COMPUTED_VALUE"""),"資訊裝置")</f>
        <v>資訊裝置</v>
      </c>
      <c r="Q56" s="41">
        <f>IFERROR(__xludf.DUMMYFUNCTION("""COMPUTED_VALUE"""),36.0)</f>
        <v>36</v>
      </c>
      <c r="R56" s="41">
        <f>IFERROR(__xludf.DUMMYFUNCTION("""COMPUTED_VALUE"""),36.0)</f>
        <v>36</v>
      </c>
      <c r="S56" s="41" t="str">
        <f>IFERROR(__xludf.DUMMYFUNCTION("""COMPUTED_VALUE"""),"NT$3,608")</f>
        <v>NT$3,608</v>
      </c>
      <c r="T56" s="41" t="str">
        <f>IFERROR(__xludf.DUMMYFUNCTION("""COMPUTED_VALUE"""),"Dell 24吋 SE2416H")</f>
        <v>Dell 24吋 SE2416H</v>
      </c>
      <c r="U56" s="41"/>
      <c r="V56" s="41"/>
      <c r="W56" s="41"/>
      <c r="X56" s="45" t="str">
        <f>IFERROR(__xludf.DUMMYFUNCTION("""COMPUTED_VALUE"""),"")</f>
        <v/>
      </c>
      <c r="Y56" s="41"/>
      <c r="Z56" s="41"/>
      <c r="AA56" s="41"/>
      <c r="AB56" s="41"/>
      <c r="AC56" s="41"/>
      <c r="AD56" s="41"/>
      <c r="AE56" s="41"/>
      <c r="AF56" s="41"/>
      <c r="AG56" s="41"/>
      <c r="AH56" s="41"/>
    </row>
    <row r="57">
      <c r="B57" s="41"/>
      <c r="C57" s="41" t="str">
        <f>IFERROR(__xludf.DUMMYFUNCTION("""COMPUTED_VALUE"""),"滿三年更換")</f>
        <v>滿三年更換</v>
      </c>
      <c r="D57" s="41" t="str">
        <f>IFERROR(__xludf.DUMMYFUNCTION("""COMPUTED_VALUE"""),"TW")</f>
        <v>TW</v>
      </c>
      <c r="E57" s="41"/>
      <c r="F57" s="41"/>
      <c r="G57" s="41"/>
      <c r="H57" s="65" t="str">
        <f>IFERROR(__xludf.DUMMYFUNCTION("""COMPUTED_VALUE"""),"管理中心:人資部:人資團隊")</f>
        <v>管理中心:人資部:人資團隊</v>
      </c>
      <c r="I57" s="41" t="str">
        <f>IFERROR(__xludf.DUMMYFUNCTION("""COMPUTED_VALUE"""),"資訊裝置")</f>
        <v>資訊裝置</v>
      </c>
      <c r="J57" s="41" t="str">
        <f>IFERROR(__xludf.DUMMYFUNCTION("""COMPUTED_VALUE"""),"AICHMA02201047")</f>
        <v>AICHMA02201047</v>
      </c>
      <c r="K57" s="41" t="str">
        <f>IFERROR(__xludf.DUMMYFUNCTION("""COMPUTED_VALUE"""),"Macbook Air")</f>
        <v>Macbook Air</v>
      </c>
      <c r="L57" s="41" t="str">
        <f>IFERROR(__xludf.DUMMYFUNCTION("""COMPUTED_VALUE"""),"FVFGX0JRQ6M1")</f>
        <v>FVFGX0JRQ6M1</v>
      </c>
      <c r="M57" s="41" t="str">
        <f>IFERROR(__xludf.DUMMYFUNCTION("""COMPUTED_VALUE"""),"林于庭")</f>
        <v>林于庭</v>
      </c>
      <c r="N57" s="65">
        <f>IFERROR(__xludf.DUMMYFUNCTION("""COMPUTED_VALUE"""),44566.0)</f>
        <v>44566</v>
      </c>
      <c r="O57" s="45">
        <f>IFERROR(__xludf.DUMMYFUNCTION("""COMPUTED_VALUE"""),39400.0)</f>
        <v>39400</v>
      </c>
      <c r="P57" s="41" t="str">
        <f>IFERROR(__xludf.DUMMYFUNCTION("""COMPUTED_VALUE"""),"資訊裝置")</f>
        <v>資訊裝置</v>
      </c>
      <c r="Q57" s="41">
        <f>IFERROR(__xludf.DUMMYFUNCTION("""COMPUTED_VALUE"""),36.0)</f>
        <v>36</v>
      </c>
      <c r="R57" s="41">
        <f>IFERROR(__xludf.DUMMYFUNCTION("""COMPUTED_VALUE"""),36.0)</f>
        <v>36</v>
      </c>
      <c r="S57" s="41" t="str">
        <f>IFERROR(__xludf.DUMMYFUNCTION("""COMPUTED_VALUE"""),"NT$39,400")</f>
        <v>NT$39,400</v>
      </c>
      <c r="T57" s="41" t="str">
        <f>IFERROR(__xludf.DUMMYFUNCTION("""COMPUTED_VALUE"""),"MBA13 (2020) M1/16GBRAM/256GBSSD")</f>
        <v>MBA13 (2020) M1/16GBRAM/256GBSSD</v>
      </c>
      <c r="U57" s="41"/>
      <c r="V57" s="41"/>
      <c r="W57" s="41"/>
      <c r="X57" s="45" t="str">
        <f>IFERROR(__xludf.DUMMYFUNCTION("""COMPUTED_VALUE"""),"")</f>
        <v/>
      </c>
      <c r="Y57" s="41"/>
      <c r="Z57" s="41"/>
      <c r="AA57" s="41"/>
      <c r="AB57" s="41"/>
      <c r="AC57" s="41"/>
      <c r="AD57" s="41"/>
      <c r="AE57" s="41"/>
      <c r="AF57" s="41"/>
      <c r="AG57" s="41"/>
      <c r="AH57" s="41"/>
    </row>
    <row r="58">
      <c r="B58" s="41"/>
      <c r="C58" s="41" t="str">
        <f>IFERROR(__xludf.DUMMYFUNCTION("""COMPUTED_VALUE"""),"滿三年更換")</f>
        <v>滿三年更換</v>
      </c>
      <c r="D58" s="41" t="str">
        <f>IFERROR(__xludf.DUMMYFUNCTION("""COMPUTED_VALUE"""),"TW")</f>
        <v>TW</v>
      </c>
      <c r="E58" s="41"/>
      <c r="F58" s="41"/>
      <c r="G58" s="41"/>
      <c r="H58" s="65" t="str">
        <f>IFERROR(__xludf.DUMMYFUNCTION("""COMPUTED_VALUE"""),"管理中心:人資部:人資團隊")</f>
        <v>管理中心:人資部:人資團隊</v>
      </c>
      <c r="I58" s="41" t="str">
        <f>IFERROR(__xludf.DUMMYFUNCTION("""COMPUTED_VALUE"""),"資訊裝置")</f>
        <v>資訊裝置</v>
      </c>
      <c r="J58" s="41" t="str">
        <f>IFERROR(__xludf.DUMMYFUNCTION("""COMPUTED_VALUE"""),"AICHMN01604013")</f>
        <v>AICHMN01604013</v>
      </c>
      <c r="K58" s="41" t="str">
        <f>IFERROR(__xludf.DUMMYFUNCTION("""COMPUTED_VALUE"""),"螢幕")</f>
        <v>螢幕</v>
      </c>
      <c r="L58" s="41" t="str">
        <f>IFERROR(__xludf.DUMMYFUNCTION("""COMPUTED_VALUE"""),"CN-03W9XD-74261-472-27CL")</f>
        <v>CN-03W9XD-74261-472-27CL</v>
      </c>
      <c r="M58" s="41" t="str">
        <f>IFERROR(__xludf.DUMMYFUNCTION("""COMPUTED_VALUE"""),"林于庭")</f>
        <v>林于庭</v>
      </c>
      <c r="N58" s="65">
        <f>IFERROR(__xludf.DUMMYFUNCTION("""COMPUTED_VALUE"""),42468.0)</f>
        <v>42468</v>
      </c>
      <c r="O58" s="41"/>
      <c r="P58" s="41" t="str">
        <f>IFERROR(__xludf.DUMMYFUNCTION("""COMPUTED_VALUE"""),"資訊裝置")</f>
        <v>資訊裝置</v>
      </c>
      <c r="Q58" s="41">
        <f>IFERROR(__xludf.DUMMYFUNCTION("""COMPUTED_VALUE"""),36.0)</f>
        <v>36</v>
      </c>
      <c r="R58" s="41">
        <f>IFERROR(__xludf.DUMMYFUNCTION("""COMPUTED_VALUE"""),36.0)</f>
        <v>36</v>
      </c>
      <c r="S58" s="41" t="str">
        <f>IFERROR(__xludf.DUMMYFUNCTION("""COMPUTED_VALUE"""),"NT$0")</f>
        <v>NT$0</v>
      </c>
      <c r="T58" s="41" t="str">
        <f>IFERROR(__xludf.DUMMYFUNCTION("""COMPUTED_VALUE"""),"Dell 24吋 U2412Mb")</f>
        <v>Dell 24吋 U2412Mb</v>
      </c>
      <c r="U58" s="41"/>
      <c r="V58" s="41"/>
      <c r="W58" s="41"/>
      <c r="X58" s="45" t="str">
        <f>IFERROR(__xludf.DUMMYFUNCTION("""COMPUTED_VALUE"""),"")</f>
        <v/>
      </c>
      <c r="Y58" s="41"/>
      <c r="Z58" s="41"/>
      <c r="AA58" s="41"/>
      <c r="AB58" s="41"/>
      <c r="AC58" s="41"/>
      <c r="AD58" s="41"/>
      <c r="AE58" s="41"/>
      <c r="AF58" s="41"/>
      <c r="AG58" s="41"/>
      <c r="AH58" s="41"/>
    </row>
    <row r="59">
      <c r="B59" s="41"/>
      <c r="C59" s="41" t="str">
        <f>IFERROR(__xludf.DUMMYFUNCTION("""COMPUTED_VALUE"""),"滿三年更換")</f>
        <v>滿三年更換</v>
      </c>
      <c r="D59" s="41" t="str">
        <f>IFERROR(__xludf.DUMMYFUNCTION("""COMPUTED_VALUE"""),"TW")</f>
        <v>TW</v>
      </c>
      <c r="E59" s="41"/>
      <c r="F59" s="41"/>
      <c r="G59" s="41"/>
      <c r="H59" s="65" t="str">
        <f>IFERROR(__xludf.DUMMYFUNCTION("""COMPUTED_VALUE"""),"客戶價值中心:客戶關係管理部:客服團隊 POS/OMO")</f>
        <v>客戶價值中心:客戶關係管理部:客服團隊 POS/OMO</v>
      </c>
      <c r="I59" s="41" t="str">
        <f>IFERROR(__xludf.DUMMYFUNCTION("""COMPUTED_VALUE"""),"資訊裝置")</f>
        <v>資訊裝置</v>
      </c>
      <c r="J59" s="41" t="str">
        <f>IFERROR(__xludf.DUMMYFUNCTION("""COMPUTED_VALUE"""),"AICHMP02011020")</f>
        <v>AICHMP02011020</v>
      </c>
      <c r="K59" s="41" t="str">
        <f>IFERROR(__xludf.DUMMYFUNCTION("""COMPUTED_VALUE"""),"Macbook Pro")</f>
        <v>Macbook Pro</v>
      </c>
      <c r="L59" s="41" t="str">
        <f>IFERROR(__xludf.DUMMYFUNCTION("""COMPUTED_VALUE"""),"C02DN4U9ML85")</f>
        <v>C02DN4U9ML85</v>
      </c>
      <c r="M59" s="41" t="str">
        <f>IFERROR(__xludf.DUMMYFUNCTION("""COMPUTED_VALUE"""),"林怡儒")</f>
        <v>林怡儒</v>
      </c>
      <c r="N59" s="65">
        <f>IFERROR(__xludf.DUMMYFUNCTION("""COMPUTED_VALUE"""),44117.0)</f>
        <v>44117</v>
      </c>
      <c r="O59" s="45">
        <f>IFERROR(__xludf.DUMMYFUNCTION("""COMPUTED_VALUE"""),8901.0)</f>
        <v>8901</v>
      </c>
      <c r="P59" s="41" t="str">
        <f>IFERROR(__xludf.DUMMYFUNCTION("""COMPUTED_VALUE"""),"資訊裝置")</f>
        <v>資訊裝置</v>
      </c>
      <c r="Q59" s="41">
        <f>IFERROR(__xludf.DUMMYFUNCTION("""COMPUTED_VALUE"""),36.0)</f>
        <v>36</v>
      </c>
      <c r="R59" s="41">
        <f>IFERROR(__xludf.DUMMYFUNCTION("""COMPUTED_VALUE"""),36.0)</f>
        <v>36</v>
      </c>
      <c r="S59" s="41" t="str">
        <f>IFERROR(__xludf.DUMMYFUNCTION("""COMPUTED_VALUE"""),"NT$8,901")</f>
        <v>NT$8,901</v>
      </c>
      <c r="T59" s="41" t="str">
        <f>IFERROR(__xludf.DUMMYFUNCTION("""COMPUTED_VALUE"""),"MBP13 (2020, Four Thunderbolt 3 ports) I7/32GBRAM/512GBSSD")</f>
        <v>MBP13 (2020, Four Thunderbolt 3 ports) I7/32GBRAM/512GBSSD</v>
      </c>
      <c r="U59" s="41"/>
      <c r="V59" s="41"/>
      <c r="W59" s="41"/>
      <c r="X59" s="45" t="str">
        <f>IFERROR(__xludf.DUMMYFUNCTION("""COMPUTED_VALUE"""),"")</f>
        <v/>
      </c>
      <c r="Y59" s="41"/>
      <c r="Z59" s="41"/>
      <c r="AA59" s="41"/>
      <c r="AB59" s="41"/>
      <c r="AC59" s="41"/>
      <c r="AD59" s="41"/>
      <c r="AE59" s="41"/>
      <c r="AF59" s="41"/>
      <c r="AG59" s="41"/>
      <c r="AH59" s="41"/>
    </row>
    <row r="60">
      <c r="B60" s="41"/>
      <c r="C60" s="41" t="str">
        <f>IFERROR(__xludf.DUMMYFUNCTION("""COMPUTED_VALUE"""),"滿三年更換")</f>
        <v>滿三年更換</v>
      </c>
      <c r="D60" s="41" t="str">
        <f>IFERROR(__xludf.DUMMYFUNCTION("""COMPUTED_VALUE"""),"TW")</f>
        <v>TW</v>
      </c>
      <c r="E60" s="41"/>
      <c r="F60" s="41"/>
      <c r="G60" s="41"/>
      <c r="H60" s="65" t="str">
        <f>IFERROR(__xludf.DUMMYFUNCTION("""COMPUTED_VALUE"""),"客戶價值中心:客戶關係管理部:客服團隊 POS/OMO")</f>
        <v>客戶價值中心:客戶關係管理部:客服團隊 POS/OMO</v>
      </c>
      <c r="I60" s="41" t="str">
        <f>IFERROR(__xludf.DUMMYFUNCTION("""COMPUTED_VALUE"""),"資訊裝置")</f>
        <v>資訊裝置</v>
      </c>
      <c r="J60" s="41" t="str">
        <f>IFERROR(__xludf.DUMMYFUNCTION("""COMPUTED_VALUE"""),"AICHIP02107074")</f>
        <v>AICHIP02107074</v>
      </c>
      <c r="K60" s="41" t="str">
        <f>IFERROR(__xludf.DUMMYFUNCTION("""COMPUTED_VALUE"""),"iPad")</f>
        <v>iPad</v>
      </c>
      <c r="L60" s="41" t="str">
        <f>IFERROR(__xludf.DUMMYFUNCTION("""COMPUTED_VALUE"""),"F9FFVD6DQ1GF")</f>
        <v>F9FFVD6DQ1GF</v>
      </c>
      <c r="M60" s="41" t="str">
        <f>IFERROR(__xludf.DUMMYFUNCTION("""COMPUTED_VALUE"""),"林怡儒")</f>
        <v>林怡儒</v>
      </c>
      <c r="N60" s="65">
        <f>IFERROR(__xludf.DUMMYFUNCTION("""COMPUTED_VALUE"""),44400.0)</f>
        <v>44400</v>
      </c>
      <c r="O60" s="45">
        <f>IFERROR(__xludf.DUMMYFUNCTION("""COMPUTED_VALUE"""),9450.0)</f>
        <v>9450</v>
      </c>
      <c r="P60" s="41" t="str">
        <f>IFERROR(__xludf.DUMMYFUNCTION("""COMPUTED_VALUE"""),"資訊裝置")</f>
        <v>資訊裝置</v>
      </c>
      <c r="Q60" s="41">
        <f>IFERROR(__xludf.DUMMYFUNCTION("""COMPUTED_VALUE"""),36.0)</f>
        <v>36</v>
      </c>
      <c r="R60" s="41">
        <f>IFERROR(__xludf.DUMMYFUNCTION("""COMPUTED_VALUE"""),36.0)</f>
        <v>36</v>
      </c>
      <c r="S60" s="41" t="str">
        <f>IFERROR(__xludf.DUMMYFUNCTION("""COMPUTED_VALUE"""),"NT$9,450")</f>
        <v>NT$9,450</v>
      </c>
      <c r="T60" s="41" t="str">
        <f>IFERROR(__xludf.DUMMYFUNCTION("""COMPUTED_VALUE"""),"iPad (第八代) 32GB WIFI(MYLC2TA/A)")</f>
        <v>iPad (第八代) 32GB WIFI(MYLC2TA/A)</v>
      </c>
      <c r="U60" s="41"/>
      <c r="V60" s="41"/>
      <c r="W60" s="41"/>
      <c r="X60" s="45" t="str">
        <f>IFERROR(__xludf.DUMMYFUNCTION("""COMPUTED_VALUE"""),"")</f>
        <v/>
      </c>
      <c r="Y60" s="41"/>
      <c r="Z60" s="41"/>
      <c r="AA60" s="41"/>
      <c r="AB60" s="41"/>
      <c r="AC60" s="41"/>
      <c r="AD60" s="41"/>
      <c r="AE60" s="41"/>
      <c r="AF60" s="41"/>
      <c r="AG60" s="41"/>
      <c r="AH60" s="41"/>
    </row>
    <row r="61">
      <c r="B61" s="41"/>
      <c r="C61" s="41" t="str">
        <f>IFERROR(__xludf.DUMMYFUNCTION("""COMPUTED_VALUE"""),"滿三年更換")</f>
        <v>滿三年更換</v>
      </c>
      <c r="D61" s="41" t="str">
        <f>IFERROR(__xludf.DUMMYFUNCTION("""COMPUTED_VALUE"""),"TW")</f>
        <v>TW</v>
      </c>
      <c r="E61" s="41"/>
      <c r="F61" s="41"/>
      <c r="G61" s="41"/>
      <c r="H61" s="65" t="str">
        <f>IFERROR(__xludf.DUMMYFUNCTION("""COMPUTED_VALUE"""),"客戶價值中心:客戶關係管理部:客服團隊 POS/OMO")</f>
        <v>客戶價值中心:客戶關係管理部:客服團隊 POS/OMO</v>
      </c>
      <c r="I61" s="41" t="str">
        <f>IFERROR(__xludf.DUMMYFUNCTION("""COMPUTED_VALUE"""),"資訊裝置")</f>
        <v>資訊裝置</v>
      </c>
      <c r="J61" s="41" t="str">
        <f>IFERROR(__xludf.DUMMYFUNCTION("""COMPUTED_VALUE"""),"AICHMN02108099")</f>
        <v>AICHMN02108099</v>
      </c>
      <c r="K61" s="41" t="str">
        <f>IFERROR(__xludf.DUMMYFUNCTION("""COMPUTED_VALUE"""),"螢幕")</f>
        <v>螢幕</v>
      </c>
      <c r="L61" s="41" t="str">
        <f>IFERROR(__xludf.DUMMYFUNCTION("""COMPUTED_VALUE"""),"CN-0458FC-WSL00-163-004B-A04")</f>
        <v>CN-0458FC-WSL00-163-004B-A04</v>
      </c>
      <c r="M61" s="41" t="str">
        <f>IFERROR(__xludf.DUMMYFUNCTION("""COMPUTED_VALUE"""),"林怡儒")</f>
        <v>林怡儒</v>
      </c>
      <c r="N61" s="65">
        <f>IFERROR(__xludf.DUMMYFUNCTION("""COMPUTED_VALUE"""),44418.0)</f>
        <v>44418</v>
      </c>
      <c r="O61" s="45">
        <f>IFERROR(__xludf.DUMMYFUNCTION("""COMPUTED_VALUE"""),5417.0)</f>
        <v>5417</v>
      </c>
      <c r="P61" s="41" t="str">
        <f>IFERROR(__xludf.DUMMYFUNCTION("""COMPUTED_VALUE"""),"資訊裝置")</f>
        <v>資訊裝置</v>
      </c>
      <c r="Q61" s="41">
        <f>IFERROR(__xludf.DUMMYFUNCTION("""COMPUTED_VALUE"""),36.0)</f>
        <v>36</v>
      </c>
      <c r="R61" s="41">
        <f>IFERROR(__xludf.DUMMYFUNCTION("""COMPUTED_VALUE"""),36.0)</f>
        <v>36</v>
      </c>
      <c r="S61" s="41" t="str">
        <f>IFERROR(__xludf.DUMMYFUNCTION("""COMPUTED_VALUE"""),"NT$5,417")</f>
        <v>NT$5,417</v>
      </c>
      <c r="T61" s="41" t="str">
        <f>IFERROR(__xludf.DUMMYFUNCTION("""COMPUTED_VALUE"""),"Dell 24吋 S2421HSX")</f>
        <v>Dell 24吋 S2421HSX</v>
      </c>
      <c r="U61" s="41"/>
      <c r="V61" s="41"/>
      <c r="W61" s="41"/>
      <c r="X61" s="45" t="str">
        <f>IFERROR(__xludf.DUMMYFUNCTION("""COMPUTED_VALUE"""),"")</f>
        <v/>
      </c>
      <c r="Y61" s="41"/>
      <c r="Z61" s="41"/>
      <c r="AA61" s="41"/>
      <c r="AB61" s="41"/>
      <c r="AC61" s="41"/>
      <c r="AD61" s="41"/>
      <c r="AE61" s="41"/>
      <c r="AF61" s="41"/>
      <c r="AG61" s="41"/>
      <c r="AH61" s="41"/>
    </row>
    <row r="62">
      <c r="B62" s="41"/>
      <c r="C62" s="41" t="str">
        <f>IFERROR(__xludf.DUMMYFUNCTION("""COMPUTED_VALUE"""),"滿三年更換")</f>
        <v>滿三年更換</v>
      </c>
      <c r="D62" s="41" t="str">
        <f>IFERROR(__xludf.DUMMYFUNCTION("""COMPUTED_VALUE"""),"TW")</f>
        <v>TW</v>
      </c>
      <c r="E62" s="41"/>
      <c r="F62" s="41"/>
      <c r="G62" s="41"/>
      <c r="H62" s="65" t="str">
        <f>IFERROR(__xludf.DUMMYFUNCTION("""COMPUTED_VALUE"""),"行銷營運中心:銷售營運部:成交營運團隊")</f>
        <v>行銷營運中心:銷售營運部:成交營運團隊</v>
      </c>
      <c r="I62" s="41" t="str">
        <f>IFERROR(__xludf.DUMMYFUNCTION("""COMPUTED_VALUE"""),"資訊裝置")</f>
        <v>資訊裝置</v>
      </c>
      <c r="J62" s="41" t="str">
        <f>IFERROR(__xludf.DUMMYFUNCTION("""COMPUTED_VALUE"""),"AICHMN01705047")</f>
        <v>AICHMN01705047</v>
      </c>
      <c r="K62" s="41" t="str">
        <f>IFERROR(__xludf.DUMMYFUNCTION("""COMPUTED_VALUE"""),"螢幕")</f>
        <v>螢幕</v>
      </c>
      <c r="L62" s="41" t="str">
        <f>IFERROR(__xludf.DUMMYFUNCTION("""COMPUTED_VALUE"""),"CN-07N2FG-TV100-83M-07CS-A07")</f>
        <v>CN-07N2FG-TV100-83M-07CS-A07</v>
      </c>
      <c r="M62" s="41" t="str">
        <f>IFERROR(__xludf.DUMMYFUNCTION("""COMPUTED_VALUE"""),"林育萱")</f>
        <v>林育萱</v>
      </c>
      <c r="N62" s="65">
        <f>IFERROR(__xludf.DUMMYFUNCTION("""COMPUTED_VALUE"""),43413.0)</f>
        <v>43413</v>
      </c>
      <c r="O62" s="41"/>
      <c r="P62" s="41" t="str">
        <f>IFERROR(__xludf.DUMMYFUNCTION("""COMPUTED_VALUE"""),"資訊裝置")</f>
        <v>資訊裝置</v>
      </c>
      <c r="Q62" s="41">
        <f>IFERROR(__xludf.DUMMYFUNCTION("""COMPUTED_VALUE"""),36.0)</f>
        <v>36</v>
      </c>
      <c r="R62" s="41">
        <f>IFERROR(__xludf.DUMMYFUNCTION("""COMPUTED_VALUE"""),36.0)</f>
        <v>36</v>
      </c>
      <c r="S62" s="41" t="str">
        <f>IFERROR(__xludf.DUMMYFUNCTION("""COMPUTED_VALUE"""),"NT$0")</f>
        <v>NT$0</v>
      </c>
      <c r="T62" s="41" t="str">
        <f>IFERROR(__xludf.DUMMYFUNCTION("""COMPUTED_VALUE"""),"Dell 24吋 U2412Mc")</f>
        <v>Dell 24吋 U2412Mc</v>
      </c>
      <c r="U62" s="41"/>
      <c r="V62" s="41"/>
      <c r="W62" s="41"/>
      <c r="X62" s="45" t="str">
        <f>IFERROR(__xludf.DUMMYFUNCTION("""COMPUTED_VALUE"""),"")</f>
        <v/>
      </c>
      <c r="Y62" s="41"/>
      <c r="Z62" s="41"/>
      <c r="AA62" s="41"/>
      <c r="AB62" s="41"/>
      <c r="AC62" s="41"/>
      <c r="AD62" s="41"/>
      <c r="AE62" s="41"/>
      <c r="AF62" s="41"/>
      <c r="AG62" s="41"/>
      <c r="AH62" s="41"/>
    </row>
    <row r="63">
      <c r="B63" s="41"/>
      <c r="C63" s="41" t="str">
        <f>IFERROR(__xludf.DUMMYFUNCTION("""COMPUTED_VALUE"""),"滿三年更換")</f>
        <v>滿三年更換</v>
      </c>
      <c r="D63" s="41" t="str">
        <f>IFERROR(__xludf.DUMMYFUNCTION("""COMPUTED_VALUE"""),"TW")</f>
        <v>TW</v>
      </c>
      <c r="E63" s="41"/>
      <c r="F63" s="41"/>
      <c r="G63" s="41"/>
      <c r="H63" s="65" t="str">
        <f>IFERROR(__xludf.DUMMYFUNCTION("""COMPUTED_VALUE"""),"行銷營運中心:銷售營運部:客戶導入團隊")</f>
        <v>行銷營運中心:銷售營運部:客戶導入團隊</v>
      </c>
      <c r="I63" s="41" t="str">
        <f>IFERROR(__xludf.DUMMYFUNCTION("""COMPUTED_VALUE"""),"資訊裝置")</f>
        <v>資訊裝置</v>
      </c>
      <c r="J63" s="41" t="str">
        <f>IFERROR(__xludf.DUMMYFUNCTION("""COMPUTED_VALUE"""),"AICHIP02002020")</f>
        <v>AICHIP02002020</v>
      </c>
      <c r="K63" s="41" t="str">
        <f>IFERROR(__xludf.DUMMYFUNCTION("""COMPUTED_VALUE"""),"iPad")</f>
        <v>iPad</v>
      </c>
      <c r="L63" s="41" t="str">
        <f>IFERROR(__xludf.DUMMYFUNCTION("""COMPUTED_VALUE"""),"DMPZNDARMF3P")</f>
        <v>DMPZNDARMF3P</v>
      </c>
      <c r="M63" s="41" t="str">
        <f>IFERROR(__xludf.DUMMYFUNCTION("""COMPUTED_VALUE"""),"林聖智")</f>
        <v>林聖智</v>
      </c>
      <c r="N63" s="65">
        <f>IFERROR(__xludf.DUMMYFUNCTION("""COMPUTED_VALUE"""),43888.0)</f>
        <v>43888</v>
      </c>
      <c r="O63" s="45">
        <f>IFERROR(__xludf.DUMMYFUNCTION("""COMPUTED_VALUE"""),9374.0)</f>
        <v>9374</v>
      </c>
      <c r="P63" s="41" t="str">
        <f>IFERROR(__xludf.DUMMYFUNCTION("""COMPUTED_VALUE"""),"資訊裝置")</f>
        <v>資訊裝置</v>
      </c>
      <c r="Q63" s="41">
        <f>IFERROR(__xludf.DUMMYFUNCTION("""COMPUTED_VALUE"""),36.0)</f>
        <v>36</v>
      </c>
      <c r="R63" s="41">
        <f>IFERROR(__xludf.DUMMYFUNCTION("""COMPUTED_VALUE"""),36.0)</f>
        <v>36</v>
      </c>
      <c r="S63" s="41" t="str">
        <f>IFERROR(__xludf.DUMMYFUNCTION("""COMPUTED_VALUE"""),"NT$9,374")</f>
        <v>NT$9,374</v>
      </c>
      <c r="T63" s="41" t="str">
        <f>IFERROR(__xludf.DUMMYFUNCTION("""COMPUTED_VALUE"""),"iPad (第七代) 32GB WIFI(MW762TA/A)")</f>
        <v>iPad (第七代) 32GB WIFI(MW762TA/A)</v>
      </c>
      <c r="U63" s="41"/>
      <c r="V63" s="41"/>
      <c r="W63" s="41"/>
      <c r="X63" s="45" t="str">
        <f>IFERROR(__xludf.DUMMYFUNCTION("""COMPUTED_VALUE"""),"")</f>
        <v/>
      </c>
      <c r="Y63" s="41"/>
      <c r="Z63" s="41"/>
      <c r="AA63" s="41"/>
      <c r="AB63" s="41"/>
      <c r="AC63" s="41"/>
      <c r="AD63" s="41"/>
      <c r="AE63" s="41"/>
      <c r="AF63" s="41"/>
      <c r="AG63" s="41"/>
      <c r="AH63" s="41"/>
    </row>
    <row r="64">
      <c r="B64" s="41"/>
      <c r="C64" s="41" t="str">
        <f>IFERROR(__xludf.DUMMYFUNCTION("""COMPUTED_VALUE"""),"滿三年更換")</f>
        <v>滿三年更換</v>
      </c>
      <c r="D64" s="41" t="str">
        <f>IFERROR(__xludf.DUMMYFUNCTION("""COMPUTED_VALUE"""),"TW")</f>
        <v>TW</v>
      </c>
      <c r="E64" s="41"/>
      <c r="F64" s="41"/>
      <c r="G64" s="41"/>
      <c r="H64" s="65" t="str">
        <f>IFERROR(__xludf.DUMMYFUNCTION("""COMPUTED_VALUE"""),"行銷營運中心:銷售營運部:客戶導入團隊")</f>
        <v>行銷營運中心:銷售營運部:客戶導入團隊</v>
      </c>
      <c r="I64" s="41" t="str">
        <f>IFERROR(__xludf.DUMMYFUNCTION("""COMPUTED_VALUE"""),"資訊裝置")</f>
        <v>資訊裝置</v>
      </c>
      <c r="J64" s="41" t="str">
        <f>IFERROR(__xludf.DUMMYFUNCTION("""COMPUTED_VALUE"""),"AICHMA02105018")</f>
        <v>AICHMA02105018</v>
      </c>
      <c r="K64" s="41" t="str">
        <f>IFERROR(__xludf.DUMMYFUNCTION("""COMPUTED_VALUE"""),"Macbook Air")</f>
        <v>Macbook Air</v>
      </c>
      <c r="L64" s="41" t="str">
        <f>IFERROR(__xludf.DUMMYFUNCTION("""COMPUTED_VALUE"""),"FVFFJMQAQ6LC")</f>
        <v>FVFFJMQAQ6LC</v>
      </c>
      <c r="M64" s="41" t="str">
        <f>IFERROR(__xludf.DUMMYFUNCTION("""COMPUTED_VALUE"""),"林曉吟")</f>
        <v>林曉吟</v>
      </c>
      <c r="N64" s="65">
        <f>IFERROR(__xludf.DUMMYFUNCTION("""COMPUTED_VALUE"""),44341.0)</f>
        <v>44341</v>
      </c>
      <c r="O64" s="45">
        <f>IFERROR(__xludf.DUMMYFUNCTION("""COMPUTED_VALUE"""),27075.0)</f>
        <v>27075</v>
      </c>
      <c r="P64" s="41" t="str">
        <f>IFERROR(__xludf.DUMMYFUNCTION("""COMPUTED_VALUE"""),"資訊裝置")</f>
        <v>資訊裝置</v>
      </c>
      <c r="Q64" s="41">
        <f>IFERROR(__xludf.DUMMYFUNCTION("""COMPUTED_VALUE"""),36.0)</f>
        <v>36</v>
      </c>
      <c r="R64" s="41">
        <f>IFERROR(__xludf.DUMMYFUNCTION("""COMPUTED_VALUE"""),36.0)</f>
        <v>36</v>
      </c>
      <c r="S64" s="41" t="str">
        <f>IFERROR(__xludf.DUMMYFUNCTION("""COMPUTED_VALUE"""),"NT$27,075")</f>
        <v>NT$27,075</v>
      </c>
      <c r="T64" s="41" t="str">
        <f>IFERROR(__xludf.DUMMYFUNCTION("""COMPUTED_VALUE"""),"A2337 MBA13 (2020)M1/8GBRAM/256GBSSD")</f>
        <v>A2337 MBA13 (2020)M1/8GBRAM/256GBSSD</v>
      </c>
      <c r="U64" s="41"/>
      <c r="V64" s="41"/>
      <c r="W64" s="41"/>
      <c r="X64" s="45" t="str">
        <f>IFERROR(__xludf.DUMMYFUNCTION("""COMPUTED_VALUE"""),"")</f>
        <v/>
      </c>
      <c r="Y64" s="41"/>
      <c r="Z64" s="41"/>
      <c r="AA64" s="41"/>
      <c r="AB64" s="41"/>
      <c r="AC64" s="41"/>
      <c r="AD64" s="41"/>
      <c r="AE64" s="41"/>
      <c r="AF64" s="41"/>
      <c r="AG64" s="41"/>
      <c r="AH64" s="41"/>
    </row>
    <row r="65">
      <c r="B65" s="41"/>
      <c r="C65" s="41" t="str">
        <f>IFERROR(__xludf.DUMMYFUNCTION("""COMPUTED_VALUE"""),"滿三年更換")</f>
        <v>滿三年更換</v>
      </c>
      <c r="D65" s="41" t="str">
        <f>IFERROR(__xludf.DUMMYFUNCTION("""COMPUTED_VALUE"""),"TW")</f>
        <v>TW</v>
      </c>
      <c r="E65" s="41"/>
      <c r="F65" s="41"/>
      <c r="G65" s="41"/>
      <c r="H65" s="65" t="str">
        <f>IFERROR(__xludf.DUMMYFUNCTION("""COMPUTED_VALUE"""),"研發中心:產品設計部:產品經理團隊")</f>
        <v>研發中心:產品設計部:產品經理團隊</v>
      </c>
      <c r="I65" s="41" t="str">
        <f>IFERROR(__xludf.DUMMYFUNCTION("""COMPUTED_VALUE"""),"資訊裝置")</f>
        <v>資訊裝置</v>
      </c>
      <c r="J65" s="41" t="str">
        <f>IFERROR(__xludf.DUMMYFUNCTION("""COMPUTED_VALUE"""),"AICHIP02004024")</f>
        <v>AICHIP02004024</v>
      </c>
      <c r="K65" s="41" t="str">
        <f>IFERROR(__xludf.DUMMYFUNCTION("""COMPUTED_VALUE"""),"iPad")</f>
        <v>iPad</v>
      </c>
      <c r="L65" s="41" t="str">
        <f>IFERROR(__xludf.DUMMYFUNCTION("""COMPUTED_VALUE"""),"DMPZCHSCJMVR")</f>
        <v>DMPZCHSCJMVR</v>
      </c>
      <c r="M65" s="41" t="str">
        <f>IFERROR(__xludf.DUMMYFUNCTION("""COMPUTED_VALUE"""),"法諾昕")</f>
        <v>法諾昕</v>
      </c>
      <c r="N65" s="65">
        <f>IFERROR(__xludf.DUMMYFUNCTION("""COMPUTED_VALUE"""),43944.0)</f>
        <v>43944</v>
      </c>
      <c r="O65" s="45">
        <f>IFERROR(__xludf.DUMMYFUNCTION("""COMPUTED_VALUE"""),9374.0)</f>
        <v>9374</v>
      </c>
      <c r="P65" s="41" t="str">
        <f>IFERROR(__xludf.DUMMYFUNCTION("""COMPUTED_VALUE"""),"資訊裝置")</f>
        <v>資訊裝置</v>
      </c>
      <c r="Q65" s="41">
        <f>IFERROR(__xludf.DUMMYFUNCTION("""COMPUTED_VALUE"""),36.0)</f>
        <v>36</v>
      </c>
      <c r="R65" s="41">
        <f>IFERROR(__xludf.DUMMYFUNCTION("""COMPUTED_VALUE"""),36.0)</f>
        <v>36</v>
      </c>
      <c r="S65" s="41" t="str">
        <f>IFERROR(__xludf.DUMMYFUNCTION("""COMPUTED_VALUE"""),"NT$9,374")</f>
        <v>NT$9,374</v>
      </c>
      <c r="T65" s="41" t="str">
        <f>IFERROR(__xludf.DUMMYFUNCTION("""COMPUTED_VALUE"""),"iPad (第六代) WI-FI 32GB(MRJN2TA/A)")</f>
        <v>iPad (第六代) WI-FI 32GB(MRJN2TA/A)</v>
      </c>
      <c r="U65" s="41"/>
      <c r="V65" s="41"/>
      <c r="W65" s="41"/>
      <c r="X65" s="45" t="str">
        <f>IFERROR(__xludf.DUMMYFUNCTION("""COMPUTED_VALUE"""),"")</f>
        <v/>
      </c>
      <c r="Y65" s="41"/>
      <c r="Z65" s="41"/>
      <c r="AA65" s="41"/>
      <c r="AB65" s="41"/>
      <c r="AC65" s="41"/>
      <c r="AD65" s="41"/>
      <c r="AE65" s="41"/>
      <c r="AF65" s="41"/>
      <c r="AG65" s="41"/>
      <c r="AH65" s="41"/>
    </row>
    <row r="66">
      <c r="B66" s="41"/>
      <c r="C66" s="41" t="str">
        <f>IFERROR(__xludf.DUMMYFUNCTION("""COMPUTED_VALUE"""),"滿三年更換")</f>
        <v>滿三年更換</v>
      </c>
      <c r="D66" s="41" t="str">
        <f>IFERROR(__xludf.DUMMYFUNCTION("""COMPUTED_VALUE"""),"TW")</f>
        <v>TW</v>
      </c>
      <c r="E66" s="41"/>
      <c r="F66" s="41"/>
      <c r="G66" s="41"/>
      <c r="H66" s="65" t="str">
        <f>IFERROR(__xludf.DUMMYFUNCTION("""COMPUTED_VALUE"""),"研發中心:產品設計部:產品經理團隊")</f>
        <v>研發中心:產品設計部:產品經理團隊</v>
      </c>
      <c r="I66" s="41" t="str">
        <f>IFERROR(__xludf.DUMMYFUNCTION("""COMPUTED_VALUE"""),"資訊裝置")</f>
        <v>資訊裝置</v>
      </c>
      <c r="J66" s="41" t="str">
        <f>IFERROR(__xludf.DUMMYFUNCTION("""COMPUTED_VALUE"""),"AICHMN01705043")</f>
        <v>AICHMN01705043</v>
      </c>
      <c r="K66" s="41" t="str">
        <f>IFERROR(__xludf.DUMMYFUNCTION("""COMPUTED_VALUE"""),"螢幕")</f>
        <v>螢幕</v>
      </c>
      <c r="L66" s="41" t="str">
        <f>IFERROR(__xludf.DUMMYFUNCTION("""COMPUTED_VALUE"""),"CN-07N2FG-TV100-83M-04ZS-A07")</f>
        <v>CN-07N2FG-TV100-83M-04ZS-A07</v>
      </c>
      <c r="M66" s="41" t="str">
        <f>IFERROR(__xludf.DUMMYFUNCTION("""COMPUTED_VALUE"""),"法諾昕")</f>
        <v>法諾昕</v>
      </c>
      <c r="N66" s="65">
        <f>IFERROR(__xludf.DUMMYFUNCTION("""COMPUTED_VALUE"""),43413.0)</f>
        <v>43413</v>
      </c>
      <c r="O66" s="45">
        <f>IFERROR(__xludf.DUMMYFUNCTION("""COMPUTED_VALUE"""),68300.0)</f>
        <v>68300</v>
      </c>
      <c r="P66" s="41" t="str">
        <f>IFERROR(__xludf.DUMMYFUNCTION("""COMPUTED_VALUE"""),"資訊裝置")</f>
        <v>資訊裝置</v>
      </c>
      <c r="Q66" s="41">
        <f>IFERROR(__xludf.DUMMYFUNCTION("""COMPUTED_VALUE"""),36.0)</f>
        <v>36</v>
      </c>
      <c r="R66" s="41">
        <f>IFERROR(__xludf.DUMMYFUNCTION("""COMPUTED_VALUE"""),36.0)</f>
        <v>36</v>
      </c>
      <c r="S66" s="41" t="str">
        <f>IFERROR(__xludf.DUMMYFUNCTION("""COMPUTED_VALUE"""),"NT$68,300")</f>
        <v>NT$68,300</v>
      </c>
      <c r="T66" s="41" t="str">
        <f>IFERROR(__xludf.DUMMYFUNCTION("""COMPUTED_VALUE"""),"Dell 24吋 U2412Mc")</f>
        <v>Dell 24吋 U2412Mc</v>
      </c>
      <c r="U66" s="41"/>
      <c r="V66" s="41"/>
      <c r="W66" s="41"/>
      <c r="X66" s="45" t="str">
        <f>IFERROR(__xludf.DUMMYFUNCTION("""COMPUTED_VALUE"""),"")</f>
        <v/>
      </c>
      <c r="Y66" s="41"/>
      <c r="Z66" s="41"/>
      <c r="AA66" s="41"/>
      <c r="AB66" s="41"/>
      <c r="AC66" s="41"/>
      <c r="AD66" s="41"/>
      <c r="AE66" s="41"/>
      <c r="AF66" s="41"/>
      <c r="AG66" s="41"/>
      <c r="AH66" s="41"/>
    </row>
    <row r="67">
      <c r="B67" s="41"/>
      <c r="C67" s="41" t="str">
        <f>IFERROR(__xludf.DUMMYFUNCTION("""COMPUTED_VALUE"""),"滿三年更換")</f>
        <v>滿三年更換</v>
      </c>
      <c r="D67" s="41" t="str">
        <f>IFERROR(__xludf.DUMMYFUNCTION("""COMPUTED_VALUE"""),"TW")</f>
        <v>TW</v>
      </c>
      <c r="E67" s="41"/>
      <c r="F67" s="41"/>
      <c r="G67" s="41"/>
      <c r="H67" s="65" t="str">
        <f>IFERROR(__xludf.DUMMYFUNCTION("""COMPUTED_VALUE"""),"行銷營運中心:銷售營運部:成交營運團隊")</f>
        <v>行銷營運中心:銷售營運部:成交營運團隊</v>
      </c>
      <c r="I67" s="41" t="str">
        <f>IFERROR(__xludf.DUMMYFUNCTION("""COMPUTED_VALUE"""),"資訊裝置")</f>
        <v>資訊裝置</v>
      </c>
      <c r="J67" s="41" t="str">
        <f>IFERROR(__xludf.DUMMYFUNCTION("""COMPUTED_VALUE"""),"AICHMA02106026")</f>
        <v>AICHMA02106026</v>
      </c>
      <c r="K67" s="41" t="str">
        <f>IFERROR(__xludf.DUMMYFUNCTION("""COMPUTED_VALUE"""),"Macbook Air")</f>
        <v>Macbook Air</v>
      </c>
      <c r="L67" s="41" t="str">
        <f>IFERROR(__xludf.DUMMYFUNCTION("""COMPUTED_VALUE"""),"FVFFV16RQ6L7")</f>
        <v>FVFFV16RQ6L7</v>
      </c>
      <c r="M67" s="41" t="str">
        <f>IFERROR(__xludf.DUMMYFUNCTION("""COMPUTED_VALUE"""),"邱芳儀")</f>
        <v>邱芳儀</v>
      </c>
      <c r="N67" s="65">
        <f>IFERROR(__xludf.DUMMYFUNCTION("""COMPUTED_VALUE"""),44370.0)</f>
        <v>44370</v>
      </c>
      <c r="O67" s="45">
        <f>IFERROR(__xludf.DUMMYFUNCTION("""COMPUTED_VALUE"""),27075.0)</f>
        <v>27075</v>
      </c>
      <c r="P67" s="41" t="str">
        <f>IFERROR(__xludf.DUMMYFUNCTION("""COMPUTED_VALUE"""),"資訊裝置")</f>
        <v>資訊裝置</v>
      </c>
      <c r="Q67" s="41">
        <f>IFERROR(__xludf.DUMMYFUNCTION("""COMPUTED_VALUE"""),36.0)</f>
        <v>36</v>
      </c>
      <c r="R67" s="41">
        <f>IFERROR(__xludf.DUMMYFUNCTION("""COMPUTED_VALUE"""),36.0)</f>
        <v>36</v>
      </c>
      <c r="S67" s="41" t="str">
        <f>IFERROR(__xludf.DUMMYFUNCTION("""COMPUTED_VALUE"""),"NT$27,075")</f>
        <v>NT$27,075</v>
      </c>
      <c r="T67" s="41" t="str">
        <f>IFERROR(__xludf.DUMMYFUNCTION("""COMPUTED_VALUE"""),"A2337 MBA13 (2020) M1/8GBRAM/256GBSSD")</f>
        <v>A2337 MBA13 (2020) M1/8GBRAM/256GBSSD</v>
      </c>
      <c r="U67" s="41"/>
      <c r="V67" s="41"/>
      <c r="W67" s="41"/>
      <c r="X67" s="45" t="str">
        <f>IFERROR(__xludf.DUMMYFUNCTION("""COMPUTED_VALUE"""),"")</f>
        <v/>
      </c>
      <c r="Y67" s="41"/>
      <c r="Z67" s="41"/>
      <c r="AA67" s="41"/>
      <c r="AB67" s="41"/>
      <c r="AC67" s="41"/>
      <c r="AD67" s="41"/>
      <c r="AE67" s="41"/>
      <c r="AF67" s="41"/>
      <c r="AG67" s="41"/>
      <c r="AH67" s="41"/>
    </row>
    <row r="68">
      <c r="B68" s="41"/>
      <c r="C68" s="41" t="str">
        <f>IFERROR(__xludf.DUMMYFUNCTION("""COMPUTED_VALUE"""),"滿三年更換")</f>
        <v>滿三年更換</v>
      </c>
      <c r="D68" s="41" t="str">
        <f>IFERROR(__xludf.DUMMYFUNCTION("""COMPUTED_VALUE"""),"TW")</f>
        <v>TW</v>
      </c>
      <c r="E68" s="41"/>
      <c r="F68" s="41"/>
      <c r="G68" s="41"/>
      <c r="H68" s="65" t="str">
        <f>IFERROR(__xludf.DUMMYFUNCTION("""COMPUTED_VALUE"""),"行銷營運中心:銷售營運部:客戶導入團隊")</f>
        <v>行銷營運中心:銷售營運部:客戶導入團隊</v>
      </c>
      <c r="I68" s="41" t="str">
        <f>IFERROR(__xludf.DUMMYFUNCTION("""COMPUTED_VALUE"""),"資訊裝置")</f>
        <v>資訊裝置</v>
      </c>
      <c r="J68" s="41" t="str">
        <f>IFERROR(__xludf.DUMMYFUNCTION("""COMPUTED_VALUE"""),"AICHMN01604021")</f>
        <v>AICHMN01604021</v>
      </c>
      <c r="K68" s="41" t="str">
        <f>IFERROR(__xludf.DUMMYFUNCTION("""COMPUTED_VALUE"""),"螢幕")</f>
        <v>螢幕</v>
      </c>
      <c r="L68" s="41" t="str">
        <f>IFERROR(__xludf.DUMMYFUNCTION("""COMPUTED_VALUE"""),"CN-0MTYGK-64180-58T-0GXL")</f>
        <v>CN-0MTYGK-64180-58T-0GXL</v>
      </c>
      <c r="M68" s="41" t="str">
        <f>IFERROR(__xludf.DUMMYFUNCTION("""COMPUTED_VALUE"""),"邱郁婷")</f>
        <v>邱郁婷</v>
      </c>
      <c r="N68" s="65">
        <f>IFERROR(__xludf.DUMMYFUNCTION("""COMPUTED_VALUE"""),42468.0)</f>
        <v>42468</v>
      </c>
      <c r="O68" s="41"/>
      <c r="P68" s="41" t="str">
        <f>IFERROR(__xludf.DUMMYFUNCTION("""COMPUTED_VALUE"""),"資訊裝置")</f>
        <v>資訊裝置</v>
      </c>
      <c r="Q68" s="41">
        <f>IFERROR(__xludf.DUMMYFUNCTION("""COMPUTED_VALUE"""),36.0)</f>
        <v>36</v>
      </c>
      <c r="R68" s="41">
        <f>IFERROR(__xludf.DUMMYFUNCTION("""COMPUTED_VALUE"""),36.0)</f>
        <v>36</v>
      </c>
      <c r="S68" s="41" t="str">
        <f>IFERROR(__xludf.DUMMYFUNCTION("""COMPUTED_VALUE"""),"NT$0")</f>
        <v>NT$0</v>
      </c>
      <c r="T68" s="41" t="str">
        <f>IFERROR(__xludf.DUMMYFUNCTION("""COMPUTED_VALUE"""),"Dell 24吋 U2412Mc")</f>
        <v>Dell 24吋 U2412Mc</v>
      </c>
      <c r="U68" s="41"/>
      <c r="V68" s="41"/>
      <c r="W68" s="41"/>
      <c r="X68" s="45" t="str">
        <f>IFERROR(__xludf.DUMMYFUNCTION("""COMPUTED_VALUE"""),"")</f>
        <v/>
      </c>
      <c r="Y68" s="41"/>
      <c r="Z68" s="41"/>
      <c r="AA68" s="41"/>
      <c r="AB68" s="41"/>
      <c r="AC68" s="41"/>
      <c r="AD68" s="41"/>
      <c r="AE68" s="41"/>
      <c r="AF68" s="41"/>
      <c r="AG68" s="41"/>
      <c r="AH68" s="41"/>
    </row>
    <row r="69">
      <c r="B69" s="41"/>
      <c r="C69" s="41" t="str">
        <f>IFERROR(__xludf.DUMMYFUNCTION("""COMPUTED_VALUE"""),"滿三年更換")</f>
        <v>滿三年更換</v>
      </c>
      <c r="D69" s="41" t="str">
        <f>IFERROR(__xludf.DUMMYFUNCTION("""COMPUTED_VALUE"""),"TW")</f>
        <v>TW</v>
      </c>
      <c r="E69" s="41"/>
      <c r="F69" s="41"/>
      <c r="G69" s="41"/>
      <c r="H69" s="65" t="str">
        <f>IFERROR(__xludf.DUMMYFUNCTION("""COMPUTED_VALUE"""),"管理中心:人資部:人資團隊")</f>
        <v>管理中心:人資部:人資團隊</v>
      </c>
      <c r="I69" s="41" t="str">
        <f>IFERROR(__xludf.DUMMYFUNCTION("""COMPUTED_VALUE"""),"資訊裝置")</f>
        <v>資訊裝置</v>
      </c>
      <c r="J69" s="41" t="str">
        <f>IFERROR(__xludf.DUMMYFUNCTION("""COMPUTED_VALUE"""),"AICHMN01604003")</f>
        <v>AICHMN01604003</v>
      </c>
      <c r="K69" s="41" t="str">
        <f>IFERROR(__xludf.DUMMYFUNCTION("""COMPUTED_VALUE"""),"螢幕")</f>
        <v>螢幕</v>
      </c>
      <c r="L69" s="41" t="str">
        <f>IFERROR(__xludf.DUMMYFUNCTION("""COMPUTED_VALUE"""),"CN-0RWTY8-64180-68T-0G7L-A03")</f>
        <v>CN-0RWTY8-64180-68T-0G7L-A03</v>
      </c>
      <c r="M69" s="41" t="str">
        <f>IFERROR(__xludf.DUMMYFUNCTION("""COMPUTED_VALUE"""),"邱音綺")</f>
        <v>邱音綺</v>
      </c>
      <c r="N69" s="65">
        <f>IFERROR(__xludf.DUMMYFUNCTION("""COMPUTED_VALUE"""),42468.0)</f>
        <v>42468</v>
      </c>
      <c r="O69" s="41"/>
      <c r="P69" s="41" t="str">
        <f>IFERROR(__xludf.DUMMYFUNCTION("""COMPUTED_VALUE"""),"資訊裝置")</f>
        <v>資訊裝置</v>
      </c>
      <c r="Q69" s="41">
        <f>IFERROR(__xludf.DUMMYFUNCTION("""COMPUTED_VALUE"""),36.0)</f>
        <v>36</v>
      </c>
      <c r="R69" s="41">
        <f>IFERROR(__xludf.DUMMYFUNCTION("""COMPUTED_VALUE"""),36.0)</f>
        <v>36</v>
      </c>
      <c r="S69" s="41" t="str">
        <f>IFERROR(__xludf.DUMMYFUNCTION("""COMPUTED_VALUE"""),"NT$0")</f>
        <v>NT$0</v>
      </c>
      <c r="T69" s="41" t="str">
        <f>IFERROR(__xludf.DUMMYFUNCTION("""COMPUTED_VALUE"""),"Dell 24吋 U2412Mc")</f>
        <v>Dell 24吋 U2412Mc</v>
      </c>
      <c r="U69" s="41"/>
      <c r="V69" s="41"/>
      <c r="W69" s="41"/>
      <c r="X69" s="45" t="str">
        <f>IFERROR(__xludf.DUMMYFUNCTION("""COMPUTED_VALUE"""),"")</f>
        <v/>
      </c>
      <c r="Y69" s="41"/>
      <c r="Z69" s="41"/>
      <c r="AA69" s="41"/>
      <c r="AB69" s="41"/>
      <c r="AC69" s="41"/>
      <c r="AD69" s="41"/>
      <c r="AE69" s="41"/>
      <c r="AF69" s="41"/>
      <c r="AG69" s="41"/>
      <c r="AH69" s="41"/>
    </row>
    <row r="70">
      <c r="B70" s="41"/>
      <c r="C70" s="41" t="str">
        <f>IFERROR(__xludf.DUMMYFUNCTION("""COMPUTED_VALUE"""),"滿三年更換")</f>
        <v>滿三年更換</v>
      </c>
      <c r="D70" s="41" t="str">
        <f>IFERROR(__xludf.DUMMYFUNCTION("""COMPUTED_VALUE"""),"TW")</f>
        <v>TW</v>
      </c>
      <c r="E70" s="41"/>
      <c r="F70" s="41"/>
      <c r="G70" s="41"/>
      <c r="H70" s="41" t="str">
        <f>IFERROR(__xludf.DUMMYFUNCTION("""COMPUTED_VALUE"""),"財務中心:會計部")</f>
        <v>財務中心:會計部</v>
      </c>
      <c r="I70" s="41" t="str">
        <f>IFERROR(__xludf.DUMMYFUNCTION("""COMPUTED_VALUE"""),"資訊裝置")</f>
        <v>資訊裝置</v>
      </c>
      <c r="J70" s="41" t="str">
        <f>IFERROR(__xludf.DUMMYFUNCTION("""COMPUTED_VALUE"""),"AICHMN01811048")</f>
        <v>AICHMN01811048</v>
      </c>
      <c r="K70" s="41" t="str">
        <f>IFERROR(__xludf.DUMMYFUNCTION("""COMPUTED_VALUE"""),"螢幕")</f>
        <v>螢幕</v>
      </c>
      <c r="L70" s="41" t="str">
        <f>IFERROR(__xludf.DUMMYFUNCTION("""COMPUTED_VALUE"""),"CN-043D22-TV100-88K-0T0B-A04")</f>
        <v>CN-043D22-TV100-88K-0T0B-A04</v>
      </c>
      <c r="M70" s="41" t="str">
        <f>IFERROR(__xludf.DUMMYFUNCTION("""COMPUTED_VALUE"""),"邱珮綺")</f>
        <v>邱珮綺</v>
      </c>
      <c r="N70" s="66">
        <f>IFERROR(__xludf.DUMMYFUNCTION("""COMPUTED_VALUE"""),43397.0)</f>
        <v>43397</v>
      </c>
      <c r="O70" s="45">
        <f>IFERROR(__xludf.DUMMYFUNCTION("""COMPUTED_VALUE"""),5512.0)</f>
        <v>5512</v>
      </c>
      <c r="P70" s="41" t="str">
        <f>IFERROR(__xludf.DUMMYFUNCTION("""COMPUTED_VALUE"""),"資訊裝置")</f>
        <v>資訊裝置</v>
      </c>
      <c r="Q70" s="41">
        <f>IFERROR(__xludf.DUMMYFUNCTION("""COMPUTED_VALUE"""),36.0)</f>
        <v>36</v>
      </c>
      <c r="R70" s="41">
        <f>IFERROR(__xludf.DUMMYFUNCTION("""COMPUTED_VALUE"""),36.0)</f>
        <v>36</v>
      </c>
      <c r="S70" s="41" t="str">
        <f>IFERROR(__xludf.DUMMYFUNCTION("""COMPUTED_VALUE"""),"NT$5,512")</f>
        <v>NT$5,512</v>
      </c>
      <c r="T70" s="41" t="str">
        <f>IFERROR(__xludf.DUMMYFUNCTION("""COMPUTED_VALUE"""),"Dell 24吋 SE2416H")</f>
        <v>Dell 24吋 SE2416H</v>
      </c>
      <c r="U70" s="41"/>
      <c r="V70" s="41"/>
      <c r="W70" s="41"/>
      <c r="X70" s="45" t="str">
        <f>IFERROR(__xludf.DUMMYFUNCTION("""COMPUTED_VALUE"""),"")</f>
        <v/>
      </c>
      <c r="Y70" s="41"/>
      <c r="Z70" s="41"/>
      <c r="AA70" s="41"/>
      <c r="AB70" s="41"/>
      <c r="AC70" s="41"/>
      <c r="AD70" s="41"/>
      <c r="AE70" s="41"/>
      <c r="AF70" s="41"/>
      <c r="AG70" s="41"/>
      <c r="AH70" s="41"/>
    </row>
    <row r="71">
      <c r="B71" s="41"/>
      <c r="C71" s="41" t="str">
        <f>IFERROR(__xludf.DUMMYFUNCTION("""COMPUTED_VALUE"""),"滿三年更換")</f>
        <v>滿三年更換</v>
      </c>
      <c r="D71" s="41" t="str">
        <f>IFERROR(__xludf.DUMMYFUNCTION("""COMPUTED_VALUE"""),"TW")</f>
        <v>TW</v>
      </c>
      <c r="E71" s="41"/>
      <c r="F71" s="41"/>
      <c r="G71" s="41"/>
      <c r="H71" s="65" t="str">
        <f>IFERROR(__xludf.DUMMYFUNCTION("""COMPUTED_VALUE"""),"研發中心:軟體工程部:後端團隊")</f>
        <v>研發中心:軟體工程部:後端團隊</v>
      </c>
      <c r="I71" s="41" t="str">
        <f>IFERROR(__xludf.DUMMYFUNCTION("""COMPUTED_VALUE"""),"資訊裝置")</f>
        <v>資訊裝置</v>
      </c>
      <c r="J71" s="41" t="str">
        <f>IFERROR(__xludf.DUMMYFUNCTION("""COMPUTED_VALUE"""),"AICHMP02209050")</f>
        <v>AICHMP02209050</v>
      </c>
      <c r="K71" s="41" t="str">
        <f>IFERROR(__xludf.DUMMYFUNCTION("""COMPUTED_VALUE"""),"Macbook Pro")</f>
        <v>Macbook Pro</v>
      </c>
      <c r="L71" s="41" t="str">
        <f>IFERROR(__xludf.DUMMYFUNCTION("""COMPUTED_VALUE"""),"GK4G5L2RFV")</f>
        <v>GK4G5L2RFV</v>
      </c>
      <c r="M71" s="41" t="str">
        <f>IFERROR(__xludf.DUMMYFUNCTION("""COMPUTED_VALUE"""),"徐子秦")</f>
        <v>徐子秦</v>
      </c>
      <c r="N71" s="65">
        <f>IFERROR(__xludf.DUMMYFUNCTION("""COMPUTED_VALUE"""),44810.0)</f>
        <v>44810</v>
      </c>
      <c r="O71" s="45">
        <f>IFERROR(__xludf.DUMMYFUNCTION("""COMPUTED_VALUE"""),76200.0)</f>
        <v>76200</v>
      </c>
      <c r="P71" s="41" t="str">
        <f>IFERROR(__xludf.DUMMYFUNCTION("""COMPUTED_VALUE"""),"資訊裝置")</f>
        <v>資訊裝置</v>
      </c>
      <c r="Q71" s="41">
        <f>IFERROR(__xludf.DUMMYFUNCTION("""COMPUTED_VALUE"""),36.0)</f>
        <v>36</v>
      </c>
      <c r="R71" s="41">
        <f>IFERROR(__xludf.DUMMYFUNCTION("""COMPUTED_VALUE"""),36.0)</f>
        <v>36</v>
      </c>
      <c r="S71" s="41" t="str">
        <f>IFERROR(__xludf.DUMMYFUNCTION("""COMPUTED_VALUE"""),"NT$76,200")</f>
        <v>NT$76,200</v>
      </c>
      <c r="T71" s="41" t="str">
        <f>IFERROR(__xludf.DUMMYFUNCTION("""COMPUTED_VALUE"""),"MBP14 (2021)  M1Pro/32GBRAM/1TBGBSSD")</f>
        <v>MBP14 (2021)  M1Pro/32GBRAM/1TBGBSSD</v>
      </c>
      <c r="U71" s="41"/>
      <c r="V71" s="41"/>
      <c r="W71" s="41"/>
      <c r="X71" s="45" t="str">
        <f>IFERROR(__xludf.DUMMYFUNCTION("""COMPUTED_VALUE"""),"")</f>
        <v/>
      </c>
      <c r="Y71" s="41"/>
      <c r="Z71" s="41"/>
      <c r="AA71" s="41"/>
      <c r="AB71" s="41"/>
      <c r="AC71" s="41"/>
      <c r="AD71" s="41"/>
      <c r="AE71" s="41"/>
      <c r="AF71" s="41"/>
      <c r="AG71" s="41"/>
      <c r="AH71" s="41"/>
    </row>
    <row r="72">
      <c r="B72" s="41"/>
      <c r="C72" s="41" t="str">
        <f>IFERROR(__xludf.DUMMYFUNCTION("""COMPUTED_VALUE"""),"滿三年更換")</f>
        <v>滿三年更換</v>
      </c>
      <c r="D72" s="41" t="str">
        <f>IFERROR(__xludf.DUMMYFUNCTION("""COMPUTED_VALUE"""),"TW")</f>
        <v>TW</v>
      </c>
      <c r="E72" s="41"/>
      <c r="F72" s="41"/>
      <c r="G72" s="41"/>
      <c r="H72" s="65" t="str">
        <f>IFERROR(__xludf.DUMMYFUNCTION("""COMPUTED_VALUE"""),"行銷營運中心:社群關係部:餐廳社群團隊")</f>
        <v>行銷營運中心:社群關係部:餐廳社群團隊</v>
      </c>
      <c r="I72" s="41" t="str">
        <f>IFERROR(__xludf.DUMMYFUNCTION("""COMPUTED_VALUE"""),"資訊裝置")</f>
        <v>資訊裝置</v>
      </c>
      <c r="J72" s="41" t="str">
        <f>IFERROR(__xludf.DUMMYFUNCTION("""COMPUTED_VALUE"""),"AICHMN02009078")</f>
        <v>AICHMN02009078</v>
      </c>
      <c r="K72" s="41" t="str">
        <f>IFERROR(__xludf.DUMMYFUNCTION("""COMPUTED_VALUE"""),"螢幕")</f>
        <v>螢幕</v>
      </c>
      <c r="L72" s="41" t="str">
        <f>IFERROR(__xludf.DUMMYFUNCTION("""COMPUTED_VALUE"""),"CN-0Y2YF1-QDC00-07S-04QS-A16")</f>
        <v>CN-0Y2YF1-QDC00-07S-04QS-A16</v>
      </c>
      <c r="M72" s="41" t="str">
        <f>IFERROR(__xludf.DUMMYFUNCTION("""COMPUTED_VALUE"""),"徐唯宸")</f>
        <v>徐唯宸</v>
      </c>
      <c r="N72" s="65">
        <f>IFERROR(__xludf.DUMMYFUNCTION("""COMPUTED_VALUE"""),44097.0)</f>
        <v>44097</v>
      </c>
      <c r="O72" s="41"/>
      <c r="P72" s="41" t="str">
        <f>IFERROR(__xludf.DUMMYFUNCTION("""COMPUTED_VALUE"""),"資訊裝置")</f>
        <v>資訊裝置</v>
      </c>
      <c r="Q72" s="41">
        <f>IFERROR(__xludf.DUMMYFUNCTION("""COMPUTED_VALUE"""),36.0)</f>
        <v>36</v>
      </c>
      <c r="R72" s="41">
        <f>IFERROR(__xludf.DUMMYFUNCTION("""COMPUTED_VALUE"""),36.0)</f>
        <v>36</v>
      </c>
      <c r="S72" s="41" t="str">
        <f>IFERROR(__xludf.DUMMYFUNCTION("""COMPUTED_VALUE"""),"NT$0")</f>
        <v>NT$0</v>
      </c>
      <c r="T72" s="41" t="str">
        <f>IFERROR(__xludf.DUMMYFUNCTION("""COMPUTED_VALUE"""),"Dell 24吋 U2415")</f>
        <v>Dell 24吋 U2415</v>
      </c>
      <c r="U72" s="41"/>
      <c r="V72" s="41"/>
      <c r="W72" s="41"/>
      <c r="X72" s="45" t="str">
        <f>IFERROR(__xludf.DUMMYFUNCTION("""COMPUTED_VALUE"""),"")</f>
        <v/>
      </c>
      <c r="Y72" s="41"/>
      <c r="Z72" s="41"/>
      <c r="AA72" s="41"/>
      <c r="AB72" s="41"/>
      <c r="AC72" s="41"/>
      <c r="AD72" s="41"/>
      <c r="AE72" s="41"/>
      <c r="AF72" s="41"/>
      <c r="AG72" s="41"/>
      <c r="AH72" s="41"/>
    </row>
    <row r="73">
      <c r="B73" s="41"/>
      <c r="C73" s="41" t="str">
        <f>IFERROR(__xludf.DUMMYFUNCTION("""COMPUTED_VALUE"""),"滿三年更換")</f>
        <v>滿三年更換</v>
      </c>
      <c r="D73" s="41" t="str">
        <f>IFERROR(__xludf.DUMMYFUNCTION("""COMPUTED_VALUE"""),"TW")</f>
        <v>TW</v>
      </c>
      <c r="E73" s="41"/>
      <c r="F73" s="41"/>
      <c r="G73" s="41"/>
      <c r="H73" s="41" t="str">
        <f>IFERROR(__xludf.DUMMYFUNCTION("""COMPUTED_VALUE"""),"策略資料中心:策略規劃部")</f>
        <v>策略資料中心:策略規劃部</v>
      </c>
      <c r="I73" s="41" t="str">
        <f>IFERROR(__xludf.DUMMYFUNCTION("""COMPUTED_VALUE"""),"資訊裝置")</f>
        <v>資訊裝置</v>
      </c>
      <c r="J73" s="41" t="str">
        <f>IFERROR(__xludf.DUMMYFUNCTION("""COMPUTED_VALUE"""),"AICHMN01604028")</f>
        <v>AICHMN01604028</v>
      </c>
      <c r="K73" s="41" t="str">
        <f>IFERROR(__xludf.DUMMYFUNCTION("""COMPUTED_VALUE"""),"螢幕")</f>
        <v>螢幕</v>
      </c>
      <c r="L73" s="41" t="str">
        <f>IFERROR(__xludf.DUMMYFUNCTION("""COMPUTED_VALUE"""),"CN-07JNY5-74445-43F-1035")</f>
        <v>CN-07JNY5-74445-43F-1035</v>
      </c>
      <c r="M73" s="41" t="str">
        <f>IFERROR(__xludf.DUMMYFUNCTION("""COMPUTED_VALUE"""),"徐揚真")</f>
        <v>徐揚真</v>
      </c>
      <c r="N73" s="65">
        <f>IFERROR(__xludf.DUMMYFUNCTION("""COMPUTED_VALUE"""),42468.0)</f>
        <v>42468</v>
      </c>
      <c r="O73" s="41"/>
      <c r="P73" s="41" t="str">
        <f>IFERROR(__xludf.DUMMYFUNCTION("""COMPUTED_VALUE"""),"資訊裝置")</f>
        <v>資訊裝置</v>
      </c>
      <c r="Q73" s="41">
        <f>IFERROR(__xludf.DUMMYFUNCTION("""COMPUTED_VALUE"""),36.0)</f>
        <v>36</v>
      </c>
      <c r="R73" s="41">
        <f>IFERROR(__xludf.DUMMYFUNCTION("""COMPUTED_VALUE"""),36.0)</f>
        <v>36</v>
      </c>
      <c r="S73" s="41" t="str">
        <f>IFERROR(__xludf.DUMMYFUNCTION("""COMPUTED_VALUE"""),"NT$0")</f>
        <v>NT$0</v>
      </c>
      <c r="T73" s="41" t="str">
        <f>IFERROR(__xludf.DUMMYFUNCTION("""COMPUTED_VALUE"""),"Dell 27吋 U2713H")</f>
        <v>Dell 27吋 U2713H</v>
      </c>
      <c r="U73" s="41"/>
      <c r="V73" s="41"/>
      <c r="W73" s="41"/>
      <c r="X73" s="45" t="str">
        <f>IFERROR(__xludf.DUMMYFUNCTION("""COMPUTED_VALUE"""),"")</f>
        <v/>
      </c>
      <c r="Y73" s="41"/>
      <c r="Z73" s="41"/>
      <c r="AA73" s="41"/>
      <c r="AB73" s="41"/>
      <c r="AC73" s="41"/>
      <c r="AD73" s="41"/>
      <c r="AE73" s="41"/>
      <c r="AF73" s="41"/>
      <c r="AG73" s="41"/>
      <c r="AH73" s="41"/>
    </row>
    <row r="74">
      <c r="B74" s="41"/>
      <c r="C74" s="41" t="str">
        <f>IFERROR(__xludf.DUMMYFUNCTION("""COMPUTED_VALUE"""),"滿三年更換")</f>
        <v>滿三年更換</v>
      </c>
      <c r="D74" s="41" t="str">
        <f>IFERROR(__xludf.DUMMYFUNCTION("""COMPUTED_VALUE"""),"TW")</f>
        <v>TW</v>
      </c>
      <c r="E74" s="41"/>
      <c r="F74" s="41"/>
      <c r="G74" s="41"/>
      <c r="H74" s="65" t="str">
        <f>IFERROR(__xludf.DUMMYFUNCTION("""COMPUTED_VALUE"""),"研發中心:產品設計部:產品設計師團隊")</f>
        <v>研發中心:產品設計部:產品設計師團隊</v>
      </c>
      <c r="I74" s="41" t="str">
        <f>IFERROR(__xludf.DUMMYFUNCTION("""COMPUTED_VALUE"""),"資訊裝置")</f>
        <v>資訊裝置</v>
      </c>
      <c r="J74" s="41" t="str">
        <f>IFERROR(__xludf.DUMMYFUNCTION("""COMPUTED_VALUE"""),"AICHMP02108035")</f>
        <v>AICHMP02108035</v>
      </c>
      <c r="K74" s="41" t="str">
        <f>IFERROR(__xludf.DUMMYFUNCTION("""COMPUTED_VALUE"""),"Macbook Pro")</f>
        <v>Macbook Pro</v>
      </c>
      <c r="L74" s="41" t="str">
        <f>IFERROR(__xludf.DUMMYFUNCTION("""COMPUTED_VALUE"""),"C02G459KQ05P")</f>
        <v>C02G459KQ05P</v>
      </c>
      <c r="M74" s="41" t="str">
        <f>IFERROR(__xludf.DUMMYFUNCTION("""COMPUTED_VALUE"""),"翁品潔")</f>
        <v>翁品潔</v>
      </c>
      <c r="N74" s="65">
        <f>IFERROR(__xludf.DUMMYFUNCTION("""COMPUTED_VALUE"""),44414.0)</f>
        <v>44414</v>
      </c>
      <c r="O74" s="45">
        <f>IFERROR(__xludf.DUMMYFUNCTION("""COMPUTED_VALUE"""),45500.0)</f>
        <v>45500</v>
      </c>
      <c r="P74" s="41" t="str">
        <f>IFERROR(__xludf.DUMMYFUNCTION("""COMPUTED_VALUE"""),"資訊裝置")</f>
        <v>資訊裝置</v>
      </c>
      <c r="Q74" s="41">
        <f>IFERROR(__xludf.DUMMYFUNCTION("""COMPUTED_VALUE"""),36.0)</f>
        <v>36</v>
      </c>
      <c r="R74" s="41">
        <f>IFERROR(__xludf.DUMMYFUNCTION("""COMPUTED_VALUE"""),36.0)</f>
        <v>36</v>
      </c>
      <c r="S74" s="41" t="str">
        <f>IFERROR(__xludf.DUMMYFUNCTION("""COMPUTED_VALUE"""),"NT$45,500")</f>
        <v>NT$45,500</v>
      </c>
      <c r="T74" s="41" t="str">
        <f>IFERROR(__xludf.DUMMYFUNCTION("""COMPUTED_VALUE"""),"A2338 MBP13 (2020) M1/16GBRAM/512GBSSD")</f>
        <v>A2338 MBP13 (2020) M1/16GBRAM/512GBSSD</v>
      </c>
      <c r="U74" s="41"/>
      <c r="V74" s="41"/>
      <c r="W74" s="41"/>
      <c r="X74" s="45" t="str">
        <f>IFERROR(__xludf.DUMMYFUNCTION("""COMPUTED_VALUE"""),"")</f>
        <v/>
      </c>
      <c r="Y74" s="41"/>
      <c r="Z74" s="41"/>
      <c r="AA74" s="41"/>
      <c r="AB74" s="41"/>
      <c r="AC74" s="41"/>
      <c r="AD74" s="41"/>
      <c r="AE74" s="41"/>
      <c r="AF74" s="41"/>
      <c r="AG74" s="41"/>
      <c r="AH74" s="41"/>
    </row>
    <row r="75">
      <c r="B75" s="41"/>
      <c r="C75" s="41" t="str">
        <f>IFERROR(__xludf.DUMMYFUNCTION("""COMPUTED_VALUE"""),"滿三年更換")</f>
        <v>滿三年更換</v>
      </c>
      <c r="D75" s="41" t="str">
        <f>IFERROR(__xludf.DUMMYFUNCTION("""COMPUTED_VALUE"""),"TW")</f>
        <v>TW</v>
      </c>
      <c r="E75" s="41"/>
      <c r="F75" s="41"/>
      <c r="G75" s="41"/>
      <c r="H75" s="65" t="str">
        <f>IFERROR(__xludf.DUMMYFUNCTION("""COMPUTED_VALUE"""),"研發中心:產品設計部:產品設計師團隊")</f>
        <v>研發中心:產品設計部:產品設計師團隊</v>
      </c>
      <c r="I75" s="41" t="str">
        <f>IFERROR(__xludf.DUMMYFUNCTION("""COMPUTED_VALUE"""),"資訊裝置")</f>
        <v>資訊裝置</v>
      </c>
      <c r="J75" s="41" t="str">
        <f>IFERROR(__xludf.DUMMYFUNCTION("""COMPUTED_VALUE"""),"AICHIP02107065")</f>
        <v>AICHIP02107065</v>
      </c>
      <c r="K75" s="41" t="str">
        <f>IFERROR(__xludf.DUMMYFUNCTION("""COMPUTED_VALUE"""),"iPad")</f>
        <v>iPad</v>
      </c>
      <c r="L75" s="41" t="str">
        <f>IFERROR(__xludf.DUMMYFUNCTION("""COMPUTED_VALUE"""),"F9FFQ4P6Q1GD")</f>
        <v>F9FFQ4P6Q1GD</v>
      </c>
      <c r="M75" s="41" t="str">
        <f>IFERROR(__xludf.DUMMYFUNCTION("""COMPUTED_VALUE"""),"翁品潔")</f>
        <v>翁品潔</v>
      </c>
      <c r="N75" s="65">
        <f>IFERROR(__xludf.DUMMYFUNCTION("""COMPUTED_VALUE"""),44398.0)</f>
        <v>44398</v>
      </c>
      <c r="O75" s="45">
        <f>IFERROR(__xludf.DUMMYFUNCTION("""COMPUTED_VALUE"""),9450.0)</f>
        <v>9450</v>
      </c>
      <c r="P75" s="41" t="str">
        <f>IFERROR(__xludf.DUMMYFUNCTION("""COMPUTED_VALUE"""),"資訊裝置")</f>
        <v>資訊裝置</v>
      </c>
      <c r="Q75" s="41">
        <f>IFERROR(__xludf.DUMMYFUNCTION("""COMPUTED_VALUE"""),36.0)</f>
        <v>36</v>
      </c>
      <c r="R75" s="41">
        <f>IFERROR(__xludf.DUMMYFUNCTION("""COMPUTED_VALUE"""),36.0)</f>
        <v>36</v>
      </c>
      <c r="S75" s="41" t="str">
        <f>IFERROR(__xludf.DUMMYFUNCTION("""COMPUTED_VALUE"""),"NT$9,450")</f>
        <v>NT$9,450</v>
      </c>
      <c r="T75" s="41" t="str">
        <f>IFERROR(__xludf.DUMMYFUNCTION("""COMPUTED_VALUE"""),"iPad (第八代) 128GB WiFi(A2270)")</f>
        <v>iPad (第八代) 128GB WiFi(A2270)</v>
      </c>
      <c r="U75" s="41"/>
      <c r="V75" s="41"/>
      <c r="W75" s="41"/>
      <c r="X75" s="45" t="str">
        <f>IFERROR(__xludf.DUMMYFUNCTION("""COMPUTED_VALUE"""),"")</f>
        <v/>
      </c>
      <c r="Y75" s="41"/>
      <c r="Z75" s="41"/>
      <c r="AA75" s="41"/>
      <c r="AB75" s="41"/>
      <c r="AC75" s="41"/>
      <c r="AD75" s="41"/>
      <c r="AE75" s="41"/>
      <c r="AF75" s="41"/>
      <c r="AG75" s="41"/>
      <c r="AH75" s="41"/>
    </row>
    <row r="76">
      <c r="B76" s="41"/>
      <c r="C76" s="41" t="str">
        <f>IFERROR(__xludf.DUMMYFUNCTION("""COMPUTED_VALUE"""),"滿三年更換")</f>
        <v>滿三年更換</v>
      </c>
      <c r="D76" s="41" t="str">
        <f>IFERROR(__xludf.DUMMYFUNCTION("""COMPUTED_VALUE"""),"TW")</f>
        <v>TW</v>
      </c>
      <c r="E76" s="41"/>
      <c r="F76" s="41"/>
      <c r="G76" s="41"/>
      <c r="H76" s="65" t="str">
        <f>IFERROR(__xludf.DUMMYFUNCTION("""COMPUTED_VALUE"""),"研發中心:產品設計部:產品設計師團隊")</f>
        <v>研發中心:產品設計部:產品設計師團隊</v>
      </c>
      <c r="I76" s="41" t="str">
        <f>IFERROR(__xludf.DUMMYFUNCTION("""COMPUTED_VALUE"""),"資訊裝置")</f>
        <v>資訊裝置</v>
      </c>
      <c r="J76" s="41" t="str">
        <f>IFERROR(__xludf.DUMMYFUNCTION("""COMPUTED_VALUE"""),"AICHMN02108102")</f>
        <v>AICHMN02108102</v>
      </c>
      <c r="K76" s="41" t="str">
        <f>IFERROR(__xludf.DUMMYFUNCTION("""COMPUTED_VALUE"""),"螢幕")</f>
        <v>螢幕</v>
      </c>
      <c r="L76" s="41" t="str">
        <f>IFERROR(__xludf.DUMMYFUNCTION("""COMPUTED_VALUE"""),"CN-045BFC-WSL00-163-0038-A04")</f>
        <v>CN-045BFC-WSL00-163-0038-A04</v>
      </c>
      <c r="M76" s="41" t="str">
        <f>IFERROR(__xludf.DUMMYFUNCTION("""COMPUTED_VALUE"""),"翁品潔")</f>
        <v>翁品潔</v>
      </c>
      <c r="N76" s="65">
        <f>IFERROR(__xludf.DUMMYFUNCTION("""COMPUTED_VALUE"""),44418.0)</f>
        <v>44418</v>
      </c>
      <c r="O76" s="45">
        <f>IFERROR(__xludf.DUMMYFUNCTION("""COMPUTED_VALUE"""),11550.0)</f>
        <v>11550</v>
      </c>
      <c r="P76" s="41" t="str">
        <f>IFERROR(__xludf.DUMMYFUNCTION("""COMPUTED_VALUE"""),"資訊裝置")</f>
        <v>資訊裝置</v>
      </c>
      <c r="Q76" s="41">
        <f>IFERROR(__xludf.DUMMYFUNCTION("""COMPUTED_VALUE"""),36.0)</f>
        <v>36</v>
      </c>
      <c r="R76" s="41">
        <f>IFERROR(__xludf.DUMMYFUNCTION("""COMPUTED_VALUE"""),36.0)</f>
        <v>36</v>
      </c>
      <c r="S76" s="41" t="str">
        <f>IFERROR(__xludf.DUMMYFUNCTION("""COMPUTED_VALUE"""),"NT$11,550")</f>
        <v>NT$11,550</v>
      </c>
      <c r="T76" s="41" t="str">
        <f>IFERROR(__xludf.DUMMYFUNCTION("""COMPUTED_VALUE"""),"Dell 24吋 S2421HSX")</f>
        <v>Dell 24吋 S2421HSX</v>
      </c>
      <c r="U76" s="41"/>
      <c r="V76" s="41"/>
      <c r="W76" s="41"/>
      <c r="X76" s="45" t="str">
        <f>IFERROR(__xludf.DUMMYFUNCTION("""COMPUTED_VALUE"""),"")</f>
        <v/>
      </c>
      <c r="Y76" s="41"/>
      <c r="Z76" s="41"/>
      <c r="AA76" s="41"/>
      <c r="AB76" s="41"/>
      <c r="AC76" s="41"/>
      <c r="AD76" s="41"/>
      <c r="AE76" s="41"/>
      <c r="AF76" s="41"/>
      <c r="AG76" s="41"/>
      <c r="AH76" s="41"/>
    </row>
    <row r="77">
      <c r="B77" s="41"/>
      <c r="C77" s="41" t="str">
        <f>IFERROR(__xludf.DUMMYFUNCTION("""COMPUTED_VALUE"""),"滿三年更換")</f>
        <v>滿三年更換</v>
      </c>
      <c r="D77" s="41" t="str">
        <f>IFERROR(__xludf.DUMMYFUNCTION("""COMPUTED_VALUE"""),"TW")</f>
        <v>TW</v>
      </c>
      <c r="E77" s="41"/>
      <c r="F77" s="41"/>
      <c r="G77" s="41"/>
      <c r="H77" s="65" t="str">
        <f>IFERROR(__xludf.DUMMYFUNCTION("""COMPUTED_VALUE"""),"研發中心:軟體工程部:IOS團隊")</f>
        <v>研發中心:軟體工程部:IOS團隊</v>
      </c>
      <c r="I77" s="41" t="str">
        <f>IFERROR(__xludf.DUMMYFUNCTION("""COMPUTED_VALUE"""),"資訊裝置")</f>
        <v>資訊裝置</v>
      </c>
      <c r="J77" s="41" t="str">
        <f>IFERROR(__xludf.DUMMYFUNCTION("""COMPUTED_VALUE"""),"AICHIP02003021")</f>
        <v>AICHIP02003021</v>
      </c>
      <c r="K77" s="41" t="str">
        <f>IFERROR(__xludf.DUMMYFUNCTION("""COMPUTED_VALUE"""),"iPad")</f>
        <v>iPad</v>
      </c>
      <c r="L77" s="41" t="str">
        <f>IFERROR(__xludf.DUMMYFUNCTION("""COMPUTED_VALUE"""),"DMPZKW8AMF3P")</f>
        <v>DMPZKW8AMF3P</v>
      </c>
      <c r="M77" s="41" t="str">
        <f>IFERROR(__xludf.DUMMYFUNCTION("""COMPUTED_VALUE"""),"高宇成")</f>
        <v>高宇成</v>
      </c>
      <c r="N77" s="65">
        <f>IFERROR(__xludf.DUMMYFUNCTION("""COMPUTED_VALUE"""),43900.0)</f>
        <v>43900</v>
      </c>
      <c r="O77" s="45">
        <f>IFERROR(__xludf.DUMMYFUNCTION("""COMPUTED_VALUE"""),9374.0)</f>
        <v>9374</v>
      </c>
      <c r="P77" s="41" t="str">
        <f>IFERROR(__xludf.DUMMYFUNCTION("""COMPUTED_VALUE"""),"資訊裝置")</f>
        <v>資訊裝置</v>
      </c>
      <c r="Q77" s="41">
        <f>IFERROR(__xludf.DUMMYFUNCTION("""COMPUTED_VALUE"""),36.0)</f>
        <v>36</v>
      </c>
      <c r="R77" s="41">
        <f>IFERROR(__xludf.DUMMYFUNCTION("""COMPUTED_VALUE"""),36.0)</f>
        <v>36</v>
      </c>
      <c r="S77" s="41" t="str">
        <f>IFERROR(__xludf.DUMMYFUNCTION("""COMPUTED_VALUE"""),"NT$9,374")</f>
        <v>NT$9,374</v>
      </c>
      <c r="T77" s="41" t="str">
        <f>IFERROR(__xludf.DUMMYFUNCTION("""COMPUTED_VALUE"""),"iPad (第七代) 32GB WIFI(ＭＷ762TA/A)")</f>
        <v>iPad (第七代) 32GB WIFI(ＭＷ762TA/A)</v>
      </c>
      <c r="U77" s="41"/>
      <c r="V77" s="41"/>
      <c r="W77" s="41"/>
      <c r="X77" s="45" t="str">
        <f>IFERROR(__xludf.DUMMYFUNCTION("""COMPUTED_VALUE"""),"")</f>
        <v/>
      </c>
      <c r="Y77" s="41"/>
      <c r="Z77" s="41"/>
      <c r="AA77" s="41"/>
      <c r="AB77" s="41"/>
      <c r="AC77" s="41"/>
      <c r="AD77" s="41"/>
      <c r="AE77" s="41"/>
      <c r="AF77" s="41"/>
      <c r="AG77" s="41"/>
      <c r="AH77" s="41"/>
    </row>
    <row r="78">
      <c r="B78" s="41"/>
      <c r="C78" s="41" t="str">
        <f>IFERROR(__xludf.DUMMYFUNCTION("""COMPUTED_VALUE"""),"滿三年更換")</f>
        <v>滿三年更換</v>
      </c>
      <c r="D78" s="41" t="str">
        <f>IFERROR(__xludf.DUMMYFUNCTION("""COMPUTED_VALUE"""),"TW")</f>
        <v>TW</v>
      </c>
      <c r="E78" s="41"/>
      <c r="F78" s="41"/>
      <c r="G78" s="41"/>
      <c r="H78" s="65" t="str">
        <f>IFERROR(__xludf.DUMMYFUNCTION("""COMPUTED_VALUE"""),"研發中心:軟體工程部:IOS團隊")</f>
        <v>研發中心:軟體工程部:IOS團隊</v>
      </c>
      <c r="I78" s="41" t="str">
        <f>IFERROR(__xludf.DUMMYFUNCTION("""COMPUTED_VALUE"""),"資訊裝置")</f>
        <v>資訊裝置</v>
      </c>
      <c r="J78" s="41" t="str">
        <f>IFERROR(__xludf.DUMMYFUNCTION("""COMPUTED_VALUE"""),"AICHMN01705044")</f>
        <v>AICHMN01705044</v>
      </c>
      <c r="K78" s="41" t="str">
        <f>IFERROR(__xludf.DUMMYFUNCTION("""COMPUTED_VALUE"""),"螢幕")</f>
        <v>螢幕</v>
      </c>
      <c r="L78" s="41" t="str">
        <f>IFERROR(__xludf.DUMMYFUNCTION("""COMPUTED_VALUE"""),"CN-07N2FG-TV100-84J-035S-A07")</f>
        <v>CN-07N2FG-TV100-84J-035S-A07</v>
      </c>
      <c r="M78" s="41" t="str">
        <f>IFERROR(__xludf.DUMMYFUNCTION("""COMPUTED_VALUE"""),"高宇成")</f>
        <v>高宇成</v>
      </c>
      <c r="N78" s="65">
        <f>IFERROR(__xludf.DUMMYFUNCTION("""COMPUTED_VALUE"""),43413.0)</f>
        <v>43413</v>
      </c>
      <c r="O78" s="45">
        <f>IFERROR(__xludf.DUMMYFUNCTION("""COMPUTED_VALUE"""),54700.0)</f>
        <v>54700</v>
      </c>
      <c r="P78" s="41" t="str">
        <f>IFERROR(__xludf.DUMMYFUNCTION("""COMPUTED_VALUE"""),"資訊裝置")</f>
        <v>資訊裝置</v>
      </c>
      <c r="Q78" s="41">
        <f>IFERROR(__xludf.DUMMYFUNCTION("""COMPUTED_VALUE"""),36.0)</f>
        <v>36</v>
      </c>
      <c r="R78" s="41">
        <f>IFERROR(__xludf.DUMMYFUNCTION("""COMPUTED_VALUE"""),36.0)</f>
        <v>36</v>
      </c>
      <c r="S78" s="41" t="str">
        <f>IFERROR(__xludf.DUMMYFUNCTION("""COMPUTED_VALUE"""),"NT$54,700")</f>
        <v>NT$54,700</v>
      </c>
      <c r="T78" s="41" t="str">
        <f>IFERROR(__xludf.DUMMYFUNCTION("""COMPUTED_VALUE"""),"Dell 24吋 U2412Mc")</f>
        <v>Dell 24吋 U2412Mc</v>
      </c>
      <c r="U78" s="41"/>
      <c r="V78" s="41"/>
      <c r="W78" s="41"/>
      <c r="X78" s="45" t="str">
        <f>IFERROR(__xludf.DUMMYFUNCTION("""COMPUTED_VALUE"""),"")</f>
        <v/>
      </c>
      <c r="Y78" s="41"/>
      <c r="Z78" s="41"/>
      <c r="AA78" s="41"/>
      <c r="AB78" s="41"/>
      <c r="AC78" s="41"/>
      <c r="AD78" s="41"/>
      <c r="AE78" s="41"/>
      <c r="AF78" s="41"/>
      <c r="AG78" s="41"/>
      <c r="AH78" s="41"/>
    </row>
    <row r="79">
      <c r="B79" s="41"/>
      <c r="C79" s="41" t="str">
        <f>IFERROR(__xludf.DUMMYFUNCTION("""COMPUTED_VALUE"""),"滿三年更換")</f>
        <v>滿三年更換</v>
      </c>
      <c r="D79" s="41" t="str">
        <f>IFERROR(__xludf.DUMMYFUNCTION("""COMPUTED_VALUE"""),"TW")</f>
        <v>TW</v>
      </c>
      <c r="E79" s="41"/>
      <c r="F79" s="41"/>
      <c r="G79" s="41"/>
      <c r="H79" s="65" t="str">
        <f>IFERROR(__xludf.DUMMYFUNCTION("""COMPUTED_VALUE"""),"研發中心:軟體工程部:IOS團隊")</f>
        <v>研發中心:軟體工程部:IOS團隊</v>
      </c>
      <c r="I79" s="41" t="str">
        <f>IFERROR(__xludf.DUMMYFUNCTION("""COMPUTED_VALUE"""),"資訊裝置")</f>
        <v>資訊裝置</v>
      </c>
      <c r="J79" s="41" t="str">
        <f>IFERROR(__xludf.DUMMYFUNCTION("""COMPUTED_VALUE"""),"AICHMN01904055")</f>
        <v>AICHMN01904055</v>
      </c>
      <c r="K79" s="41" t="str">
        <f>IFERROR(__xludf.DUMMYFUNCTION("""COMPUTED_VALUE"""),"螢幕")</f>
        <v>螢幕</v>
      </c>
      <c r="L79" s="41" t="str">
        <f>IFERROR(__xludf.DUMMYFUNCTION("""COMPUTED_VALUE"""),"CN-07N2FG-TV100-85M-003U-A07")</f>
        <v>CN-07N2FG-TV100-85M-003U-A07</v>
      </c>
      <c r="M79" s="41" t="str">
        <f>IFERROR(__xludf.DUMMYFUNCTION("""COMPUTED_VALUE"""),"高宇成")</f>
        <v>高宇成</v>
      </c>
      <c r="N79" s="65">
        <f>IFERROR(__xludf.DUMMYFUNCTION("""COMPUTED_VALUE"""),42468.0)</f>
        <v>42468</v>
      </c>
      <c r="O79" s="41"/>
      <c r="P79" s="41" t="str">
        <f>IFERROR(__xludf.DUMMYFUNCTION("""COMPUTED_VALUE"""),"資訊裝置")</f>
        <v>資訊裝置</v>
      </c>
      <c r="Q79" s="41">
        <f>IFERROR(__xludf.DUMMYFUNCTION("""COMPUTED_VALUE"""),36.0)</f>
        <v>36</v>
      </c>
      <c r="R79" s="41">
        <f>IFERROR(__xludf.DUMMYFUNCTION("""COMPUTED_VALUE"""),36.0)</f>
        <v>36</v>
      </c>
      <c r="S79" s="41" t="str">
        <f>IFERROR(__xludf.DUMMYFUNCTION("""COMPUTED_VALUE"""),"NT$0")</f>
        <v>NT$0</v>
      </c>
      <c r="T79" s="41" t="str">
        <f>IFERROR(__xludf.DUMMYFUNCTION("""COMPUTED_VALUE"""),"Dell 24吋 U2412Mc")</f>
        <v>Dell 24吋 U2412Mc</v>
      </c>
      <c r="U79" s="41"/>
      <c r="V79" s="41"/>
      <c r="W79" s="41"/>
      <c r="X79" s="45" t="str">
        <f>IFERROR(__xludf.DUMMYFUNCTION("""COMPUTED_VALUE"""),"")</f>
        <v/>
      </c>
      <c r="Y79" s="41"/>
      <c r="Z79" s="41"/>
      <c r="AA79" s="41"/>
      <c r="AB79" s="41"/>
      <c r="AC79" s="41"/>
      <c r="AD79" s="41"/>
      <c r="AE79" s="41"/>
      <c r="AF79" s="41"/>
      <c r="AG79" s="41"/>
      <c r="AH79" s="41"/>
    </row>
    <row r="80">
      <c r="B80" s="41"/>
      <c r="C80" s="41" t="str">
        <f>IFERROR(__xludf.DUMMYFUNCTION("""COMPUTED_VALUE"""),"滿三年更換")</f>
        <v>滿三年更換</v>
      </c>
      <c r="D80" s="41" t="str">
        <f>IFERROR(__xludf.DUMMYFUNCTION("""COMPUTED_VALUE"""),"TW")</f>
        <v>TW</v>
      </c>
      <c r="E80" s="41"/>
      <c r="F80" s="41"/>
      <c r="G80" s="41"/>
      <c r="H80" s="41" t="str">
        <f>IFERROR(__xludf.DUMMYFUNCTION("""COMPUTED_VALUE"""),"行銷營運中心:銷售營運部")</f>
        <v>行銷營運中心:銷售營運部</v>
      </c>
      <c r="I80" s="41" t="str">
        <f>IFERROR(__xludf.DUMMYFUNCTION("""COMPUTED_VALUE"""),"資訊裝置")</f>
        <v>資訊裝置</v>
      </c>
      <c r="J80" s="41" t="str">
        <f>IFERROR(__xludf.DUMMYFUNCTION("""COMPUTED_VALUE"""),"AICHIP01901006")</f>
        <v>AICHIP01901006</v>
      </c>
      <c r="K80" s="41" t="str">
        <f>IFERROR(__xludf.DUMMYFUNCTION("""COMPUTED_VALUE"""),"iPad Air")</f>
        <v>iPad Air</v>
      </c>
      <c r="L80" s="41" t="str">
        <f>IFERROR(__xludf.DUMMYFUNCTION("""COMPUTED_VALUE"""),"DMPRPAQ4G5VV")</f>
        <v>DMPRPAQ4G5VV</v>
      </c>
      <c r="M80" s="41" t="str">
        <f>IFERROR(__xludf.DUMMYFUNCTION("""COMPUTED_VALUE"""),"高克瑋")</f>
        <v>高克瑋</v>
      </c>
      <c r="N80" s="65">
        <f>IFERROR(__xludf.DUMMYFUNCTION("""COMPUTED_VALUE"""),43438.0)</f>
        <v>43438</v>
      </c>
      <c r="O80" s="41"/>
      <c r="P80" s="41" t="str">
        <f>IFERROR(__xludf.DUMMYFUNCTION("""COMPUTED_VALUE"""),"資訊裝置")</f>
        <v>資訊裝置</v>
      </c>
      <c r="Q80" s="41">
        <f>IFERROR(__xludf.DUMMYFUNCTION("""COMPUTED_VALUE"""),36.0)</f>
        <v>36</v>
      </c>
      <c r="R80" s="41">
        <f>IFERROR(__xludf.DUMMYFUNCTION("""COMPUTED_VALUE"""),36.0)</f>
        <v>36</v>
      </c>
      <c r="S80" s="41" t="str">
        <f>IFERROR(__xludf.DUMMYFUNCTION("""COMPUTED_VALUE"""),"NT$0")</f>
        <v>NT$0</v>
      </c>
      <c r="T80" s="41"/>
      <c r="U80" s="41"/>
      <c r="V80" s="41"/>
      <c r="W80" s="41"/>
      <c r="X80" s="45" t="str">
        <f>IFERROR(__xludf.DUMMYFUNCTION("""COMPUTED_VALUE"""),"")</f>
        <v/>
      </c>
      <c r="Y80" s="41"/>
      <c r="Z80" s="41"/>
      <c r="AA80" s="41"/>
      <c r="AB80" s="41"/>
      <c r="AC80" s="41"/>
      <c r="AD80" s="41"/>
      <c r="AE80" s="41"/>
      <c r="AF80" s="41"/>
      <c r="AG80" s="41"/>
      <c r="AH80" s="41"/>
    </row>
    <row r="81">
      <c r="B81" s="41"/>
      <c r="C81" s="41" t="str">
        <f>IFERROR(__xludf.DUMMYFUNCTION("""COMPUTED_VALUE"""),"滿三年更換")</f>
        <v>滿三年更換</v>
      </c>
      <c r="D81" s="41" t="str">
        <f>IFERROR(__xludf.DUMMYFUNCTION("""COMPUTED_VALUE"""),"TW")</f>
        <v>TW</v>
      </c>
      <c r="E81" s="41"/>
      <c r="F81" s="41"/>
      <c r="G81" s="41"/>
      <c r="H81" s="41" t="str">
        <f>IFERROR(__xludf.DUMMYFUNCTION("""COMPUTED_VALUE"""),"行銷營運中心:銷售營運部")</f>
        <v>行銷營運中心:銷售營運部</v>
      </c>
      <c r="I81" s="41" t="str">
        <f>IFERROR(__xludf.DUMMYFUNCTION("""COMPUTED_VALUE"""),"資訊裝置")</f>
        <v>資訊裝置</v>
      </c>
      <c r="J81" s="41" t="str">
        <f>IFERROR(__xludf.DUMMYFUNCTION("""COMPUTED_VALUE"""),"AICHIP01901009")</f>
        <v>AICHIP01901009</v>
      </c>
      <c r="K81" s="41" t="str">
        <f>IFERROR(__xludf.DUMMYFUNCTION("""COMPUTED_VALUE"""),"iPad Air")</f>
        <v>iPad Air</v>
      </c>
      <c r="L81" s="41" t="str">
        <f>IFERROR(__xludf.DUMMYFUNCTION("""COMPUTED_VALUE"""),"DMPX96XRJMVR")</f>
        <v>DMPX96XRJMVR</v>
      </c>
      <c r="M81" s="41" t="str">
        <f>IFERROR(__xludf.DUMMYFUNCTION("""COMPUTED_VALUE"""),"高克瑋")</f>
        <v>高克瑋</v>
      </c>
      <c r="N81" s="65">
        <f>IFERROR(__xludf.DUMMYFUNCTION("""COMPUTED_VALUE"""),43490.0)</f>
        <v>43490</v>
      </c>
      <c r="O81" s="45">
        <f>IFERROR(__xludf.DUMMYFUNCTION("""COMPUTED_VALUE"""),9573.0)</f>
        <v>9573</v>
      </c>
      <c r="P81" s="41" t="str">
        <f>IFERROR(__xludf.DUMMYFUNCTION("""COMPUTED_VALUE"""),"資訊裝置")</f>
        <v>資訊裝置</v>
      </c>
      <c r="Q81" s="41">
        <f>IFERROR(__xludf.DUMMYFUNCTION("""COMPUTED_VALUE"""),36.0)</f>
        <v>36</v>
      </c>
      <c r="R81" s="41">
        <f>IFERROR(__xludf.DUMMYFUNCTION("""COMPUTED_VALUE"""),36.0)</f>
        <v>36</v>
      </c>
      <c r="S81" s="41" t="str">
        <f>IFERROR(__xludf.DUMMYFUNCTION("""COMPUTED_VALUE"""),"NT$9,573")</f>
        <v>NT$9,573</v>
      </c>
      <c r="T81" s="41"/>
      <c r="U81" s="41"/>
      <c r="V81" s="41"/>
      <c r="W81" s="41"/>
      <c r="X81" s="45" t="str">
        <f>IFERROR(__xludf.DUMMYFUNCTION("""COMPUTED_VALUE"""),"")</f>
        <v/>
      </c>
      <c r="Y81" s="41"/>
      <c r="Z81" s="41"/>
      <c r="AA81" s="41"/>
      <c r="AB81" s="41"/>
      <c r="AC81" s="41"/>
      <c r="AD81" s="41"/>
      <c r="AE81" s="41"/>
      <c r="AF81" s="41"/>
      <c r="AG81" s="41"/>
      <c r="AH81" s="41"/>
    </row>
    <row r="82">
      <c r="B82" s="41"/>
      <c r="C82" s="41" t="str">
        <f>IFERROR(__xludf.DUMMYFUNCTION("""COMPUTED_VALUE"""),"滿三年更換")</f>
        <v>滿三年更換</v>
      </c>
      <c r="D82" s="41" t="str">
        <f>IFERROR(__xludf.DUMMYFUNCTION("""COMPUTED_VALUE"""),"TW")</f>
        <v>TW</v>
      </c>
      <c r="E82" s="41"/>
      <c r="F82" s="41"/>
      <c r="G82" s="41"/>
      <c r="H82" s="41" t="str">
        <f>IFERROR(__xludf.DUMMYFUNCTION("""COMPUTED_VALUE"""),"行銷營運中心:銷售營運部")</f>
        <v>行銷營運中心:銷售營運部</v>
      </c>
      <c r="I82" s="41" t="str">
        <f>IFERROR(__xludf.DUMMYFUNCTION("""COMPUTED_VALUE"""),"資訊裝置")</f>
        <v>資訊裝置</v>
      </c>
      <c r="J82" s="41" t="str">
        <f>IFERROR(__xludf.DUMMYFUNCTION("""COMPUTED_VALUE"""),"AICHIP01901010")</f>
        <v>AICHIP01901010</v>
      </c>
      <c r="K82" s="41" t="str">
        <f>IFERROR(__xludf.DUMMYFUNCTION("""COMPUTED_VALUE"""),"iPad Air 6")</f>
        <v>iPad Air 6</v>
      </c>
      <c r="L82" s="41" t="str">
        <f>IFERROR(__xludf.DUMMYFUNCTION("""COMPUTED_VALUE"""),"DMQXH7T9JMVR")</f>
        <v>DMQXH7T9JMVR</v>
      </c>
      <c r="M82" s="41" t="str">
        <f>IFERROR(__xludf.DUMMYFUNCTION("""COMPUTED_VALUE"""),"高克瑋")</f>
        <v>高克瑋</v>
      </c>
      <c r="N82" s="65">
        <f>IFERROR(__xludf.DUMMYFUNCTION("""COMPUTED_VALUE"""),43434.0)</f>
        <v>43434</v>
      </c>
      <c r="O82" s="45">
        <f>IFERROR(__xludf.DUMMYFUNCTION("""COMPUTED_VALUE"""),9549.0)</f>
        <v>9549</v>
      </c>
      <c r="P82" s="41" t="str">
        <f>IFERROR(__xludf.DUMMYFUNCTION("""COMPUTED_VALUE"""),"資訊裝置")</f>
        <v>資訊裝置</v>
      </c>
      <c r="Q82" s="41">
        <f>IFERROR(__xludf.DUMMYFUNCTION("""COMPUTED_VALUE"""),36.0)</f>
        <v>36</v>
      </c>
      <c r="R82" s="41">
        <f>IFERROR(__xludf.DUMMYFUNCTION("""COMPUTED_VALUE"""),36.0)</f>
        <v>36</v>
      </c>
      <c r="S82" s="41" t="str">
        <f>IFERROR(__xludf.DUMMYFUNCTION("""COMPUTED_VALUE"""),"NT$9,549")</f>
        <v>NT$9,549</v>
      </c>
      <c r="T82" s="41"/>
      <c r="U82" s="41"/>
      <c r="V82" s="41"/>
      <c r="W82" s="41"/>
      <c r="X82" s="45" t="str">
        <f>IFERROR(__xludf.DUMMYFUNCTION("""COMPUTED_VALUE"""),"")</f>
        <v/>
      </c>
      <c r="Y82" s="41"/>
      <c r="Z82" s="41"/>
      <c r="AA82" s="41"/>
      <c r="AB82" s="41"/>
      <c r="AC82" s="41"/>
      <c r="AD82" s="41"/>
      <c r="AE82" s="41"/>
      <c r="AF82" s="41"/>
      <c r="AG82" s="41"/>
      <c r="AH82" s="41"/>
    </row>
    <row r="83">
      <c r="B83" s="41"/>
      <c r="C83" s="41" t="str">
        <f>IFERROR(__xludf.DUMMYFUNCTION("""COMPUTED_VALUE"""),"滿三年更換")</f>
        <v>滿三年更換</v>
      </c>
      <c r="D83" s="41" t="str">
        <f>IFERROR(__xludf.DUMMYFUNCTION("""COMPUTED_VALUE"""),"TW")</f>
        <v>TW</v>
      </c>
      <c r="E83" s="41"/>
      <c r="F83" s="41"/>
      <c r="G83" s="41"/>
      <c r="H83" s="41" t="str">
        <f>IFERROR(__xludf.DUMMYFUNCTION("""COMPUTED_VALUE"""),"行銷營運中心:銷售營運部")</f>
        <v>行銷營運中心:銷售營運部</v>
      </c>
      <c r="I83" s="41" t="str">
        <f>IFERROR(__xludf.DUMMYFUNCTION("""COMPUTED_VALUE"""),"資訊裝置")</f>
        <v>資訊裝置</v>
      </c>
      <c r="J83" s="41" t="str">
        <f>IFERROR(__xludf.DUMMYFUNCTION("""COMPUTED_VALUE"""),"AICHIP01901011")</f>
        <v>AICHIP01901011</v>
      </c>
      <c r="K83" s="41" t="str">
        <f>IFERROR(__xludf.DUMMYFUNCTION("""COMPUTED_VALUE"""),"iPad Air 6")</f>
        <v>iPad Air 6</v>
      </c>
      <c r="L83" s="41" t="str">
        <f>IFERROR(__xludf.DUMMYFUNCTION("""COMPUTED_VALUE"""),"DMQXH8MUJMVR")</f>
        <v>DMQXH8MUJMVR</v>
      </c>
      <c r="M83" s="41" t="str">
        <f>IFERROR(__xludf.DUMMYFUNCTION("""COMPUTED_VALUE"""),"高克瑋")</f>
        <v>高克瑋</v>
      </c>
      <c r="N83" s="65">
        <f>IFERROR(__xludf.DUMMYFUNCTION("""COMPUTED_VALUE"""),43434.0)</f>
        <v>43434</v>
      </c>
      <c r="O83" s="45">
        <f>IFERROR(__xludf.DUMMYFUNCTION("""COMPUTED_VALUE"""),9548.0)</f>
        <v>9548</v>
      </c>
      <c r="P83" s="41" t="str">
        <f>IFERROR(__xludf.DUMMYFUNCTION("""COMPUTED_VALUE"""),"資訊裝置")</f>
        <v>資訊裝置</v>
      </c>
      <c r="Q83" s="41">
        <f>IFERROR(__xludf.DUMMYFUNCTION("""COMPUTED_VALUE"""),36.0)</f>
        <v>36</v>
      </c>
      <c r="R83" s="41">
        <f>IFERROR(__xludf.DUMMYFUNCTION("""COMPUTED_VALUE"""),36.0)</f>
        <v>36</v>
      </c>
      <c r="S83" s="41" t="str">
        <f>IFERROR(__xludf.DUMMYFUNCTION("""COMPUTED_VALUE"""),"NT$9,548")</f>
        <v>NT$9,548</v>
      </c>
      <c r="T83" s="41"/>
      <c r="U83" s="41"/>
      <c r="V83" s="41"/>
      <c r="W83" s="41"/>
      <c r="X83" s="45" t="str">
        <f>IFERROR(__xludf.DUMMYFUNCTION("""COMPUTED_VALUE"""),"")</f>
        <v/>
      </c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>
      <c r="B84" s="41"/>
      <c r="C84" s="41" t="str">
        <f>IFERROR(__xludf.DUMMYFUNCTION("""COMPUTED_VALUE"""),"滿三年更換")</f>
        <v>滿三年更換</v>
      </c>
      <c r="D84" s="41" t="str">
        <f>IFERROR(__xludf.DUMMYFUNCTION("""COMPUTED_VALUE"""),"TW")</f>
        <v>TW</v>
      </c>
      <c r="E84" s="41"/>
      <c r="F84" s="41"/>
      <c r="G84" s="41"/>
      <c r="H84" s="41" t="str">
        <f>IFERROR(__xludf.DUMMYFUNCTION("""COMPUTED_VALUE"""),"行銷營運中心:銷售營運部")</f>
        <v>行銷營運中心:銷售營運部</v>
      </c>
      <c r="I84" s="41" t="str">
        <f>IFERROR(__xludf.DUMMYFUNCTION("""COMPUTED_VALUE"""),"資訊裝置")</f>
        <v>資訊裝置</v>
      </c>
      <c r="J84" s="41" t="str">
        <f>IFERROR(__xludf.DUMMYFUNCTION("""COMPUTED_VALUE"""),"AICHIP02008038")</f>
        <v>AICHIP02008038</v>
      </c>
      <c r="K84" s="41" t="str">
        <f>IFERROR(__xludf.DUMMYFUNCTION("""COMPUTED_VALUE"""),"iPad")</f>
        <v>iPad</v>
      </c>
      <c r="L84" s="41" t="str">
        <f>IFERROR(__xludf.DUMMYFUNCTION("""COMPUTED_VALUE"""),"DMPD18BGMF3P")</f>
        <v>DMPD18BGMF3P</v>
      </c>
      <c r="M84" s="41" t="str">
        <f>IFERROR(__xludf.DUMMYFUNCTION("""COMPUTED_VALUE"""),"高克瑋")</f>
        <v>高克瑋</v>
      </c>
      <c r="N84" s="65">
        <f>IFERROR(__xludf.DUMMYFUNCTION("""COMPUTED_VALUE"""),44074.0)</f>
        <v>44074</v>
      </c>
      <c r="O84" s="45">
        <f>IFERROR(__xludf.DUMMYFUNCTION("""COMPUTED_VALUE"""),9818.0)</f>
        <v>9818</v>
      </c>
      <c r="P84" s="41" t="str">
        <f>IFERROR(__xludf.DUMMYFUNCTION("""COMPUTED_VALUE"""),"資訊裝置")</f>
        <v>資訊裝置</v>
      </c>
      <c r="Q84" s="41">
        <f>IFERROR(__xludf.DUMMYFUNCTION("""COMPUTED_VALUE"""),36.0)</f>
        <v>36</v>
      </c>
      <c r="R84" s="41">
        <f>IFERROR(__xludf.DUMMYFUNCTION("""COMPUTED_VALUE"""),36.0)</f>
        <v>36</v>
      </c>
      <c r="S84" s="41" t="str">
        <f>IFERROR(__xludf.DUMMYFUNCTION("""COMPUTED_VALUE"""),"NT$9,818")</f>
        <v>NT$9,818</v>
      </c>
      <c r="T84" s="41"/>
      <c r="U84" s="41"/>
      <c r="V84" s="41"/>
      <c r="W84" s="41"/>
      <c r="X84" s="45" t="str">
        <f>IFERROR(__xludf.DUMMYFUNCTION("""COMPUTED_VALUE"""),"")</f>
        <v/>
      </c>
      <c r="Y84" s="41"/>
      <c r="Z84" s="41"/>
      <c r="AA84" s="41"/>
      <c r="AB84" s="41"/>
      <c r="AC84" s="41"/>
      <c r="AD84" s="41"/>
      <c r="AE84" s="41"/>
      <c r="AF84" s="41"/>
      <c r="AG84" s="41"/>
      <c r="AH84" s="41"/>
    </row>
    <row r="85">
      <c r="B85" s="41"/>
      <c r="C85" s="41" t="str">
        <f>IFERROR(__xludf.DUMMYFUNCTION("""COMPUTED_VALUE"""),"滿三年更換")</f>
        <v>滿三年更換</v>
      </c>
      <c r="D85" s="41" t="str">
        <f>IFERROR(__xludf.DUMMYFUNCTION("""COMPUTED_VALUE"""),"TW")</f>
        <v>TW</v>
      </c>
      <c r="E85" s="41"/>
      <c r="F85" s="41"/>
      <c r="G85" s="41"/>
      <c r="H85" s="41" t="str">
        <f>IFERROR(__xludf.DUMMYFUNCTION("""COMPUTED_VALUE"""),"行銷營運中心:銷售營運部")</f>
        <v>行銷營運中心:銷售營運部</v>
      </c>
      <c r="I85" s="41" t="str">
        <f>IFERROR(__xludf.DUMMYFUNCTION("""COMPUTED_VALUE"""),"資訊裝置")</f>
        <v>資訊裝置</v>
      </c>
      <c r="J85" s="41" t="str">
        <f>IFERROR(__xludf.DUMMYFUNCTION("""COMPUTED_VALUE"""),"AICHIP02105053")</f>
        <v>AICHIP02105053</v>
      </c>
      <c r="K85" s="41" t="str">
        <f>IFERROR(__xludf.DUMMYFUNCTION("""COMPUTED_VALUE"""),"iPad")</f>
        <v>iPad</v>
      </c>
      <c r="L85" s="41" t="str">
        <f>IFERROR(__xludf.DUMMYFUNCTION("""COMPUTED_VALUE"""),"DMRCNPE8MF3M")</f>
        <v>DMRCNPE8MF3M</v>
      </c>
      <c r="M85" s="41" t="str">
        <f>IFERROR(__xludf.DUMMYFUNCTION("""COMPUTED_VALUE"""),"高克瑋")</f>
        <v>高克瑋</v>
      </c>
      <c r="N85" s="65">
        <f>IFERROR(__xludf.DUMMYFUNCTION("""COMPUTED_VALUE"""),44327.0)</f>
        <v>44327</v>
      </c>
      <c r="O85" s="45">
        <f>IFERROR(__xludf.DUMMYFUNCTION("""COMPUTED_VALUE"""),8641.0)</f>
        <v>8641</v>
      </c>
      <c r="P85" s="41" t="str">
        <f>IFERROR(__xludf.DUMMYFUNCTION("""COMPUTED_VALUE"""),"資訊裝置")</f>
        <v>資訊裝置</v>
      </c>
      <c r="Q85" s="41">
        <f>IFERROR(__xludf.DUMMYFUNCTION("""COMPUTED_VALUE"""),36.0)</f>
        <v>36</v>
      </c>
      <c r="R85" s="41">
        <f>IFERROR(__xludf.DUMMYFUNCTION("""COMPUTED_VALUE"""),36.0)</f>
        <v>36</v>
      </c>
      <c r="S85" s="41" t="str">
        <f>IFERROR(__xludf.DUMMYFUNCTION("""COMPUTED_VALUE"""),"NT$8,641")</f>
        <v>NT$8,641</v>
      </c>
      <c r="T85" s="41"/>
      <c r="U85" s="41"/>
      <c r="V85" s="41"/>
      <c r="W85" s="41"/>
      <c r="X85" s="45" t="str">
        <f>IFERROR(__xludf.DUMMYFUNCTION("""COMPUTED_VALUE"""),"")</f>
        <v/>
      </c>
      <c r="Y85" s="41"/>
      <c r="Z85" s="41"/>
      <c r="AA85" s="41"/>
      <c r="AB85" s="41"/>
      <c r="AC85" s="41"/>
      <c r="AD85" s="41"/>
      <c r="AE85" s="41"/>
      <c r="AF85" s="41"/>
      <c r="AG85" s="41"/>
      <c r="AH85" s="41"/>
    </row>
    <row r="86">
      <c r="B86" s="41"/>
      <c r="C86" s="41" t="str">
        <f>IFERROR(__xludf.DUMMYFUNCTION("""COMPUTED_VALUE"""),"滿三年更換")</f>
        <v>滿三年更換</v>
      </c>
      <c r="D86" s="41" t="str">
        <f>IFERROR(__xludf.DUMMYFUNCTION("""COMPUTED_VALUE"""),"TW")</f>
        <v>TW</v>
      </c>
      <c r="E86" s="41"/>
      <c r="F86" s="41"/>
      <c r="G86" s="41"/>
      <c r="H86" s="41" t="str">
        <f>IFERROR(__xludf.DUMMYFUNCTION("""COMPUTED_VALUE"""),"行銷營運中心:銷售營運部")</f>
        <v>行銷營運中心:銷售營運部</v>
      </c>
      <c r="I86" s="41" t="str">
        <f>IFERROR(__xludf.DUMMYFUNCTION("""COMPUTED_VALUE"""),"資訊裝置")</f>
        <v>資訊裝置</v>
      </c>
      <c r="J86" s="41" t="str">
        <f>IFERROR(__xludf.DUMMYFUNCTION("""COMPUTED_VALUE"""),"AICHMN02009083")</f>
        <v>AICHMN02009083</v>
      </c>
      <c r="K86" s="41" t="str">
        <f>IFERROR(__xludf.DUMMYFUNCTION("""COMPUTED_VALUE"""),"螢幕")</f>
        <v>螢幕</v>
      </c>
      <c r="L86" s="41" t="str">
        <f>IFERROR(__xludf.DUMMYFUNCTION("""COMPUTED_VALUE"""),"CN-0Y2YF1-QDC00-06L-182U-A16")</f>
        <v>CN-0Y2YF1-QDC00-06L-182U-A16</v>
      </c>
      <c r="M86" s="41" t="str">
        <f>IFERROR(__xludf.DUMMYFUNCTION("""COMPUTED_VALUE"""),"高克瑋")</f>
        <v>高克瑋</v>
      </c>
      <c r="N86" s="65">
        <f>IFERROR(__xludf.DUMMYFUNCTION("""COMPUTED_VALUE"""),44081.0)</f>
        <v>44081</v>
      </c>
      <c r="O86" s="41"/>
      <c r="P86" s="41" t="str">
        <f>IFERROR(__xludf.DUMMYFUNCTION("""COMPUTED_VALUE"""),"資訊裝置")</f>
        <v>資訊裝置</v>
      </c>
      <c r="Q86" s="41">
        <f>IFERROR(__xludf.DUMMYFUNCTION("""COMPUTED_VALUE"""),36.0)</f>
        <v>36</v>
      </c>
      <c r="R86" s="41">
        <f>IFERROR(__xludf.DUMMYFUNCTION("""COMPUTED_VALUE"""),36.0)</f>
        <v>36</v>
      </c>
      <c r="S86" s="41" t="str">
        <f>IFERROR(__xludf.DUMMYFUNCTION("""COMPUTED_VALUE"""),"NT$0")</f>
        <v>NT$0</v>
      </c>
      <c r="T86" s="41" t="str">
        <f>IFERROR(__xludf.DUMMYFUNCTION("""COMPUTED_VALUE"""),"Dell 24吋  U2415b")</f>
        <v>Dell 24吋  U2415b</v>
      </c>
      <c r="U86" s="41"/>
      <c r="V86" s="41"/>
      <c r="W86" s="41"/>
      <c r="X86" s="45" t="str">
        <f>IFERROR(__xludf.DUMMYFUNCTION("""COMPUTED_VALUE"""),"")</f>
        <v/>
      </c>
      <c r="Y86" s="41"/>
      <c r="Z86" s="41"/>
      <c r="AA86" s="41"/>
      <c r="AB86" s="41"/>
      <c r="AC86" s="41"/>
      <c r="AD86" s="41"/>
      <c r="AE86" s="41"/>
      <c r="AF86" s="41"/>
      <c r="AG86" s="41"/>
      <c r="AH86" s="41"/>
    </row>
    <row r="87">
      <c r="B87" s="41"/>
      <c r="C87" s="41" t="str">
        <f>IFERROR(__xludf.DUMMYFUNCTION("""COMPUTED_VALUE"""),"滿三年更換")</f>
        <v>滿三年更換</v>
      </c>
      <c r="D87" s="41" t="str">
        <f>IFERROR(__xludf.DUMMYFUNCTION("""COMPUTED_VALUE"""),"TW")</f>
        <v>TW</v>
      </c>
      <c r="E87" s="41"/>
      <c r="F87" s="41"/>
      <c r="G87" s="41"/>
      <c r="H87" s="65" t="str">
        <f>IFERROR(__xludf.DUMMYFUNCTION("""COMPUTED_VALUE"""),"研發中心:軟體工程部:IOS團隊")</f>
        <v>研發中心:軟體工程部:IOS團隊</v>
      </c>
      <c r="I87" s="41" t="str">
        <f>IFERROR(__xludf.DUMMYFUNCTION("""COMPUTED_VALUE"""),"資訊裝置")</f>
        <v>資訊裝置</v>
      </c>
      <c r="J87" s="41" t="str">
        <f>IFERROR(__xludf.DUMMYFUNCTION("""COMPUTED_VALUE"""),"AICHMC01604003")</f>
        <v>AICHMC01604003</v>
      </c>
      <c r="K87" s="41" t="str">
        <f>IFERROR(__xludf.DUMMYFUNCTION("""COMPUTED_VALUE"""),"Mac mini")</f>
        <v>Mac mini</v>
      </c>
      <c r="L87" s="41" t="str">
        <f>IFERROR(__xludf.DUMMYFUNCTION("""COMPUTED_VALUE"""),"C07RF357G1J2")</f>
        <v>C07RF357G1J2</v>
      </c>
      <c r="M87" s="41" t="str">
        <f>IFERROR(__xludf.DUMMYFUNCTION("""COMPUTED_VALUE"""),"高旻暄")</f>
        <v>高旻暄</v>
      </c>
      <c r="N87" s="65">
        <f>IFERROR(__xludf.DUMMYFUNCTION("""COMPUTED_VALUE"""),42468.0)</f>
        <v>42468</v>
      </c>
      <c r="O87" s="45">
        <f>IFERROR(__xludf.DUMMYFUNCTION("""COMPUTED_VALUE"""),81450.0)</f>
        <v>81450</v>
      </c>
      <c r="P87" s="41" t="str">
        <f>IFERROR(__xludf.DUMMYFUNCTION("""COMPUTED_VALUE"""),"資訊裝置")</f>
        <v>資訊裝置</v>
      </c>
      <c r="Q87" s="41">
        <f>IFERROR(__xludf.DUMMYFUNCTION("""COMPUTED_VALUE"""),36.0)</f>
        <v>36</v>
      </c>
      <c r="R87" s="41">
        <f>IFERROR(__xludf.DUMMYFUNCTION("""COMPUTED_VALUE"""),36.0)</f>
        <v>36</v>
      </c>
      <c r="S87" s="41" t="str">
        <f>IFERROR(__xludf.DUMMYFUNCTION("""COMPUTED_VALUE"""),"NT$81,450")</f>
        <v>NT$81,450</v>
      </c>
      <c r="T87" s="41" t="str">
        <f>IFERROR(__xludf.DUMMYFUNCTION("""COMPUTED_VALUE"""),"Macmini(2014)  I5/16GBRAM/")</f>
        <v>Macmini(2014)  I5/16GBRAM/</v>
      </c>
      <c r="U87" s="41"/>
      <c r="V87" s="41"/>
      <c r="W87" s="41"/>
      <c r="X87" s="45" t="str">
        <f>IFERROR(__xludf.DUMMYFUNCTION("""COMPUTED_VALUE"""),"")</f>
        <v/>
      </c>
      <c r="Y87" s="41"/>
      <c r="Z87" s="41"/>
      <c r="AA87" s="41"/>
      <c r="AB87" s="41"/>
      <c r="AC87" s="41"/>
      <c r="AD87" s="41"/>
      <c r="AE87" s="41"/>
      <c r="AF87" s="41"/>
      <c r="AG87" s="41"/>
      <c r="AH87" s="41"/>
    </row>
    <row r="88">
      <c r="B88" s="41"/>
      <c r="C88" s="41" t="str">
        <f>IFERROR(__xludf.DUMMYFUNCTION("""COMPUTED_VALUE"""),"滿三年更換")</f>
        <v>滿三年更換</v>
      </c>
      <c r="D88" s="41" t="str">
        <f>IFERROR(__xludf.DUMMYFUNCTION("""COMPUTED_VALUE"""),"TW")</f>
        <v>TW</v>
      </c>
      <c r="E88" s="41"/>
      <c r="F88" s="41"/>
      <c r="G88" s="41"/>
      <c r="H88" s="65" t="str">
        <f>IFERROR(__xludf.DUMMYFUNCTION("""COMPUTED_VALUE"""),"研發中心:軟體工程部:IOS團隊")</f>
        <v>研發中心:軟體工程部:IOS團隊</v>
      </c>
      <c r="I88" s="41" t="str">
        <f>IFERROR(__xludf.DUMMYFUNCTION("""COMPUTED_VALUE"""),"資訊裝置")</f>
        <v>資訊裝置</v>
      </c>
      <c r="J88" s="41" t="str">
        <f>IFERROR(__xludf.DUMMYFUNCTION("""COMPUTED_VALUE"""),"AICHMC01904007")</f>
        <v>AICHMC01904007</v>
      </c>
      <c r="K88" s="41" t="str">
        <f>IFERROR(__xludf.DUMMYFUNCTION("""COMPUTED_VALUE"""),"Mac mini")</f>
        <v>Mac mini</v>
      </c>
      <c r="L88" s="41" t="str">
        <f>IFERROR(__xludf.DUMMYFUNCTION("""COMPUTED_VALUE"""),"C07YF0JVJYW0")</f>
        <v>C07YF0JVJYW0</v>
      </c>
      <c r="M88" s="41" t="str">
        <f>IFERROR(__xludf.DUMMYFUNCTION("""COMPUTED_VALUE"""),"高旻暄")</f>
        <v>高旻暄</v>
      </c>
      <c r="N88" s="65">
        <f>IFERROR(__xludf.DUMMYFUNCTION("""COMPUTED_VALUE"""),43585.0)</f>
        <v>43585</v>
      </c>
      <c r="O88" s="45">
        <f>IFERROR(__xludf.DUMMYFUNCTION("""COMPUTED_VALUE"""),68300.0)</f>
        <v>68300</v>
      </c>
      <c r="P88" s="41" t="str">
        <f>IFERROR(__xludf.DUMMYFUNCTION("""COMPUTED_VALUE"""),"資訊裝置")</f>
        <v>資訊裝置</v>
      </c>
      <c r="Q88" s="41">
        <f>IFERROR(__xludf.DUMMYFUNCTION("""COMPUTED_VALUE"""),36.0)</f>
        <v>36</v>
      </c>
      <c r="R88" s="41">
        <f>IFERROR(__xludf.DUMMYFUNCTION("""COMPUTED_VALUE"""),36.0)</f>
        <v>36</v>
      </c>
      <c r="S88" s="41" t="str">
        <f>IFERROR(__xludf.DUMMYFUNCTION("""COMPUTED_VALUE"""),"NT$68,300")</f>
        <v>NT$68,300</v>
      </c>
      <c r="T88" s="41" t="str">
        <f>IFERROR(__xludf.DUMMYFUNCTION("""COMPUTED_VALUE"""),"Macmini(2018) I5/16GBRAM/256GBSSD")</f>
        <v>Macmini(2018) I5/16GBRAM/256GBSSD</v>
      </c>
      <c r="U88" s="41"/>
      <c r="V88" s="41"/>
      <c r="W88" s="41"/>
      <c r="X88" s="45" t="str">
        <f>IFERROR(__xludf.DUMMYFUNCTION("""COMPUTED_VALUE"""),"")</f>
        <v/>
      </c>
      <c r="Y88" s="41"/>
      <c r="Z88" s="41"/>
      <c r="AA88" s="41"/>
      <c r="AB88" s="41"/>
      <c r="AC88" s="41"/>
      <c r="AD88" s="41"/>
      <c r="AE88" s="41"/>
      <c r="AF88" s="41"/>
      <c r="AG88" s="41"/>
      <c r="AH88" s="41"/>
    </row>
    <row r="89">
      <c r="B89" s="41"/>
      <c r="C89" s="41" t="str">
        <f>IFERROR(__xludf.DUMMYFUNCTION("""COMPUTED_VALUE"""),"滿三年更換")</f>
        <v>滿三年更換</v>
      </c>
      <c r="D89" s="41" t="str">
        <f>IFERROR(__xludf.DUMMYFUNCTION("""COMPUTED_VALUE"""),"TW")</f>
        <v>TW</v>
      </c>
      <c r="E89" s="41"/>
      <c r="F89" s="41"/>
      <c r="G89" s="41"/>
      <c r="H89" s="65" t="str">
        <f>IFERROR(__xludf.DUMMYFUNCTION("""COMPUTED_VALUE"""),"研發中心:軟體工程部:IOS團隊")</f>
        <v>研發中心:軟體工程部:IOS團隊</v>
      </c>
      <c r="I89" s="41" t="str">
        <f>IFERROR(__xludf.DUMMYFUNCTION("""COMPUTED_VALUE"""),"資訊裝置")</f>
        <v>資訊裝置</v>
      </c>
      <c r="J89" s="41" t="str">
        <f>IFERROR(__xludf.DUMMYFUNCTION("""COMPUTED_VALUE"""),"AICHMC02112015")</f>
        <v>AICHMC02112015</v>
      </c>
      <c r="K89" s="41" t="str">
        <f>IFERROR(__xludf.DUMMYFUNCTION("""COMPUTED_VALUE"""),"Mac mini")</f>
        <v>Mac mini</v>
      </c>
      <c r="L89" s="41" t="str">
        <f>IFERROR(__xludf.DUMMYFUNCTION("""COMPUTED_VALUE"""),"C07GV1WMQ6P0")</f>
        <v>C07GV1WMQ6P0</v>
      </c>
      <c r="M89" s="41" t="str">
        <f>IFERROR(__xludf.DUMMYFUNCTION("""COMPUTED_VALUE"""),"高旻暄")</f>
        <v>高旻暄</v>
      </c>
      <c r="N89" s="65">
        <f>IFERROR(__xludf.DUMMYFUNCTION("""COMPUTED_VALUE"""),44553.0)</f>
        <v>44553</v>
      </c>
      <c r="O89" s="41"/>
      <c r="P89" s="41" t="str">
        <f>IFERROR(__xludf.DUMMYFUNCTION("""COMPUTED_VALUE"""),"資訊裝置")</f>
        <v>資訊裝置</v>
      </c>
      <c r="Q89" s="41">
        <f>IFERROR(__xludf.DUMMYFUNCTION("""COMPUTED_VALUE"""),36.0)</f>
        <v>36</v>
      </c>
      <c r="R89" s="41">
        <f>IFERROR(__xludf.DUMMYFUNCTION("""COMPUTED_VALUE"""),36.0)</f>
        <v>36</v>
      </c>
      <c r="S89" s="41" t="str">
        <f>IFERROR(__xludf.DUMMYFUNCTION("""COMPUTED_VALUE"""),"NT$0")</f>
        <v>NT$0</v>
      </c>
      <c r="T89" s="41" t="str">
        <f>IFERROR(__xludf.DUMMYFUNCTION("""COMPUTED_VALUE"""),"Macmini(2020) M1/16GBRAM")</f>
        <v>Macmini(2020) M1/16GBRAM</v>
      </c>
      <c r="U89" s="41"/>
      <c r="V89" s="41"/>
      <c r="W89" s="41"/>
      <c r="X89" s="45" t="str">
        <f>IFERROR(__xludf.DUMMYFUNCTION("""COMPUTED_VALUE"""),"")</f>
        <v/>
      </c>
      <c r="Y89" s="41"/>
      <c r="Z89" s="41"/>
      <c r="AA89" s="41"/>
      <c r="AB89" s="41"/>
      <c r="AC89" s="41"/>
      <c r="AD89" s="41"/>
      <c r="AE89" s="41"/>
      <c r="AF89" s="41"/>
      <c r="AG89" s="41"/>
      <c r="AH89" s="41"/>
    </row>
    <row r="90">
      <c r="B90" s="41"/>
      <c r="C90" s="41" t="str">
        <f>IFERROR(__xludf.DUMMYFUNCTION("""COMPUTED_VALUE"""),"滿三年更換")</f>
        <v>滿三年更換</v>
      </c>
      <c r="D90" s="41" t="str">
        <f>IFERROR(__xludf.DUMMYFUNCTION("""COMPUTED_VALUE"""),"TW")</f>
        <v>TW</v>
      </c>
      <c r="E90" s="41"/>
      <c r="F90" s="41"/>
      <c r="G90" s="41"/>
      <c r="H90" s="65" t="str">
        <f>IFERROR(__xludf.DUMMYFUNCTION("""COMPUTED_VALUE"""),"研發中心:軟體工程部:IOS團隊")</f>
        <v>研發中心:軟體工程部:IOS團隊</v>
      </c>
      <c r="I90" s="41" t="str">
        <f>IFERROR(__xludf.DUMMYFUNCTION("""COMPUTED_VALUE"""),"資訊裝置")</f>
        <v>資訊裝置</v>
      </c>
      <c r="J90" s="41" t="str">
        <f>IFERROR(__xludf.DUMMYFUNCTION("""COMPUTED_VALUE"""),"AICHMC02112016")</f>
        <v>AICHMC02112016</v>
      </c>
      <c r="K90" s="41" t="str">
        <f>IFERROR(__xludf.DUMMYFUNCTION("""COMPUTED_VALUE"""),"Mac mini")</f>
        <v>Mac mini</v>
      </c>
      <c r="L90" s="41" t="str">
        <f>IFERROR(__xludf.DUMMYFUNCTION("""COMPUTED_VALUE"""),"C07GV1X9Q6P0")</f>
        <v>C07GV1X9Q6P0</v>
      </c>
      <c r="M90" s="41" t="str">
        <f>IFERROR(__xludf.DUMMYFUNCTION("""COMPUTED_VALUE"""),"高旻暄")</f>
        <v>高旻暄</v>
      </c>
      <c r="N90" s="65">
        <f>IFERROR(__xludf.DUMMYFUNCTION("""COMPUTED_VALUE"""),44553.0)</f>
        <v>44553</v>
      </c>
      <c r="O90" s="45">
        <f>IFERROR(__xludf.DUMMYFUNCTION("""COMPUTED_VALUE"""),76550.0)</f>
        <v>76550</v>
      </c>
      <c r="P90" s="41" t="str">
        <f>IFERROR(__xludf.DUMMYFUNCTION("""COMPUTED_VALUE"""),"資訊裝置")</f>
        <v>資訊裝置</v>
      </c>
      <c r="Q90" s="41">
        <f>IFERROR(__xludf.DUMMYFUNCTION("""COMPUTED_VALUE"""),36.0)</f>
        <v>36</v>
      </c>
      <c r="R90" s="41">
        <f>IFERROR(__xludf.DUMMYFUNCTION("""COMPUTED_VALUE"""),36.0)</f>
        <v>36</v>
      </c>
      <c r="S90" s="41" t="str">
        <f>IFERROR(__xludf.DUMMYFUNCTION("""COMPUTED_VALUE"""),"NT$76,550")</f>
        <v>NT$76,550</v>
      </c>
      <c r="T90" s="41" t="str">
        <f>IFERROR(__xludf.DUMMYFUNCTION("""COMPUTED_VALUE"""),"Macmini(2020) M1/16GBRAM")</f>
        <v>Macmini(2020) M1/16GBRAM</v>
      </c>
      <c r="U90" s="41"/>
      <c r="V90" s="41"/>
      <c r="W90" s="41"/>
      <c r="X90" s="45" t="str">
        <f>IFERROR(__xludf.DUMMYFUNCTION("""COMPUTED_VALUE"""),"")</f>
        <v/>
      </c>
      <c r="Y90" s="41"/>
      <c r="Z90" s="41"/>
      <c r="AA90" s="41"/>
      <c r="AB90" s="41"/>
      <c r="AC90" s="41"/>
      <c r="AD90" s="41"/>
      <c r="AE90" s="41"/>
      <c r="AF90" s="41"/>
      <c r="AG90" s="41"/>
      <c r="AH90" s="41"/>
    </row>
    <row r="91">
      <c r="B91" s="41"/>
      <c r="C91" s="41" t="str">
        <f>IFERROR(__xludf.DUMMYFUNCTION("""COMPUTED_VALUE"""),"滿三年更換")</f>
        <v>滿三年更換</v>
      </c>
      <c r="D91" s="41" t="str">
        <f>IFERROR(__xludf.DUMMYFUNCTION("""COMPUTED_VALUE"""),"TW")</f>
        <v>TW</v>
      </c>
      <c r="E91" s="41"/>
      <c r="F91" s="41"/>
      <c r="G91" s="41"/>
      <c r="H91" s="65" t="str">
        <f>IFERROR(__xludf.DUMMYFUNCTION("""COMPUTED_VALUE"""),"研發中心:軟體工程部:IOS團隊")</f>
        <v>研發中心:軟體工程部:IOS團隊</v>
      </c>
      <c r="I91" s="41" t="str">
        <f>IFERROR(__xludf.DUMMYFUNCTION("""COMPUTED_VALUE"""),"資訊裝置")</f>
        <v>資訊裝置</v>
      </c>
      <c r="J91" s="41" t="str">
        <f>IFERROR(__xludf.DUMMYFUNCTION("""COMPUTED_VALUE"""),"AICHMP02201043")</f>
        <v>AICHMP02201043</v>
      </c>
      <c r="K91" s="41" t="str">
        <f>IFERROR(__xludf.DUMMYFUNCTION("""COMPUTED_VALUE"""),"Macbook Pro")</f>
        <v>Macbook Pro</v>
      </c>
      <c r="L91" s="41" t="str">
        <f>IFERROR(__xludf.DUMMYFUNCTION("""COMPUTED_VALUE"""),"YK7XPVC43F")</f>
        <v>YK7XPVC43F</v>
      </c>
      <c r="M91" s="41" t="str">
        <f>IFERROR(__xludf.DUMMYFUNCTION("""COMPUTED_VALUE"""),"高旻暄")</f>
        <v>高旻暄</v>
      </c>
      <c r="N91" s="65">
        <f>IFERROR(__xludf.DUMMYFUNCTION("""COMPUTED_VALUE"""),44587.0)</f>
        <v>44587</v>
      </c>
      <c r="O91" s="45">
        <f>IFERROR(__xludf.DUMMYFUNCTION("""COMPUTED_VALUE"""),81400.0)</f>
        <v>81400</v>
      </c>
      <c r="P91" s="41" t="str">
        <f>IFERROR(__xludf.DUMMYFUNCTION("""COMPUTED_VALUE"""),"資訊裝置")</f>
        <v>資訊裝置</v>
      </c>
      <c r="Q91" s="41">
        <f>IFERROR(__xludf.DUMMYFUNCTION("""COMPUTED_VALUE"""),36.0)</f>
        <v>36</v>
      </c>
      <c r="R91" s="41">
        <f>IFERROR(__xludf.DUMMYFUNCTION("""COMPUTED_VALUE"""),36.0)</f>
        <v>36</v>
      </c>
      <c r="S91" s="41" t="str">
        <f>IFERROR(__xludf.DUMMYFUNCTION("""COMPUTED_VALUE"""),"NT$81,400")</f>
        <v>NT$81,400</v>
      </c>
      <c r="T91" s="41" t="str">
        <f>IFERROR(__xludf.DUMMYFUNCTION("""COMPUTED_VALUE"""),"A2485 MBP16 (2021) M1Max/32GBRAM/512GBSSD")</f>
        <v>A2485 MBP16 (2021) M1Max/32GBRAM/512GBSSD</v>
      </c>
      <c r="U91" s="41"/>
      <c r="V91" s="41"/>
      <c r="W91" s="41"/>
      <c r="X91" s="45" t="str">
        <f>IFERROR(__xludf.DUMMYFUNCTION("""COMPUTED_VALUE"""),"")</f>
        <v/>
      </c>
      <c r="Y91" s="41"/>
      <c r="Z91" s="41"/>
      <c r="AA91" s="41"/>
      <c r="AB91" s="41"/>
      <c r="AC91" s="41"/>
      <c r="AD91" s="41"/>
      <c r="AE91" s="41"/>
      <c r="AF91" s="41"/>
      <c r="AG91" s="41"/>
      <c r="AH91" s="41"/>
    </row>
    <row r="92">
      <c r="B92" s="41"/>
      <c r="C92" s="41" t="str">
        <f>IFERROR(__xludf.DUMMYFUNCTION("""COMPUTED_VALUE"""),"滿三年更換")</f>
        <v>滿三年更換</v>
      </c>
      <c r="D92" s="41" t="str">
        <f>IFERROR(__xludf.DUMMYFUNCTION("""COMPUTED_VALUE"""),"TW")</f>
        <v>TW</v>
      </c>
      <c r="E92" s="41"/>
      <c r="F92" s="41"/>
      <c r="G92" s="41"/>
      <c r="H92" s="65" t="str">
        <f>IFERROR(__xludf.DUMMYFUNCTION("""COMPUTED_VALUE"""),"研發中心:軟體工程部:IOS團隊")</f>
        <v>研發中心:軟體工程部:IOS團隊</v>
      </c>
      <c r="I92" s="41" t="str">
        <f>IFERROR(__xludf.DUMMYFUNCTION("""COMPUTED_VALUE"""),"資訊裝置")</f>
        <v>資訊裝置</v>
      </c>
      <c r="J92" s="41" t="str">
        <f>IFERROR(__xludf.DUMMYFUNCTION("""COMPUTED_VALUE"""),"AICHMP02203045")</f>
        <v>AICHMP02203045</v>
      </c>
      <c r="K92" s="41" t="str">
        <f>IFERROR(__xludf.DUMMYFUNCTION("""COMPUTED_VALUE"""),"Macbook Pro")</f>
        <v>Macbook Pro</v>
      </c>
      <c r="L92" s="41" t="str">
        <f>IFERROR(__xludf.DUMMYFUNCTION("""COMPUTED_VALUE"""),"YC676MH79Y")</f>
        <v>YC676MH79Y</v>
      </c>
      <c r="M92" s="41" t="str">
        <f>IFERROR(__xludf.DUMMYFUNCTION("""COMPUTED_VALUE"""),"高旻暄")</f>
        <v>高旻暄</v>
      </c>
      <c r="N92" s="65">
        <f>IFERROR(__xludf.DUMMYFUNCTION("""COMPUTED_VALUE"""),44629.0)</f>
        <v>44629</v>
      </c>
      <c r="O92" s="45">
        <f>IFERROR(__xludf.DUMMYFUNCTION("""COMPUTED_VALUE"""),68300.0)</f>
        <v>68300</v>
      </c>
      <c r="P92" s="41" t="str">
        <f>IFERROR(__xludf.DUMMYFUNCTION("""COMPUTED_VALUE"""),"資訊裝置")</f>
        <v>資訊裝置</v>
      </c>
      <c r="Q92" s="41">
        <f>IFERROR(__xludf.DUMMYFUNCTION("""COMPUTED_VALUE"""),36.0)</f>
        <v>36</v>
      </c>
      <c r="R92" s="41">
        <f>IFERROR(__xludf.DUMMYFUNCTION("""COMPUTED_VALUE"""),36.0)</f>
        <v>36</v>
      </c>
      <c r="S92" s="41" t="str">
        <f>IFERROR(__xludf.DUMMYFUNCTION("""COMPUTED_VALUE"""),"NT$68,300")</f>
        <v>NT$68,300</v>
      </c>
      <c r="T92" s="41" t="str">
        <f>IFERROR(__xludf.DUMMYFUNCTION("""COMPUTED_VALUE"""),"A2442 MBP14 (2021) M1Pro/32GBRAM/512GBSSD")</f>
        <v>A2442 MBP14 (2021) M1Pro/32GBRAM/512GBSSD</v>
      </c>
      <c r="U92" s="41"/>
      <c r="V92" s="41"/>
      <c r="W92" s="41"/>
      <c r="X92" s="45" t="str">
        <f>IFERROR(__xludf.DUMMYFUNCTION("""COMPUTED_VALUE"""),"")</f>
        <v/>
      </c>
      <c r="Y92" s="41"/>
      <c r="Z92" s="41"/>
      <c r="AA92" s="41"/>
      <c r="AB92" s="41"/>
      <c r="AC92" s="41"/>
      <c r="AD92" s="41"/>
      <c r="AE92" s="41"/>
      <c r="AF92" s="41"/>
      <c r="AG92" s="41"/>
      <c r="AH92" s="41"/>
    </row>
    <row r="93">
      <c r="B93" s="41"/>
      <c r="C93" s="41" t="str">
        <f>IFERROR(__xludf.DUMMYFUNCTION("""COMPUTED_VALUE"""),"滿三年更換")</f>
        <v>滿三年更換</v>
      </c>
      <c r="D93" s="41" t="str">
        <f>IFERROR(__xludf.DUMMYFUNCTION("""COMPUTED_VALUE"""),"TW")</f>
        <v>TW</v>
      </c>
      <c r="E93" s="41"/>
      <c r="F93" s="41"/>
      <c r="G93" s="41"/>
      <c r="H93" s="65" t="str">
        <f>IFERROR(__xludf.DUMMYFUNCTION("""COMPUTED_VALUE"""),"研發中心:軟體工程部:IOS團隊")</f>
        <v>研發中心:軟體工程部:IOS團隊</v>
      </c>
      <c r="I93" s="41" t="str">
        <f>IFERROR(__xludf.DUMMYFUNCTION("""COMPUTED_VALUE"""),"資訊裝置")</f>
        <v>資訊裝置</v>
      </c>
      <c r="J93" s="41" t="str">
        <f>IFERROR(__xludf.DUMMYFUNCTION("""COMPUTED_VALUE"""),"AICHIP02011041")</f>
        <v>AICHIP02011041</v>
      </c>
      <c r="K93" s="41" t="str">
        <f>IFERROR(__xludf.DUMMYFUNCTION("""COMPUTED_VALUE"""),"iPad")</f>
        <v>iPad</v>
      </c>
      <c r="L93" s="41" t="str">
        <f>IFERROR(__xludf.DUMMYFUNCTION("""COMPUTED_VALUE"""),"DMPDC0DTMF3N")</f>
        <v>DMPDC0DTMF3N</v>
      </c>
      <c r="M93" s="41" t="str">
        <f>IFERROR(__xludf.DUMMYFUNCTION("""COMPUTED_VALUE"""),"高旻暄")</f>
        <v>高旻暄</v>
      </c>
      <c r="N93" s="65">
        <f>IFERROR(__xludf.DUMMYFUNCTION("""COMPUTED_VALUE"""),44135.0)</f>
        <v>44135</v>
      </c>
      <c r="O93" s="45">
        <f>IFERROR(__xludf.DUMMYFUNCTION("""COMPUTED_VALUE"""),8901.0)</f>
        <v>8901</v>
      </c>
      <c r="P93" s="41" t="str">
        <f>IFERROR(__xludf.DUMMYFUNCTION("""COMPUTED_VALUE"""),"資訊裝置")</f>
        <v>資訊裝置</v>
      </c>
      <c r="Q93" s="41">
        <f>IFERROR(__xludf.DUMMYFUNCTION("""COMPUTED_VALUE"""),36.0)</f>
        <v>36</v>
      </c>
      <c r="R93" s="41">
        <f>IFERROR(__xludf.DUMMYFUNCTION("""COMPUTED_VALUE"""),36.0)</f>
        <v>36</v>
      </c>
      <c r="S93" s="41" t="str">
        <f>IFERROR(__xludf.DUMMYFUNCTION("""COMPUTED_VALUE"""),"NT$8,901")</f>
        <v>NT$8,901</v>
      </c>
      <c r="T93" s="41" t="str">
        <f>IFERROR(__xludf.DUMMYFUNCTION("""COMPUTED_VALUE"""),"iPad (第七代) 32GB WIFI(MW752TA/A)(A2197)")</f>
        <v>iPad (第七代) 32GB WIFI(MW752TA/A)(A2197)</v>
      </c>
      <c r="U93" s="41"/>
      <c r="V93" s="41"/>
      <c r="W93" s="41"/>
      <c r="X93" s="45" t="str">
        <f>IFERROR(__xludf.DUMMYFUNCTION("""COMPUTED_VALUE"""),"")</f>
        <v/>
      </c>
      <c r="Y93" s="41"/>
      <c r="Z93" s="41"/>
      <c r="AA93" s="41"/>
      <c r="AB93" s="41"/>
      <c r="AC93" s="41"/>
      <c r="AD93" s="41"/>
      <c r="AE93" s="41"/>
      <c r="AF93" s="41"/>
      <c r="AG93" s="41"/>
      <c r="AH93" s="41"/>
    </row>
    <row r="94">
      <c r="B94" s="41"/>
      <c r="C94" s="41" t="str">
        <f>IFERROR(__xludf.DUMMYFUNCTION("""COMPUTED_VALUE"""),"滿三年更換")</f>
        <v>滿三年更換</v>
      </c>
      <c r="D94" s="41" t="str">
        <f>IFERROR(__xludf.DUMMYFUNCTION("""COMPUTED_VALUE"""),"TW")</f>
        <v>TW</v>
      </c>
      <c r="E94" s="41"/>
      <c r="F94" s="41"/>
      <c r="G94" s="41"/>
      <c r="H94" s="65" t="str">
        <f>IFERROR(__xludf.DUMMYFUNCTION("""COMPUTED_VALUE"""),"研發中心:軟體工程部:IOS團隊")</f>
        <v>研發中心:軟體工程部:IOS團隊</v>
      </c>
      <c r="I94" s="41" t="str">
        <f>IFERROR(__xludf.DUMMYFUNCTION("""COMPUTED_VALUE"""),"資訊裝置")</f>
        <v>資訊裝置</v>
      </c>
      <c r="J94" s="41" t="str">
        <f>IFERROR(__xludf.DUMMYFUNCTION("""COMPUTED_VALUE"""),"AICHMN01607036")</f>
        <v>AICHMN01607036</v>
      </c>
      <c r="K94" s="41" t="str">
        <f>IFERROR(__xludf.DUMMYFUNCTION("""COMPUTED_VALUE"""),"螢幕")</f>
        <v>螢幕</v>
      </c>
      <c r="L94" s="41" t="str">
        <f>IFERROR(__xludf.DUMMYFUNCTION("""COMPUTED_VALUE"""),"CN-09TGMK-64180-64M-03SS-A02")</f>
        <v>CN-09TGMK-64180-64M-03SS-A02</v>
      </c>
      <c r="M94" s="41" t="str">
        <f>IFERROR(__xludf.DUMMYFUNCTION("""COMPUTED_VALUE"""),"高旻暄")</f>
        <v>高旻暄</v>
      </c>
      <c r="N94" s="65">
        <f>IFERROR(__xludf.DUMMYFUNCTION("""COMPUTED_VALUE"""),42555.0)</f>
        <v>42555</v>
      </c>
      <c r="O94" s="45">
        <f>IFERROR(__xludf.DUMMYFUNCTION("""COMPUTED_VALUE"""),9450.0)</f>
        <v>9450</v>
      </c>
      <c r="P94" s="41" t="str">
        <f>IFERROR(__xludf.DUMMYFUNCTION("""COMPUTED_VALUE"""),"資訊裝置")</f>
        <v>資訊裝置</v>
      </c>
      <c r="Q94" s="41">
        <f>IFERROR(__xludf.DUMMYFUNCTION("""COMPUTED_VALUE"""),36.0)</f>
        <v>36</v>
      </c>
      <c r="R94" s="41">
        <f>IFERROR(__xludf.DUMMYFUNCTION("""COMPUTED_VALUE"""),36.0)</f>
        <v>36</v>
      </c>
      <c r="S94" s="41" t="str">
        <f>IFERROR(__xludf.DUMMYFUNCTION("""COMPUTED_VALUE"""),"NT$9,450")</f>
        <v>NT$9,450</v>
      </c>
      <c r="T94" s="41" t="str">
        <f>IFERROR(__xludf.DUMMYFUNCTION("""COMPUTED_VALUE"""),"Dell 24吋 U2412Mc")</f>
        <v>Dell 24吋 U2412Mc</v>
      </c>
      <c r="U94" s="41"/>
      <c r="V94" s="41"/>
      <c r="W94" s="41"/>
      <c r="X94" s="45" t="str">
        <f>IFERROR(__xludf.DUMMYFUNCTION("""COMPUTED_VALUE"""),"")</f>
        <v/>
      </c>
      <c r="Y94" s="41"/>
      <c r="Z94" s="41"/>
      <c r="AA94" s="41"/>
      <c r="AB94" s="41"/>
      <c r="AC94" s="41"/>
      <c r="AD94" s="41"/>
      <c r="AE94" s="41"/>
      <c r="AF94" s="41"/>
      <c r="AG94" s="41"/>
      <c r="AH94" s="41"/>
    </row>
    <row r="95">
      <c r="B95" s="41"/>
      <c r="C95" s="41" t="str">
        <f>IFERROR(__xludf.DUMMYFUNCTION("""COMPUTED_VALUE"""),"滿三年更換")</f>
        <v>滿三年更換</v>
      </c>
      <c r="D95" s="41" t="str">
        <f>IFERROR(__xludf.DUMMYFUNCTION("""COMPUTED_VALUE"""),"TW")</f>
        <v>TW</v>
      </c>
      <c r="E95" s="41"/>
      <c r="F95" s="41"/>
      <c r="G95" s="41"/>
      <c r="H95" s="65" t="str">
        <f>IFERROR(__xludf.DUMMYFUNCTION("""COMPUTED_VALUE"""),"研發中心:軟體工程部:IOS團隊")</f>
        <v>研發中心:軟體工程部:IOS團隊</v>
      </c>
      <c r="I95" s="41" t="str">
        <f>IFERROR(__xludf.DUMMYFUNCTION("""COMPUTED_VALUE"""),"資訊裝置")</f>
        <v>資訊裝置</v>
      </c>
      <c r="J95" s="41" t="str">
        <f>IFERROR(__xludf.DUMMYFUNCTION("""COMPUTED_VALUE"""),"AICHMN02207116")</f>
        <v>AICHMN02207116</v>
      </c>
      <c r="K95" s="41" t="str">
        <f>IFERROR(__xludf.DUMMYFUNCTION("""COMPUTED_VALUE"""),"螢幕")</f>
        <v>螢幕</v>
      </c>
      <c r="L95" s="41" t="str">
        <f>IFERROR(__xludf.DUMMYFUNCTION("""COMPUTED_VALUE"""),"N4LMTF079470")</f>
        <v>N4LMTF079470</v>
      </c>
      <c r="M95" s="41" t="str">
        <f>IFERROR(__xludf.DUMMYFUNCTION("""COMPUTED_VALUE"""),"高旻暄")</f>
        <v>高旻暄</v>
      </c>
      <c r="N95" s="65">
        <f>IFERROR(__xludf.DUMMYFUNCTION("""COMPUTED_VALUE"""),44749.0)</f>
        <v>44749</v>
      </c>
      <c r="O95" s="45">
        <f>IFERROR(__xludf.DUMMYFUNCTION("""COMPUTED_VALUE"""),30349.0)</f>
        <v>30349</v>
      </c>
      <c r="P95" s="41" t="str">
        <f>IFERROR(__xludf.DUMMYFUNCTION("""COMPUTED_VALUE"""),"資訊裝置")</f>
        <v>資訊裝置</v>
      </c>
      <c r="Q95" s="41">
        <f>IFERROR(__xludf.DUMMYFUNCTION("""COMPUTED_VALUE"""),36.0)</f>
        <v>36</v>
      </c>
      <c r="R95" s="41">
        <f>IFERROR(__xludf.DUMMYFUNCTION("""COMPUTED_VALUE"""),36.0)</f>
        <v>36</v>
      </c>
      <c r="S95" s="41" t="str">
        <f>IFERROR(__xludf.DUMMYFUNCTION("""COMPUTED_VALUE"""),"NT$30,349")</f>
        <v>NT$30,349</v>
      </c>
      <c r="T95" s="41" t="str">
        <f>IFERROR(__xludf.DUMMYFUNCTION("""COMPUTED_VALUE"""),"ASUS 28吋 VG289")</f>
        <v>ASUS 28吋 VG289</v>
      </c>
      <c r="U95" s="41"/>
      <c r="V95" s="41"/>
      <c r="W95" s="41"/>
      <c r="X95" s="45" t="str">
        <f>IFERROR(__xludf.DUMMYFUNCTION("""COMPUTED_VALUE"""),"")</f>
        <v/>
      </c>
      <c r="Y95" s="41"/>
      <c r="Z95" s="41"/>
      <c r="AA95" s="41"/>
      <c r="AB95" s="41"/>
      <c r="AC95" s="41"/>
      <c r="AD95" s="41"/>
      <c r="AE95" s="41"/>
      <c r="AF95" s="41"/>
      <c r="AG95" s="41"/>
      <c r="AH95" s="41"/>
    </row>
    <row r="96">
      <c r="B96" s="41"/>
      <c r="C96" s="41" t="str">
        <f>IFERROR(__xludf.DUMMYFUNCTION("""COMPUTED_VALUE"""),"滿三年更換")</f>
        <v>滿三年更換</v>
      </c>
      <c r="D96" s="41" t="str">
        <f>IFERROR(__xludf.DUMMYFUNCTION("""COMPUTED_VALUE"""),"TW")</f>
        <v>TW</v>
      </c>
      <c r="E96" s="41"/>
      <c r="F96" s="41"/>
      <c r="G96" s="41"/>
      <c r="H96" s="65" t="str">
        <f>IFERROR(__xludf.DUMMYFUNCTION("""COMPUTED_VALUE"""),"行銷營運中心:銷售營運部:銷售顧問團隊")</f>
        <v>行銷營運中心:銷售營運部:銷售顧問團隊</v>
      </c>
      <c r="I96" s="41" t="str">
        <f>IFERROR(__xludf.DUMMYFUNCTION("""COMPUTED_VALUE"""),"資訊裝置")</f>
        <v>資訊裝置</v>
      </c>
      <c r="J96" s="41" t="str">
        <f>IFERROR(__xludf.DUMMYFUNCTION("""COMPUTED_VALUE"""),"AICHMA02105021")</f>
        <v>AICHMA02105021</v>
      </c>
      <c r="K96" s="41" t="str">
        <f>IFERROR(__xludf.DUMMYFUNCTION("""COMPUTED_VALUE"""),"Macbook Air")</f>
        <v>Macbook Air</v>
      </c>
      <c r="L96" s="41" t="str">
        <f>IFERROR(__xludf.DUMMYFUNCTION("""COMPUTED_VALUE"""),"FVFFP2EGQ6L7")</f>
        <v>FVFFP2EGQ6L7</v>
      </c>
      <c r="M96" s="41" t="str">
        <f>IFERROR(__xludf.DUMMYFUNCTION("""COMPUTED_VALUE"""),"張苡芃")</f>
        <v>張苡芃</v>
      </c>
      <c r="N96" s="65">
        <f>IFERROR(__xludf.DUMMYFUNCTION("""COMPUTED_VALUE"""),44341.0)</f>
        <v>44341</v>
      </c>
      <c r="O96" s="45">
        <f>IFERROR(__xludf.DUMMYFUNCTION("""COMPUTED_VALUE"""),27075.0)</f>
        <v>27075</v>
      </c>
      <c r="P96" s="41" t="str">
        <f>IFERROR(__xludf.DUMMYFUNCTION("""COMPUTED_VALUE"""),"資訊裝置")</f>
        <v>資訊裝置</v>
      </c>
      <c r="Q96" s="41">
        <f>IFERROR(__xludf.DUMMYFUNCTION("""COMPUTED_VALUE"""),36.0)</f>
        <v>36</v>
      </c>
      <c r="R96" s="41">
        <f>IFERROR(__xludf.DUMMYFUNCTION("""COMPUTED_VALUE"""),36.0)</f>
        <v>36</v>
      </c>
      <c r="S96" s="41" t="str">
        <f>IFERROR(__xludf.DUMMYFUNCTION("""COMPUTED_VALUE"""),"NT$27,075")</f>
        <v>NT$27,075</v>
      </c>
      <c r="T96" s="41" t="str">
        <f>IFERROR(__xludf.DUMMYFUNCTION("""COMPUTED_VALUE"""),"MBA13 (2020) M1/8GBRAM/256GBSSD")</f>
        <v>MBA13 (2020) M1/8GBRAM/256GBSSD</v>
      </c>
      <c r="U96" s="41"/>
      <c r="V96" s="41"/>
      <c r="W96" s="41"/>
      <c r="X96" s="45" t="str">
        <f>IFERROR(__xludf.DUMMYFUNCTION("""COMPUTED_VALUE"""),"")</f>
        <v/>
      </c>
      <c r="Y96" s="41"/>
      <c r="Z96" s="41"/>
      <c r="AA96" s="41"/>
      <c r="AB96" s="41"/>
      <c r="AC96" s="41"/>
      <c r="AD96" s="41"/>
      <c r="AE96" s="41"/>
      <c r="AF96" s="41"/>
      <c r="AG96" s="41"/>
      <c r="AH96" s="41"/>
    </row>
    <row r="97">
      <c r="B97" s="41"/>
      <c r="C97" s="41" t="str">
        <f>IFERROR(__xludf.DUMMYFUNCTION("""COMPUTED_VALUE"""),"滿三年更換")</f>
        <v>滿三年更換</v>
      </c>
      <c r="D97" s="41" t="str">
        <f>IFERROR(__xludf.DUMMYFUNCTION("""COMPUTED_VALUE"""),"TW")</f>
        <v>TW</v>
      </c>
      <c r="E97" s="41"/>
      <c r="F97" s="41"/>
      <c r="G97" s="41"/>
      <c r="H97" s="65" t="str">
        <f>IFERROR(__xludf.DUMMYFUNCTION("""COMPUTED_VALUE"""),"研發中心:產品設計部:產品設計師團隊")</f>
        <v>研發中心:產品設計部:產品設計師團隊</v>
      </c>
      <c r="I97" s="41" t="str">
        <f>IFERROR(__xludf.DUMMYFUNCTION("""COMPUTED_VALUE"""),"資訊裝置")</f>
        <v>資訊裝置</v>
      </c>
      <c r="J97" s="41" t="str">
        <f>IFERROR(__xludf.DUMMYFUNCTION("""COMPUTED_VALUE"""),"AICHIP02107075")</f>
        <v>AICHIP02107075</v>
      </c>
      <c r="K97" s="41" t="str">
        <f>IFERROR(__xludf.DUMMYFUNCTION("""COMPUTED_VALUE"""),"iPad")</f>
        <v>iPad</v>
      </c>
      <c r="L97" s="41" t="str">
        <f>IFERROR(__xludf.DUMMYFUNCTION("""COMPUTED_VALUE"""),"F9FFVGM5Q1GF")</f>
        <v>F9FFVGM5Q1GF</v>
      </c>
      <c r="M97" s="41" t="str">
        <f>IFERROR(__xludf.DUMMYFUNCTION("""COMPUTED_VALUE"""),"張凱評")</f>
        <v>張凱評</v>
      </c>
      <c r="N97" s="65">
        <f>IFERROR(__xludf.DUMMYFUNCTION("""COMPUTED_VALUE"""),44400.0)</f>
        <v>44400</v>
      </c>
      <c r="O97" s="45">
        <f>IFERROR(__xludf.DUMMYFUNCTION("""COMPUTED_VALUE"""),9450.0)</f>
        <v>9450</v>
      </c>
      <c r="P97" s="41" t="str">
        <f>IFERROR(__xludf.DUMMYFUNCTION("""COMPUTED_VALUE"""),"資訊裝置")</f>
        <v>資訊裝置</v>
      </c>
      <c r="Q97" s="41">
        <f>IFERROR(__xludf.DUMMYFUNCTION("""COMPUTED_VALUE"""),36.0)</f>
        <v>36</v>
      </c>
      <c r="R97" s="41">
        <f>IFERROR(__xludf.DUMMYFUNCTION("""COMPUTED_VALUE"""),36.0)</f>
        <v>36</v>
      </c>
      <c r="S97" s="41" t="str">
        <f>IFERROR(__xludf.DUMMYFUNCTION("""COMPUTED_VALUE"""),"NT$9,450")</f>
        <v>NT$9,450</v>
      </c>
      <c r="T97" s="41" t="str">
        <f>IFERROR(__xludf.DUMMYFUNCTION("""COMPUTED_VALUE"""),"iPad (第八代) 32GB WIFI(MYLC2TA/A)")</f>
        <v>iPad (第八代) 32GB WIFI(MYLC2TA/A)</v>
      </c>
      <c r="U97" s="41"/>
      <c r="V97" s="41"/>
      <c r="W97" s="41"/>
      <c r="X97" s="45" t="str">
        <f>IFERROR(__xludf.DUMMYFUNCTION("""COMPUTED_VALUE"""),"")</f>
        <v/>
      </c>
      <c r="Y97" s="41"/>
      <c r="Z97" s="41"/>
      <c r="AA97" s="41"/>
      <c r="AB97" s="41"/>
      <c r="AC97" s="41"/>
      <c r="AD97" s="41"/>
      <c r="AE97" s="41"/>
      <c r="AF97" s="41"/>
      <c r="AG97" s="41"/>
      <c r="AH97" s="41"/>
    </row>
    <row r="98">
      <c r="B98" s="41"/>
      <c r="C98" s="41" t="str">
        <f>IFERROR(__xludf.DUMMYFUNCTION("""COMPUTED_VALUE"""),"滿三年更換")</f>
        <v>滿三年更換</v>
      </c>
      <c r="D98" s="41" t="str">
        <f>IFERROR(__xludf.DUMMYFUNCTION("""COMPUTED_VALUE"""),"TW")</f>
        <v>TW</v>
      </c>
      <c r="E98" s="41"/>
      <c r="F98" s="41"/>
      <c r="G98" s="41"/>
      <c r="H98" s="65" t="str">
        <f>IFERROR(__xludf.DUMMYFUNCTION("""COMPUTED_VALUE"""),"研發中心:產品設計部:產品設計師團隊")</f>
        <v>研發中心:產品設計部:產品設計師團隊</v>
      </c>
      <c r="I98" s="41" t="str">
        <f>IFERROR(__xludf.DUMMYFUNCTION("""COMPUTED_VALUE"""),"資訊裝置")</f>
        <v>資訊裝置</v>
      </c>
      <c r="J98" s="41" t="str">
        <f>IFERROR(__xludf.DUMMYFUNCTION("""COMPUTED_VALUE"""),"AICHMN02206115")</f>
        <v>AICHMN02206115</v>
      </c>
      <c r="K98" s="41" t="str">
        <f>IFERROR(__xludf.DUMMYFUNCTION("""COMPUTED_VALUE"""),"螢幕")</f>
        <v>螢幕</v>
      </c>
      <c r="L98" s="41" t="str">
        <f>IFERROR(__xludf.DUMMYFUNCTION("""COMPUTED_VALUE"""),"PDRM8JA002727")</f>
        <v>PDRM8JA002727</v>
      </c>
      <c r="M98" s="41" t="str">
        <f>IFERROR(__xludf.DUMMYFUNCTION("""COMPUTED_VALUE"""),"張凱評")</f>
        <v>張凱評</v>
      </c>
      <c r="N98" s="65">
        <f>IFERROR(__xludf.DUMMYFUNCTION("""COMPUTED_VALUE"""),44740.0)</f>
        <v>44740</v>
      </c>
      <c r="O98" s="45">
        <f>IFERROR(__xludf.DUMMYFUNCTION("""COMPUTED_VALUE"""),69739.0)</f>
        <v>69739</v>
      </c>
      <c r="P98" s="41" t="str">
        <f>IFERROR(__xludf.DUMMYFUNCTION("""COMPUTED_VALUE"""),"資訊裝置")</f>
        <v>資訊裝置</v>
      </c>
      <c r="Q98" s="41">
        <f>IFERROR(__xludf.DUMMYFUNCTION("""COMPUTED_VALUE"""),36.0)</f>
        <v>36</v>
      </c>
      <c r="R98" s="41">
        <f>IFERROR(__xludf.DUMMYFUNCTION("""COMPUTED_VALUE"""),36.0)</f>
        <v>36</v>
      </c>
      <c r="S98" s="41" t="str">
        <f>IFERROR(__xludf.DUMMYFUNCTION("""COMPUTED_VALUE"""),"NT$69,739")</f>
        <v>NT$69,739</v>
      </c>
      <c r="T98" s="41" t="str">
        <f>IFERROR(__xludf.DUMMYFUNCTION("""COMPUTED_VALUE"""),"AOC 28吋 U28P2U")</f>
        <v>AOC 28吋 U28P2U</v>
      </c>
      <c r="U98" s="41"/>
      <c r="V98" s="41"/>
      <c r="W98" s="41"/>
      <c r="X98" s="45" t="str">
        <f>IFERROR(__xludf.DUMMYFUNCTION("""COMPUTED_VALUE"""),"")</f>
        <v/>
      </c>
      <c r="Y98" s="41"/>
      <c r="Z98" s="41"/>
      <c r="AA98" s="41"/>
      <c r="AB98" s="41"/>
      <c r="AC98" s="41"/>
      <c r="AD98" s="41"/>
      <c r="AE98" s="41"/>
      <c r="AF98" s="41"/>
      <c r="AG98" s="41"/>
      <c r="AH98" s="41"/>
    </row>
    <row r="99">
      <c r="B99" s="41"/>
      <c r="C99" s="41" t="str">
        <f>IFERROR(__xludf.DUMMYFUNCTION("""COMPUTED_VALUE"""),"滿三年更換")</f>
        <v>滿三年更換</v>
      </c>
      <c r="D99" s="41" t="str">
        <f>IFERROR(__xludf.DUMMYFUNCTION("""COMPUTED_VALUE"""),"TW")</f>
        <v>TW</v>
      </c>
      <c r="E99" s="41"/>
      <c r="F99" s="41"/>
      <c r="G99" s="41"/>
      <c r="H99" s="65" t="str">
        <f>IFERROR(__xludf.DUMMYFUNCTION("""COMPUTED_VALUE"""),"研發中心:軟體工程部:前端團隊")</f>
        <v>研發中心:軟體工程部:前端團隊</v>
      </c>
      <c r="I99" s="41" t="str">
        <f>IFERROR(__xludf.DUMMYFUNCTION("""COMPUTED_VALUE"""),"資訊裝置")</f>
        <v>資訊裝置</v>
      </c>
      <c r="J99" s="41" t="str">
        <f>IFERROR(__xludf.DUMMYFUNCTION("""COMPUTED_VALUE"""),"AICHIP01704002")</f>
        <v>AICHIP01704002</v>
      </c>
      <c r="K99" s="41" t="str">
        <f>IFERROR(__xludf.DUMMYFUNCTION("""COMPUTED_VALUE"""),"iPad Air 2")</f>
        <v>iPad Air 2</v>
      </c>
      <c r="L99" s="41" t="str">
        <f>IFERROR(__xludf.DUMMYFUNCTION("""COMPUTED_VALUE"""),"DMPR835VG5VV")</f>
        <v>DMPR835VG5VV</v>
      </c>
      <c r="M99" s="41" t="str">
        <f>IFERROR(__xludf.DUMMYFUNCTION("""COMPUTED_VALUE"""),"張登皓")</f>
        <v>張登皓</v>
      </c>
      <c r="N99" s="65">
        <f>IFERROR(__xludf.DUMMYFUNCTION("""COMPUTED_VALUE"""),42855.0)</f>
        <v>42855</v>
      </c>
      <c r="O99" s="45">
        <f>IFERROR(__xludf.DUMMYFUNCTION("""COMPUTED_VALUE"""),5417.0)</f>
        <v>5417</v>
      </c>
      <c r="P99" s="41" t="str">
        <f>IFERROR(__xludf.DUMMYFUNCTION("""COMPUTED_VALUE"""),"資訊裝置")</f>
        <v>資訊裝置</v>
      </c>
      <c r="Q99" s="41">
        <f>IFERROR(__xludf.DUMMYFUNCTION("""COMPUTED_VALUE"""),36.0)</f>
        <v>36</v>
      </c>
      <c r="R99" s="41">
        <f>IFERROR(__xludf.DUMMYFUNCTION("""COMPUTED_VALUE"""),36.0)</f>
        <v>36</v>
      </c>
      <c r="S99" s="41" t="str">
        <f>IFERROR(__xludf.DUMMYFUNCTION("""COMPUTED_VALUE"""),"NT$5,417")</f>
        <v>NT$5,417</v>
      </c>
      <c r="T99" s="41" t="str">
        <f>IFERROR(__xludf.DUMMYFUNCTION("""COMPUTED_VALUE"""),"iPad Air 2 16GB WIFI(A1566)")</f>
        <v>iPad Air 2 16GB WIFI(A1566)</v>
      </c>
      <c r="U99" s="41"/>
      <c r="V99" s="41"/>
      <c r="W99" s="41"/>
      <c r="X99" s="45" t="str">
        <f>IFERROR(__xludf.DUMMYFUNCTION("""COMPUTED_VALUE"""),"")</f>
        <v/>
      </c>
      <c r="Y99" s="41"/>
      <c r="Z99" s="41"/>
      <c r="AA99" s="41"/>
      <c r="AB99" s="41"/>
      <c r="AC99" s="41"/>
      <c r="AD99" s="41"/>
      <c r="AE99" s="41"/>
      <c r="AF99" s="41"/>
      <c r="AG99" s="41"/>
      <c r="AH99" s="41"/>
    </row>
    <row r="100">
      <c r="B100" s="41"/>
      <c r="C100" s="41" t="str">
        <f>IFERROR(__xludf.DUMMYFUNCTION("""COMPUTED_VALUE"""),"滿三年更換")</f>
        <v>滿三年更換</v>
      </c>
      <c r="D100" s="41" t="str">
        <f>IFERROR(__xludf.DUMMYFUNCTION("""COMPUTED_VALUE"""),"TW")</f>
        <v>TW</v>
      </c>
      <c r="E100" s="41"/>
      <c r="F100" s="41"/>
      <c r="G100" s="41"/>
      <c r="H100" s="65" t="str">
        <f>IFERROR(__xludf.DUMMYFUNCTION("""COMPUTED_VALUE"""),"研發中心:軟體工程部:前端團隊")</f>
        <v>研發中心:軟體工程部:前端團隊</v>
      </c>
      <c r="I100" s="41" t="str">
        <f>IFERROR(__xludf.DUMMYFUNCTION("""COMPUTED_VALUE"""),"資訊裝置")</f>
        <v>資訊裝置</v>
      </c>
      <c r="J100" s="41" t="str">
        <f>IFERROR(__xludf.DUMMYFUNCTION("""COMPUTED_VALUE"""),"AICHMN01604029")</f>
        <v>AICHMN01604029</v>
      </c>
      <c r="K100" s="41" t="str">
        <f>IFERROR(__xludf.DUMMYFUNCTION("""COMPUTED_VALUE"""),"螢幕")</f>
        <v>螢幕</v>
      </c>
      <c r="L100" s="41" t="str">
        <f>IFERROR(__xludf.DUMMYFUNCTION("""COMPUTED_VALUE"""),"CN-0YR48V-74261-23Q-302L")</f>
        <v>CN-0YR48V-74261-23Q-302L</v>
      </c>
      <c r="M100" s="41" t="str">
        <f>IFERROR(__xludf.DUMMYFUNCTION("""COMPUTED_VALUE"""),"張登皓")</f>
        <v>張登皓</v>
      </c>
      <c r="N100" s="65">
        <f>IFERROR(__xludf.DUMMYFUNCTION("""COMPUTED_VALUE"""),42468.0)</f>
        <v>42468</v>
      </c>
      <c r="O100" s="41"/>
      <c r="P100" s="41" t="str">
        <f>IFERROR(__xludf.DUMMYFUNCTION("""COMPUTED_VALUE"""),"資訊裝置")</f>
        <v>資訊裝置</v>
      </c>
      <c r="Q100" s="41">
        <f>IFERROR(__xludf.DUMMYFUNCTION("""COMPUTED_VALUE"""),36.0)</f>
        <v>36</v>
      </c>
      <c r="R100" s="41">
        <f>IFERROR(__xludf.DUMMYFUNCTION("""COMPUTED_VALUE"""),36.0)</f>
        <v>36</v>
      </c>
      <c r="S100" s="41" t="str">
        <f>IFERROR(__xludf.DUMMYFUNCTION("""COMPUTED_VALUE"""),"NT$0")</f>
        <v>NT$0</v>
      </c>
      <c r="T100" s="41" t="str">
        <f>IFERROR(__xludf.DUMMYFUNCTION("""COMPUTED_VALUE"""),"Dell 24吋 U2412Mb")</f>
        <v>Dell 24吋 U2412Mb</v>
      </c>
      <c r="U100" s="41"/>
      <c r="V100" s="41"/>
      <c r="W100" s="41"/>
      <c r="X100" s="45" t="str">
        <f>IFERROR(__xludf.DUMMYFUNCTION("""COMPUTED_VALUE"""),"")</f>
        <v/>
      </c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</row>
    <row r="101">
      <c r="B101" s="41"/>
      <c r="C101" s="41" t="str">
        <f>IFERROR(__xludf.DUMMYFUNCTION("""COMPUTED_VALUE"""),"滿三年更換")</f>
        <v>滿三年更換</v>
      </c>
      <c r="D101" s="41" t="str">
        <f>IFERROR(__xludf.DUMMYFUNCTION("""COMPUTED_VALUE"""),"TW")</f>
        <v>TW</v>
      </c>
      <c r="E101" s="41"/>
      <c r="F101" s="41"/>
      <c r="G101" s="41"/>
      <c r="H101" s="65" t="str">
        <f>IFERROR(__xludf.DUMMYFUNCTION("""COMPUTED_VALUE"""),"研發中心:軟體工程部:前端團隊")</f>
        <v>研發中心:軟體工程部:前端團隊</v>
      </c>
      <c r="I101" s="41" t="str">
        <f>IFERROR(__xludf.DUMMYFUNCTION("""COMPUTED_VALUE"""),"資訊裝置")</f>
        <v>資訊裝置</v>
      </c>
      <c r="J101" s="41" t="str">
        <f>IFERROR(__xludf.DUMMYFUNCTION("""COMPUTED_VALUE"""),"AICHMN02201109")</f>
        <v>AICHMN02201109</v>
      </c>
      <c r="K101" s="41" t="str">
        <f>IFERROR(__xludf.DUMMYFUNCTION("""COMPUTED_VALUE"""),"螢幕")</f>
        <v>螢幕</v>
      </c>
      <c r="L101" s="41" t="str">
        <f>IFERROR(__xludf.DUMMYFUNCTION("""COMPUTED_VALUE"""),"M9LMTF279775")</f>
        <v>M9LMTF279775</v>
      </c>
      <c r="M101" s="41" t="str">
        <f>IFERROR(__xludf.DUMMYFUNCTION("""COMPUTED_VALUE"""),"張登皓")</f>
        <v>張登皓</v>
      </c>
      <c r="N101" s="65">
        <f>IFERROR(__xludf.DUMMYFUNCTION("""COMPUTED_VALUE"""),44573.0)</f>
        <v>44573</v>
      </c>
      <c r="O101" s="45">
        <f>IFERROR(__xludf.DUMMYFUNCTION("""COMPUTED_VALUE"""),9375.0)</f>
        <v>9375</v>
      </c>
      <c r="P101" s="41" t="str">
        <f>IFERROR(__xludf.DUMMYFUNCTION("""COMPUTED_VALUE"""),"資訊裝置")</f>
        <v>資訊裝置</v>
      </c>
      <c r="Q101" s="41">
        <f>IFERROR(__xludf.DUMMYFUNCTION("""COMPUTED_VALUE"""),36.0)</f>
        <v>36</v>
      </c>
      <c r="R101" s="41">
        <f>IFERROR(__xludf.DUMMYFUNCTION("""COMPUTED_VALUE"""),36.0)</f>
        <v>36</v>
      </c>
      <c r="S101" s="41" t="str">
        <f>IFERROR(__xludf.DUMMYFUNCTION("""COMPUTED_VALUE"""),"NT$9,375")</f>
        <v>NT$9,375</v>
      </c>
      <c r="T101" s="41" t="str">
        <f>IFERROR(__xludf.DUMMYFUNCTION("""COMPUTED_VALUE"""),"ASUS 28吋 VG289Q")</f>
        <v>ASUS 28吋 VG289Q</v>
      </c>
      <c r="U101" s="41"/>
      <c r="V101" s="41"/>
      <c r="W101" s="41"/>
      <c r="X101" s="45" t="str">
        <f>IFERROR(__xludf.DUMMYFUNCTION("""COMPUTED_VALUE"""),"")</f>
        <v/>
      </c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</row>
    <row r="102">
      <c r="B102" s="41"/>
      <c r="C102" s="41" t="str">
        <f>IFERROR(__xludf.DUMMYFUNCTION("""COMPUTED_VALUE"""),"滿三年更換")</f>
        <v>滿三年更換</v>
      </c>
      <c r="D102" s="41" t="str">
        <f>IFERROR(__xludf.DUMMYFUNCTION("""COMPUTED_VALUE"""),"TW")</f>
        <v>TW</v>
      </c>
      <c r="E102" s="41"/>
      <c r="F102" s="41"/>
      <c r="G102" s="41"/>
      <c r="H102" s="65" t="str">
        <f>IFERROR(__xludf.DUMMYFUNCTION("""COMPUTED_VALUE"""),"研發中心:產品設計部:產品設計師團隊")</f>
        <v>研發中心:產品設計部:產品設計師團隊</v>
      </c>
      <c r="I102" s="41" t="str">
        <f>IFERROR(__xludf.DUMMYFUNCTION("""COMPUTED_VALUE"""),"資訊裝置")</f>
        <v>資訊裝置</v>
      </c>
      <c r="J102" s="41" t="str">
        <f>IFERROR(__xludf.DUMMYFUNCTION("""COMPUTED_VALUE"""),"AICHIP02105059")</f>
        <v>AICHIP02105059</v>
      </c>
      <c r="K102" s="41" t="str">
        <f>IFERROR(__xludf.DUMMYFUNCTION("""COMPUTED_VALUE"""),"iPad")</f>
        <v>iPad</v>
      </c>
      <c r="L102" s="41" t="str">
        <f>IFERROR(__xludf.DUMMYFUNCTION("""COMPUTED_VALUE"""),"DMPD9R9DMF3P")</f>
        <v>DMPD9R9DMF3P</v>
      </c>
      <c r="M102" s="41" t="str">
        <f>IFERROR(__xludf.DUMMYFUNCTION("""COMPUTED_VALUE"""),"張雅雯")</f>
        <v>張雅雯</v>
      </c>
      <c r="N102" s="65">
        <f>IFERROR(__xludf.DUMMYFUNCTION("""COMPUTED_VALUE"""),44341.0)</f>
        <v>44341</v>
      </c>
      <c r="O102" s="45">
        <f>IFERROR(__xludf.DUMMYFUNCTION("""COMPUTED_VALUE"""),8700.0)</f>
        <v>8700</v>
      </c>
      <c r="P102" s="41" t="str">
        <f>IFERROR(__xludf.DUMMYFUNCTION("""COMPUTED_VALUE"""),"資訊裝置")</f>
        <v>資訊裝置</v>
      </c>
      <c r="Q102" s="41">
        <f>IFERROR(__xludf.DUMMYFUNCTION("""COMPUTED_VALUE"""),36.0)</f>
        <v>36</v>
      </c>
      <c r="R102" s="41">
        <f>IFERROR(__xludf.DUMMYFUNCTION("""COMPUTED_VALUE"""),36.0)</f>
        <v>36</v>
      </c>
      <c r="S102" s="41" t="str">
        <f>IFERROR(__xludf.DUMMYFUNCTION("""COMPUTED_VALUE"""),"NT$8,700")</f>
        <v>NT$8,700</v>
      </c>
      <c r="T102" s="41" t="str">
        <f>IFERROR(__xludf.DUMMYFUNCTION("""COMPUTED_VALUE"""),"iPad (第七代) 32GB WiFi (A2197)")</f>
        <v>iPad (第七代) 32GB WiFi (A2197)</v>
      </c>
      <c r="U102" s="41"/>
      <c r="V102" s="41"/>
      <c r="W102" s="41"/>
      <c r="X102" s="45" t="str">
        <f>IFERROR(__xludf.DUMMYFUNCTION("""COMPUTED_VALUE"""),"")</f>
        <v/>
      </c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</row>
    <row r="103">
      <c r="B103" s="41"/>
      <c r="C103" s="41" t="str">
        <f>IFERROR(__xludf.DUMMYFUNCTION("""COMPUTED_VALUE"""),"滿三年更換")</f>
        <v>滿三年更換</v>
      </c>
      <c r="D103" s="41" t="str">
        <f>IFERROR(__xludf.DUMMYFUNCTION("""COMPUTED_VALUE"""),"TW")</f>
        <v>TW</v>
      </c>
      <c r="E103" s="41"/>
      <c r="F103" s="41"/>
      <c r="G103" s="41"/>
      <c r="H103" s="41" t="str">
        <f>IFERROR(__xludf.DUMMYFUNCTION("""COMPUTED_VALUE"""),"策略資料中心:數據管理部")</f>
        <v>策略資料中心:數據管理部</v>
      </c>
      <c r="I103" s="41" t="str">
        <f>IFERROR(__xludf.DUMMYFUNCTION("""COMPUTED_VALUE"""),"資訊裝置")</f>
        <v>資訊裝置</v>
      </c>
      <c r="J103" s="41" t="str">
        <f>IFERROR(__xludf.DUMMYFUNCTION("""COMPUTED_VALUE"""),"AICHMC01604001")</f>
        <v>AICHMC01604001</v>
      </c>
      <c r="K103" s="41" t="str">
        <f>IFERROR(__xludf.DUMMYFUNCTION("""COMPUTED_VALUE"""),"iMac")</f>
        <v>iMac</v>
      </c>
      <c r="L103" s="41" t="str">
        <f>IFERROR(__xludf.DUMMYFUNCTION("""COMPUTED_VALUE"""),"C02RC01BGG80")</f>
        <v>C02RC01BGG80</v>
      </c>
      <c r="M103" s="41" t="str">
        <f>IFERROR(__xludf.DUMMYFUNCTION("""COMPUTED_VALUE"""),"張藝瀚")</f>
        <v>張藝瀚</v>
      </c>
      <c r="N103" s="65">
        <f>IFERROR(__xludf.DUMMYFUNCTION("""COMPUTED_VALUE"""),42468.0)</f>
        <v>42468</v>
      </c>
      <c r="O103" s="45">
        <f>IFERROR(__xludf.DUMMYFUNCTION("""COMPUTED_VALUE"""),0.0)</f>
        <v>0</v>
      </c>
      <c r="P103" s="41" t="str">
        <f>IFERROR(__xludf.DUMMYFUNCTION("""COMPUTED_VALUE"""),"資訊裝置")</f>
        <v>資訊裝置</v>
      </c>
      <c r="Q103" s="41">
        <f>IFERROR(__xludf.DUMMYFUNCTION("""COMPUTED_VALUE"""),36.0)</f>
        <v>36</v>
      </c>
      <c r="R103" s="41">
        <f>IFERROR(__xludf.DUMMYFUNCTION("""COMPUTED_VALUE"""),36.0)</f>
        <v>36</v>
      </c>
      <c r="S103" s="41" t="str">
        <f>IFERROR(__xludf.DUMMYFUNCTION("""COMPUTED_VALUE"""),"NT$0")</f>
        <v>NT$0</v>
      </c>
      <c r="T103" s="41" t="str">
        <f>IFERROR(__xludf.DUMMYFUNCTION("""COMPUTED_VALUE"""),"iMac Intel (Retina 5k, 27-Inch, Late 2015) I5 / 32GBRAM/512GBSSD")</f>
        <v>iMac Intel (Retina 5k, 27-Inch, Late 2015) I5 / 32GBRAM/512GBSSD</v>
      </c>
      <c r="U103" s="41"/>
      <c r="V103" s="41"/>
      <c r="W103" s="41"/>
      <c r="X103" s="45" t="str">
        <f>IFERROR(__xludf.DUMMYFUNCTION("""COMPUTED_VALUE"""),"")</f>
        <v/>
      </c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</row>
    <row r="104">
      <c r="B104" s="41"/>
      <c r="C104" s="41" t="str">
        <f>IFERROR(__xludf.DUMMYFUNCTION("""COMPUTED_VALUE"""),"滿三年更換")</f>
        <v>滿三年更換</v>
      </c>
      <c r="D104" s="41" t="str">
        <f>IFERROR(__xludf.DUMMYFUNCTION("""COMPUTED_VALUE"""),"TW")</f>
        <v>TW</v>
      </c>
      <c r="E104" s="41"/>
      <c r="F104" s="41"/>
      <c r="G104" s="41"/>
      <c r="H104" s="41" t="str">
        <f>IFERROR(__xludf.DUMMYFUNCTION("""COMPUTED_VALUE"""),"策略資料中心:數據管理部")</f>
        <v>策略資料中心:數據管理部</v>
      </c>
      <c r="I104" s="41" t="str">
        <f>IFERROR(__xludf.DUMMYFUNCTION("""COMPUTED_VALUE"""),"資訊裝置")</f>
        <v>資訊裝置</v>
      </c>
      <c r="J104" s="41" t="str">
        <f>IFERROR(__xludf.DUMMYFUNCTION("""COMPUTED_VALUE"""),"AICHMC01604002")</f>
        <v>AICHMC01604002</v>
      </c>
      <c r="K104" s="41" t="str">
        <f>IFERROR(__xludf.DUMMYFUNCTION("""COMPUTED_VALUE"""),"Mac pro")</f>
        <v>Mac pro</v>
      </c>
      <c r="L104" s="41" t="str">
        <f>IFERROR(__xludf.DUMMYFUNCTION("""COMPUTED_VALUE"""),"F5KQX03XF694")</f>
        <v>F5KQX03XF694</v>
      </c>
      <c r="M104" s="41" t="str">
        <f>IFERROR(__xludf.DUMMYFUNCTION("""COMPUTED_VALUE"""),"張藝瀚")</f>
        <v>張藝瀚</v>
      </c>
      <c r="N104" s="65">
        <f>IFERROR(__xludf.DUMMYFUNCTION("""COMPUTED_VALUE"""),42468.0)</f>
        <v>42468</v>
      </c>
      <c r="O104" s="41"/>
      <c r="P104" s="41" t="str">
        <f>IFERROR(__xludf.DUMMYFUNCTION("""COMPUTED_VALUE"""),"資訊裝置")</f>
        <v>資訊裝置</v>
      </c>
      <c r="Q104" s="41">
        <f>IFERROR(__xludf.DUMMYFUNCTION("""COMPUTED_VALUE"""),36.0)</f>
        <v>36</v>
      </c>
      <c r="R104" s="41">
        <f>IFERROR(__xludf.DUMMYFUNCTION("""COMPUTED_VALUE"""),36.0)</f>
        <v>36</v>
      </c>
      <c r="S104" s="41" t="str">
        <f>IFERROR(__xludf.DUMMYFUNCTION("""COMPUTED_VALUE"""),"NT$0")</f>
        <v>NT$0</v>
      </c>
      <c r="T104" s="41" t="str">
        <f>IFERROR(__xludf.DUMMYFUNCTION("""COMPUTED_VALUE"""),"ＭacPro(Late2013) Xeon E5/64GBRAM")</f>
        <v>ＭacPro(Late2013) Xeon E5/64GBRAM</v>
      </c>
      <c r="U104" s="41"/>
      <c r="V104" s="41"/>
      <c r="W104" s="41"/>
      <c r="X104" s="45" t="str">
        <f>IFERROR(__xludf.DUMMYFUNCTION("""COMPUTED_VALUE"""),"")</f>
        <v/>
      </c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</row>
    <row r="105">
      <c r="B105" s="41"/>
      <c r="C105" s="41" t="str">
        <f>IFERROR(__xludf.DUMMYFUNCTION("""COMPUTED_VALUE"""),"滿三年更換")</f>
        <v>滿三年更換</v>
      </c>
      <c r="D105" s="41" t="str">
        <f>IFERROR(__xludf.DUMMYFUNCTION("""COMPUTED_VALUE"""),"TW")</f>
        <v>TW</v>
      </c>
      <c r="E105" s="41"/>
      <c r="F105" s="41"/>
      <c r="G105" s="41"/>
      <c r="H105" s="41" t="str">
        <f>IFERROR(__xludf.DUMMYFUNCTION("""COMPUTED_VALUE"""),"策略資料中心:數據管理部")</f>
        <v>策略資料中心:數據管理部</v>
      </c>
      <c r="I105" s="41" t="str">
        <f>IFERROR(__xludf.DUMMYFUNCTION("""COMPUTED_VALUE"""),"資訊裝置")</f>
        <v>資訊裝置</v>
      </c>
      <c r="J105" s="41" t="str">
        <f>IFERROR(__xludf.DUMMYFUNCTION("""COMPUTED_VALUE"""),"AICHMC01912008")</f>
        <v>AICHMC01912008</v>
      </c>
      <c r="K105" s="41" t="str">
        <f>IFERROR(__xludf.DUMMYFUNCTION("""COMPUTED_VALUE"""),"Mac mini")</f>
        <v>Mac mini</v>
      </c>
      <c r="L105" s="41" t="str">
        <f>IFERROR(__xludf.DUMMYFUNCTION("""COMPUTED_VALUE"""),"C07ZT2UDJYW0")</f>
        <v>C07ZT2UDJYW0</v>
      </c>
      <c r="M105" s="41" t="str">
        <f>IFERROR(__xludf.DUMMYFUNCTION("""COMPUTED_VALUE"""),"張藝瀚")</f>
        <v>張藝瀚</v>
      </c>
      <c r="N105" s="65">
        <f>IFERROR(__xludf.DUMMYFUNCTION("""COMPUTED_VALUE"""),43824.0)</f>
        <v>43824</v>
      </c>
      <c r="O105" s="45">
        <f>IFERROR(__xludf.DUMMYFUNCTION("""COMPUTED_VALUE"""),38044.0)</f>
        <v>38044</v>
      </c>
      <c r="P105" s="41" t="str">
        <f>IFERROR(__xludf.DUMMYFUNCTION("""COMPUTED_VALUE"""),"資訊裝置")</f>
        <v>資訊裝置</v>
      </c>
      <c r="Q105" s="41">
        <f>IFERROR(__xludf.DUMMYFUNCTION("""COMPUTED_VALUE"""),36.0)</f>
        <v>36</v>
      </c>
      <c r="R105" s="41">
        <f>IFERROR(__xludf.DUMMYFUNCTION("""COMPUTED_VALUE"""),36.0)</f>
        <v>36</v>
      </c>
      <c r="S105" s="41" t="str">
        <f>IFERROR(__xludf.DUMMYFUNCTION("""COMPUTED_VALUE"""),"NT$38,044")</f>
        <v>NT$38,044</v>
      </c>
      <c r="T105" s="41"/>
      <c r="U105" s="41"/>
      <c r="V105" s="41"/>
      <c r="W105" s="41"/>
      <c r="X105" s="45" t="str">
        <f>IFERROR(__xludf.DUMMYFUNCTION("""COMPUTED_VALUE"""),"")</f>
        <v/>
      </c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</row>
    <row r="106">
      <c r="B106" s="41"/>
      <c r="C106" s="41" t="str">
        <f>IFERROR(__xludf.DUMMYFUNCTION("""COMPUTED_VALUE"""),"滿三年更換")</f>
        <v>滿三年更換</v>
      </c>
      <c r="D106" s="41" t="str">
        <f>IFERROR(__xludf.DUMMYFUNCTION("""COMPUTED_VALUE"""),"TW")</f>
        <v>TW</v>
      </c>
      <c r="E106" s="41"/>
      <c r="F106" s="41"/>
      <c r="G106" s="41"/>
      <c r="H106" s="41" t="str">
        <f>IFERROR(__xludf.DUMMYFUNCTION("""COMPUTED_VALUE"""),"策略資料中心:數據管理部")</f>
        <v>策略資料中心:數據管理部</v>
      </c>
      <c r="I106" s="41" t="str">
        <f>IFERROR(__xludf.DUMMYFUNCTION("""COMPUTED_VALUE"""),"資訊裝置")</f>
        <v>資訊裝置</v>
      </c>
      <c r="J106" s="41" t="str">
        <f>IFERROR(__xludf.DUMMYFUNCTION("""COMPUTED_VALUE"""),"AICHMA02010006")</f>
        <v>AICHMA02010006</v>
      </c>
      <c r="K106" s="41" t="str">
        <f>IFERROR(__xludf.DUMMYFUNCTION("""COMPUTED_VALUE"""),"Macbook Air")</f>
        <v>Macbook Air</v>
      </c>
      <c r="L106" s="41" t="str">
        <f>IFERROR(__xludf.DUMMYFUNCTION("""COMPUTED_VALUE"""),"FVFDHWCHMNHR")</f>
        <v>FVFDHWCHMNHR</v>
      </c>
      <c r="M106" s="41" t="str">
        <f>IFERROR(__xludf.DUMMYFUNCTION("""COMPUTED_VALUE"""),"張藝瀚")</f>
        <v>張藝瀚</v>
      </c>
      <c r="N106" s="66">
        <f>IFERROR(__xludf.DUMMYFUNCTION("""COMPUTED_VALUE"""),44130.0)</f>
        <v>44130</v>
      </c>
      <c r="O106" s="45">
        <f>IFERROR(__xludf.DUMMYFUNCTION("""COMPUTED_VALUE"""),28558.0)</f>
        <v>28558</v>
      </c>
      <c r="P106" s="41" t="str">
        <f>IFERROR(__xludf.DUMMYFUNCTION("""COMPUTED_VALUE"""),"資訊裝置")</f>
        <v>資訊裝置</v>
      </c>
      <c r="Q106" s="41">
        <f>IFERROR(__xludf.DUMMYFUNCTION("""COMPUTED_VALUE"""),36.0)</f>
        <v>36</v>
      </c>
      <c r="R106" s="41">
        <f>IFERROR(__xludf.DUMMYFUNCTION("""COMPUTED_VALUE"""),36.0)</f>
        <v>36</v>
      </c>
      <c r="S106" s="41" t="str">
        <f>IFERROR(__xludf.DUMMYFUNCTION("""COMPUTED_VALUE"""),"NT$28,558")</f>
        <v>NT$28,558</v>
      </c>
      <c r="T106" s="41" t="str">
        <f>IFERROR(__xludf.DUMMYFUNCTION("""COMPUTED_VALUE"""),"A2179 MBA13 (Retina 13吋,2020年)/1.1GHz 雙核 I3/8GB 3733MHz LPDDR4X/256GBSSD/電池正常351/無配件/MWTL2TA/A")</f>
        <v>A2179 MBA13 (Retina 13吋,2020年)/1.1GHz 雙核 I3/8GB 3733MHz LPDDR4X/256GBSSD/電池正常351/無配件/MWTL2TA/A</v>
      </c>
      <c r="U106" s="41"/>
      <c r="V106" s="41"/>
      <c r="W106" s="41"/>
      <c r="X106" s="45" t="str">
        <f>IFERROR(__xludf.DUMMYFUNCTION("""COMPUTED_VALUE"""),"")</f>
        <v/>
      </c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</row>
    <row r="107">
      <c r="B107" s="41"/>
      <c r="C107" s="41" t="str">
        <f>IFERROR(__xludf.DUMMYFUNCTION("""COMPUTED_VALUE"""),"滿三年更換")</f>
        <v>滿三年更換</v>
      </c>
      <c r="D107" s="41" t="str">
        <f>IFERROR(__xludf.DUMMYFUNCTION("""COMPUTED_VALUE"""),"TW")</f>
        <v>TW</v>
      </c>
      <c r="E107" s="41"/>
      <c r="F107" s="41"/>
      <c r="G107" s="41"/>
      <c r="H107" s="41" t="str">
        <f>IFERROR(__xludf.DUMMYFUNCTION("""COMPUTED_VALUE"""),"策略資料中心:數據管理部")</f>
        <v>策略資料中心:數據管理部</v>
      </c>
      <c r="I107" s="41" t="str">
        <f>IFERROR(__xludf.DUMMYFUNCTION("""COMPUTED_VALUE"""),"資訊裝置")</f>
        <v>資訊裝置</v>
      </c>
      <c r="J107" s="41" t="str">
        <f>IFERROR(__xludf.DUMMYFUNCTION("""COMPUTED_VALUE"""),"AICHMA02011007")</f>
        <v>AICHMA02011007</v>
      </c>
      <c r="K107" s="41" t="str">
        <f>IFERROR(__xludf.DUMMYFUNCTION("""COMPUTED_VALUE"""),"Macbook Air")</f>
        <v>Macbook Air</v>
      </c>
      <c r="L107" s="41" t="str">
        <f>IFERROR(__xludf.DUMMYFUNCTION("""COMPUTED_VALUE"""),"FVHDJ7CGMNHP")</f>
        <v>FVHDJ7CGMNHP</v>
      </c>
      <c r="M107" s="41" t="str">
        <f>IFERROR(__xludf.DUMMYFUNCTION("""COMPUTED_VALUE"""),"張藝瀚")</f>
        <v>張藝瀚</v>
      </c>
      <c r="N107" s="65">
        <f>IFERROR(__xludf.DUMMYFUNCTION("""COMPUTED_VALUE"""),44140.0)</f>
        <v>44140</v>
      </c>
      <c r="O107" s="45">
        <f>IFERROR(__xludf.DUMMYFUNCTION("""COMPUTED_VALUE"""),27343.0)</f>
        <v>27343</v>
      </c>
      <c r="P107" s="41" t="str">
        <f>IFERROR(__xludf.DUMMYFUNCTION("""COMPUTED_VALUE"""),"資訊裝置")</f>
        <v>資訊裝置</v>
      </c>
      <c r="Q107" s="41">
        <f>IFERROR(__xludf.DUMMYFUNCTION("""COMPUTED_VALUE"""),36.0)</f>
        <v>36</v>
      </c>
      <c r="R107" s="41">
        <f>IFERROR(__xludf.DUMMYFUNCTION("""COMPUTED_VALUE"""),36.0)</f>
        <v>36</v>
      </c>
      <c r="S107" s="41" t="str">
        <f>IFERROR(__xludf.DUMMYFUNCTION("""COMPUTED_VALUE"""),"NT$27,343")</f>
        <v>NT$27,343</v>
      </c>
      <c r="T107" s="41" t="str">
        <f>IFERROR(__xludf.DUMMYFUNCTION("""COMPUTED_VALUE"""),"A2179 MBA13 (Retina 13吋,2020年)/1.1GHz 雙核I3/8GB 3733MHz LPDDR4x/256GBSSD/電池正常244/無配件/MWTJ2TA/A")</f>
        <v>A2179 MBA13 (Retina 13吋,2020年)/1.1GHz 雙核I3/8GB 3733MHz LPDDR4x/256GBSSD/電池正常244/無配件/MWTJ2TA/A</v>
      </c>
      <c r="U107" s="41"/>
      <c r="V107" s="41"/>
      <c r="W107" s="41"/>
      <c r="X107" s="45" t="str">
        <f>IFERROR(__xludf.DUMMYFUNCTION("""COMPUTED_VALUE"""),"")</f>
        <v/>
      </c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</row>
    <row r="108">
      <c r="B108" s="41"/>
      <c r="C108" s="41" t="str">
        <f>IFERROR(__xludf.DUMMYFUNCTION("""COMPUTED_VALUE"""),"滿三年更換")</f>
        <v>滿三年更換</v>
      </c>
      <c r="D108" s="41" t="str">
        <f>IFERROR(__xludf.DUMMYFUNCTION("""COMPUTED_VALUE"""),"TW")</f>
        <v>TW</v>
      </c>
      <c r="E108" s="41"/>
      <c r="F108" s="41"/>
      <c r="G108" s="41"/>
      <c r="H108" s="41" t="str">
        <f>IFERROR(__xludf.DUMMYFUNCTION("""COMPUTED_VALUE"""),"策略資料中心:數據管理部")</f>
        <v>策略資料中心:數據管理部</v>
      </c>
      <c r="I108" s="41" t="str">
        <f>IFERROR(__xludf.DUMMYFUNCTION("""COMPUTED_VALUE"""),"資訊裝置")</f>
        <v>資訊裝置</v>
      </c>
      <c r="J108" s="41" t="str">
        <f>IFERROR(__xludf.DUMMYFUNCTION("""COMPUTED_VALUE"""),"AICHMA02012009")</f>
        <v>AICHMA02012009</v>
      </c>
      <c r="K108" s="41" t="str">
        <f>IFERROR(__xludf.DUMMYFUNCTION("""COMPUTED_VALUE"""),"Macbook Air")</f>
        <v>Macbook Air</v>
      </c>
      <c r="L108" s="41" t="str">
        <f>IFERROR(__xludf.DUMMYFUNCTION("""COMPUTED_VALUE"""),"FVFDC0LZMNHR")</f>
        <v>FVFDC0LZMNHR</v>
      </c>
      <c r="M108" s="41" t="str">
        <f>IFERROR(__xludf.DUMMYFUNCTION("""COMPUTED_VALUE"""),"張藝瀚")</f>
        <v>張藝瀚</v>
      </c>
      <c r="N108" s="66">
        <f>IFERROR(__xludf.DUMMYFUNCTION("""COMPUTED_VALUE"""),44180.0)</f>
        <v>44180</v>
      </c>
      <c r="O108" s="45">
        <f>IFERROR(__xludf.DUMMYFUNCTION("""COMPUTED_VALUE"""),23800.0)</f>
        <v>23800</v>
      </c>
      <c r="P108" s="41" t="str">
        <f>IFERROR(__xludf.DUMMYFUNCTION("""COMPUTED_VALUE"""),"資訊裝置")</f>
        <v>資訊裝置</v>
      </c>
      <c r="Q108" s="41">
        <f>IFERROR(__xludf.DUMMYFUNCTION("""COMPUTED_VALUE"""),36.0)</f>
        <v>36</v>
      </c>
      <c r="R108" s="41">
        <f>IFERROR(__xludf.DUMMYFUNCTION("""COMPUTED_VALUE"""),36.0)</f>
        <v>36</v>
      </c>
      <c r="S108" s="41" t="str">
        <f>IFERROR(__xludf.DUMMYFUNCTION("""COMPUTED_VALUE"""),"NT$23,800")</f>
        <v>NT$23,800</v>
      </c>
      <c r="T108" s="41" t="str">
        <f>IFERROR(__xludf.DUMMYFUNCTION("""COMPUTED_VALUE"""),"MBA13  I3/8GBRAM/250GBSSD")</f>
        <v>MBA13  I3/8GBRAM/250GBSSD</v>
      </c>
      <c r="U108" s="41"/>
      <c r="V108" s="41"/>
      <c r="W108" s="41"/>
      <c r="X108" s="45" t="str">
        <f>IFERROR(__xludf.DUMMYFUNCTION("""COMPUTED_VALUE"""),"")</f>
        <v/>
      </c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</row>
    <row r="109">
      <c r="B109" s="41"/>
      <c r="C109" s="41" t="str">
        <f>IFERROR(__xludf.DUMMYFUNCTION("""COMPUTED_VALUE"""),"滿三年更換")</f>
        <v>滿三年更換</v>
      </c>
      <c r="D109" s="41" t="str">
        <f>IFERROR(__xludf.DUMMYFUNCTION("""COMPUTED_VALUE"""),"TW")</f>
        <v>TW</v>
      </c>
      <c r="E109" s="41"/>
      <c r="F109" s="41"/>
      <c r="G109" s="41"/>
      <c r="H109" s="41" t="str">
        <f>IFERROR(__xludf.DUMMYFUNCTION("""COMPUTED_VALUE"""),"策略資料中心:數據管理部")</f>
        <v>策略資料中心:數據管理部</v>
      </c>
      <c r="I109" s="41" t="str">
        <f>IFERROR(__xludf.DUMMYFUNCTION("""COMPUTED_VALUE"""),"資訊裝置")</f>
        <v>資訊裝置</v>
      </c>
      <c r="J109" s="41" t="str">
        <f>IFERROR(__xludf.DUMMYFUNCTION("""COMPUTED_VALUE"""),"AICHMA02105022")</f>
        <v>AICHMA02105022</v>
      </c>
      <c r="K109" s="41" t="str">
        <f>IFERROR(__xludf.DUMMYFUNCTION("""COMPUTED_VALUE"""),"Macbook Air")</f>
        <v>Macbook Air</v>
      </c>
      <c r="L109" s="41" t="str">
        <f>IFERROR(__xludf.DUMMYFUNCTION("""COMPUTED_VALUE"""),"FVFFP2EEQ6L7")</f>
        <v>FVFFP2EEQ6L7</v>
      </c>
      <c r="M109" s="41" t="str">
        <f>IFERROR(__xludf.DUMMYFUNCTION("""COMPUTED_VALUE"""),"張藝瀚")</f>
        <v>張藝瀚</v>
      </c>
      <c r="N109" s="65">
        <f>IFERROR(__xludf.DUMMYFUNCTION("""COMPUTED_VALUE"""),44341.0)</f>
        <v>44341</v>
      </c>
      <c r="O109" s="45">
        <f>IFERROR(__xludf.DUMMYFUNCTION("""COMPUTED_VALUE"""),27075.0)</f>
        <v>27075</v>
      </c>
      <c r="P109" s="41" t="str">
        <f>IFERROR(__xludf.DUMMYFUNCTION("""COMPUTED_VALUE"""),"資訊裝置")</f>
        <v>資訊裝置</v>
      </c>
      <c r="Q109" s="41">
        <f>IFERROR(__xludf.DUMMYFUNCTION("""COMPUTED_VALUE"""),36.0)</f>
        <v>36</v>
      </c>
      <c r="R109" s="41">
        <f>IFERROR(__xludf.DUMMYFUNCTION("""COMPUTED_VALUE"""),36.0)</f>
        <v>36</v>
      </c>
      <c r="S109" s="41" t="str">
        <f>IFERROR(__xludf.DUMMYFUNCTION("""COMPUTED_VALUE"""),"NT$27,075")</f>
        <v>NT$27,075</v>
      </c>
      <c r="T109" s="41" t="str">
        <f>IFERROR(__xludf.DUMMYFUNCTION("""COMPUTED_VALUE"""),"MBA M1/8GBRAM/256GBSSD")</f>
        <v>MBA M1/8GBRAM/256GBSSD</v>
      </c>
      <c r="U109" s="41"/>
      <c r="V109" s="41"/>
      <c r="W109" s="41"/>
      <c r="X109" s="45" t="str">
        <f>IFERROR(__xludf.DUMMYFUNCTION("""COMPUTED_VALUE"""),"")</f>
        <v/>
      </c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</row>
    <row r="110">
      <c r="B110" s="41"/>
      <c r="C110" s="41" t="str">
        <f>IFERROR(__xludf.DUMMYFUNCTION("""COMPUTED_VALUE"""),"滿三年更換")</f>
        <v>滿三年更換</v>
      </c>
      <c r="D110" s="41" t="str">
        <f>IFERROR(__xludf.DUMMYFUNCTION("""COMPUTED_VALUE"""),"TW")</f>
        <v>TW</v>
      </c>
      <c r="E110" s="41"/>
      <c r="F110" s="41"/>
      <c r="G110" s="41"/>
      <c r="H110" s="41" t="str">
        <f>IFERROR(__xludf.DUMMYFUNCTION("""COMPUTED_VALUE"""),"策略資料中心:數據管理部")</f>
        <v>策略資料中心:數據管理部</v>
      </c>
      <c r="I110" s="41" t="str">
        <f>IFERROR(__xludf.DUMMYFUNCTION("""COMPUTED_VALUE"""),"資訊裝置")</f>
        <v>資訊裝置</v>
      </c>
      <c r="J110" s="41" t="str">
        <f>IFERROR(__xludf.DUMMYFUNCTION("""COMPUTED_VALUE"""),"AICHMA02106027")</f>
        <v>AICHMA02106027</v>
      </c>
      <c r="K110" s="41" t="str">
        <f>IFERROR(__xludf.DUMMYFUNCTION("""COMPUTED_VALUE"""),"Macbook Air")</f>
        <v>Macbook Air</v>
      </c>
      <c r="L110" s="41" t="str">
        <f>IFERROR(__xludf.DUMMYFUNCTION("""COMPUTED_VALUE"""),"FVFFV33LQ6LC")</f>
        <v>FVFFV33LQ6LC</v>
      </c>
      <c r="M110" s="41" t="str">
        <f>IFERROR(__xludf.DUMMYFUNCTION("""COMPUTED_VALUE"""),"張藝瀚")</f>
        <v>張藝瀚</v>
      </c>
      <c r="N110" s="65">
        <f>IFERROR(__xludf.DUMMYFUNCTION("""COMPUTED_VALUE"""),44375.0)</f>
        <v>44375</v>
      </c>
      <c r="O110" s="45">
        <f>IFERROR(__xludf.DUMMYFUNCTION("""COMPUTED_VALUE"""),27075.0)</f>
        <v>27075</v>
      </c>
      <c r="P110" s="41" t="str">
        <f>IFERROR(__xludf.DUMMYFUNCTION("""COMPUTED_VALUE"""),"資訊裝置")</f>
        <v>資訊裝置</v>
      </c>
      <c r="Q110" s="41">
        <f>IFERROR(__xludf.DUMMYFUNCTION("""COMPUTED_VALUE"""),36.0)</f>
        <v>36</v>
      </c>
      <c r="R110" s="41">
        <f>IFERROR(__xludf.DUMMYFUNCTION("""COMPUTED_VALUE"""),36.0)</f>
        <v>36</v>
      </c>
      <c r="S110" s="41" t="str">
        <f>IFERROR(__xludf.DUMMYFUNCTION("""COMPUTED_VALUE"""),"NT$27,075")</f>
        <v>NT$27,075</v>
      </c>
      <c r="T110" s="41" t="str">
        <f>IFERROR(__xludf.DUMMYFUNCTION("""COMPUTED_VALUE"""),"MBA M1/8GBRAM/256GBSSD")</f>
        <v>MBA M1/8GBRAM/256GBSSD</v>
      </c>
      <c r="U110" s="41"/>
      <c r="V110" s="41"/>
      <c r="W110" s="41"/>
      <c r="X110" s="45" t="str">
        <f>IFERROR(__xludf.DUMMYFUNCTION("""COMPUTED_VALUE"""),"")</f>
        <v/>
      </c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</row>
    <row r="111">
      <c r="B111" s="41"/>
      <c r="C111" s="41" t="str">
        <f>IFERROR(__xludf.DUMMYFUNCTION("""COMPUTED_VALUE"""),"滿三年更換")</f>
        <v>滿三年更換</v>
      </c>
      <c r="D111" s="41" t="str">
        <f>IFERROR(__xludf.DUMMYFUNCTION("""COMPUTED_VALUE"""),"TW")</f>
        <v>TW</v>
      </c>
      <c r="E111" s="41"/>
      <c r="F111" s="41"/>
      <c r="G111" s="41"/>
      <c r="H111" s="41" t="str">
        <f>IFERROR(__xludf.DUMMYFUNCTION("""COMPUTED_VALUE"""),"策略資料中心:數據管理部")</f>
        <v>策略資料中心:數據管理部</v>
      </c>
      <c r="I111" s="41" t="str">
        <f>IFERROR(__xludf.DUMMYFUNCTION("""COMPUTED_VALUE"""),"資訊裝置")</f>
        <v>資訊裝置</v>
      </c>
      <c r="J111" s="41" t="str">
        <f>IFERROR(__xludf.DUMMYFUNCTION("""COMPUTED_VALUE"""),"AICHMP01907003")</f>
        <v>AICHMP01907003</v>
      </c>
      <c r="K111" s="41" t="str">
        <f>IFERROR(__xludf.DUMMYFUNCTION("""COMPUTED_VALUE"""),"Macbook Pro")</f>
        <v>Macbook Pro</v>
      </c>
      <c r="L111" s="41" t="str">
        <f>IFERROR(__xludf.DUMMYFUNCTION("""COMPUTED_VALUE"""),"C02YW2SVLVCF")</f>
        <v>C02YW2SVLVCF</v>
      </c>
      <c r="M111" s="41" t="str">
        <f>IFERROR(__xludf.DUMMYFUNCTION("""COMPUTED_VALUE"""),"張藝瀚")</f>
        <v>張藝瀚</v>
      </c>
      <c r="N111" s="65">
        <f>IFERROR(__xludf.DUMMYFUNCTION("""COMPUTED_VALUE"""),43658.0)</f>
        <v>43658</v>
      </c>
      <c r="O111" s="45">
        <f>IFERROR(__xludf.DUMMYFUNCTION("""COMPUTED_VALUE"""),69739.0)</f>
        <v>69739</v>
      </c>
      <c r="P111" s="41" t="str">
        <f>IFERROR(__xludf.DUMMYFUNCTION("""COMPUTED_VALUE"""),"資訊裝置")</f>
        <v>資訊裝置</v>
      </c>
      <c r="Q111" s="41">
        <f>IFERROR(__xludf.DUMMYFUNCTION("""COMPUTED_VALUE"""),36.0)</f>
        <v>36</v>
      </c>
      <c r="R111" s="41">
        <f>IFERROR(__xludf.DUMMYFUNCTION("""COMPUTED_VALUE"""),36.0)</f>
        <v>36</v>
      </c>
      <c r="S111" s="41" t="str">
        <f>IFERROR(__xludf.DUMMYFUNCTION("""COMPUTED_VALUE"""),"NT$69,739")</f>
        <v>NT$69,739</v>
      </c>
      <c r="T111" s="41" t="str">
        <f>IFERROR(__xludf.DUMMYFUNCTION("""COMPUTED_VALUE"""),"A1990 MBP15 (2018) I7/16GBRAM/256GBSSD")</f>
        <v>A1990 MBP15 (2018) I7/16GBRAM/256GBSSD</v>
      </c>
      <c r="U111" s="41"/>
      <c r="V111" s="41"/>
      <c r="W111" s="41"/>
      <c r="X111" s="45" t="str">
        <f>IFERROR(__xludf.DUMMYFUNCTION("""COMPUTED_VALUE"""),"")</f>
        <v/>
      </c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</row>
    <row r="112">
      <c r="B112" s="41"/>
      <c r="C112" s="41" t="str">
        <f>IFERROR(__xludf.DUMMYFUNCTION("""COMPUTED_VALUE"""),"滿三年更換")</f>
        <v>滿三年更換</v>
      </c>
      <c r="D112" s="41" t="str">
        <f>IFERROR(__xludf.DUMMYFUNCTION("""COMPUTED_VALUE"""),"TW")</f>
        <v>TW</v>
      </c>
      <c r="E112" s="41"/>
      <c r="F112" s="41"/>
      <c r="G112" s="41"/>
      <c r="H112" s="41" t="str">
        <f>IFERROR(__xludf.DUMMYFUNCTION("""COMPUTED_VALUE"""),"策略資料中心:數據管理部")</f>
        <v>策略資料中心:數據管理部</v>
      </c>
      <c r="I112" s="41" t="str">
        <f>IFERROR(__xludf.DUMMYFUNCTION("""COMPUTED_VALUE"""),"資訊裝置")</f>
        <v>資訊裝置</v>
      </c>
      <c r="J112" s="41" t="str">
        <f>IFERROR(__xludf.DUMMYFUNCTION("""COMPUTED_VALUE"""),"AICHMP01912005")</f>
        <v>AICHMP01912005</v>
      </c>
      <c r="K112" s="41" t="str">
        <f>IFERROR(__xludf.DUMMYFUNCTION("""COMPUTED_VALUE"""),"Macbook Pro")</f>
        <v>Macbook Pro</v>
      </c>
      <c r="L112" s="41" t="str">
        <f>IFERROR(__xludf.DUMMYFUNCTION("""COMPUTED_VALUE"""),"FVFZQ2S5L414")</f>
        <v>FVFZQ2S5L414</v>
      </c>
      <c r="M112" s="41" t="str">
        <f>IFERROR(__xludf.DUMMYFUNCTION("""COMPUTED_VALUE"""),"張藝瀚")</f>
        <v>張藝瀚</v>
      </c>
      <c r="N112" s="65">
        <f>IFERROR(__xludf.DUMMYFUNCTION("""COMPUTED_VALUE"""),43803.0)</f>
        <v>43803</v>
      </c>
      <c r="O112" s="45">
        <f>IFERROR(__xludf.DUMMYFUNCTION("""COMPUTED_VALUE"""),58990.0)</f>
        <v>58990</v>
      </c>
      <c r="P112" s="41" t="str">
        <f>IFERROR(__xludf.DUMMYFUNCTION("""COMPUTED_VALUE"""),"資訊裝置")</f>
        <v>資訊裝置</v>
      </c>
      <c r="Q112" s="41">
        <f>IFERROR(__xludf.DUMMYFUNCTION("""COMPUTED_VALUE"""),36.0)</f>
        <v>36</v>
      </c>
      <c r="R112" s="41">
        <f>IFERROR(__xludf.DUMMYFUNCTION("""COMPUTED_VALUE"""),36.0)</f>
        <v>36</v>
      </c>
      <c r="S112" s="41" t="str">
        <f>IFERROR(__xludf.DUMMYFUNCTION("""COMPUTED_VALUE"""),"NT$58,990")</f>
        <v>NT$58,990</v>
      </c>
      <c r="T112" s="41" t="str">
        <f>IFERROR(__xludf.DUMMYFUNCTION("""COMPUTED_VALUE"""),"MBP13 (2019,TWO thunderbolt 3 port)  I7 /16GB 2133 MHz LPDDR3 / 256GB SSD / 電池正常418 /無配件")</f>
        <v>MBP13 (2019,TWO thunderbolt 3 port)  I7 /16GB 2133 MHz LPDDR3 / 256GB SSD / 電池正常418 /無配件</v>
      </c>
      <c r="U112" s="41"/>
      <c r="V112" s="41"/>
      <c r="W112" s="41"/>
      <c r="X112" s="45" t="str">
        <f>IFERROR(__xludf.DUMMYFUNCTION("""COMPUTED_VALUE"""),"")</f>
        <v/>
      </c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</row>
    <row r="113">
      <c r="B113" s="41"/>
      <c r="C113" s="41" t="str">
        <f>IFERROR(__xludf.DUMMYFUNCTION("""COMPUTED_VALUE"""),"滿三年更換")</f>
        <v>滿三年更換</v>
      </c>
      <c r="D113" s="41" t="str">
        <f>IFERROR(__xludf.DUMMYFUNCTION("""COMPUTED_VALUE"""),"TW")</f>
        <v>TW</v>
      </c>
      <c r="E113" s="41"/>
      <c r="F113" s="41"/>
      <c r="G113" s="41"/>
      <c r="H113" s="41" t="str">
        <f>IFERROR(__xludf.DUMMYFUNCTION("""COMPUTED_VALUE"""),"策略資料中心:數據管理部")</f>
        <v>策略資料中心:數據管理部</v>
      </c>
      <c r="I113" s="41" t="str">
        <f>IFERROR(__xludf.DUMMYFUNCTION("""COMPUTED_VALUE"""),"資訊裝置")</f>
        <v>資訊裝置</v>
      </c>
      <c r="J113" s="41" t="str">
        <f>IFERROR(__xludf.DUMMYFUNCTION("""COMPUTED_VALUE"""),"AICHMP01912007")</f>
        <v>AICHMP01912007</v>
      </c>
      <c r="K113" s="41" t="str">
        <f>IFERROR(__xludf.DUMMYFUNCTION("""COMPUTED_VALUE"""),"Macbook Pro")</f>
        <v>Macbook Pro</v>
      </c>
      <c r="L113" s="41" t="str">
        <f>IFERROR(__xludf.DUMMYFUNCTION("""COMPUTED_VALUE"""),"FVFZL33ZL414")</f>
        <v>FVFZL33ZL414</v>
      </c>
      <c r="M113" s="41" t="str">
        <f>IFERROR(__xludf.DUMMYFUNCTION("""COMPUTED_VALUE"""),"張藝瀚")</f>
        <v>張藝瀚</v>
      </c>
      <c r="N113" s="65">
        <f>IFERROR(__xludf.DUMMYFUNCTION("""COMPUTED_VALUE"""),43799.0)</f>
        <v>43799</v>
      </c>
      <c r="O113" s="45">
        <f>IFERROR(__xludf.DUMMYFUNCTION("""COMPUTED_VALUE"""),58990.0)</f>
        <v>58990</v>
      </c>
      <c r="P113" s="41" t="str">
        <f>IFERROR(__xludf.DUMMYFUNCTION("""COMPUTED_VALUE"""),"資訊裝置")</f>
        <v>資訊裝置</v>
      </c>
      <c r="Q113" s="41">
        <f>IFERROR(__xludf.DUMMYFUNCTION("""COMPUTED_VALUE"""),36.0)</f>
        <v>36</v>
      </c>
      <c r="R113" s="41">
        <f>IFERROR(__xludf.DUMMYFUNCTION("""COMPUTED_VALUE"""),36.0)</f>
        <v>36</v>
      </c>
      <c r="S113" s="41" t="str">
        <f>IFERROR(__xludf.DUMMYFUNCTION("""COMPUTED_VALUE"""),"NT$58,990")</f>
        <v>NT$58,990</v>
      </c>
      <c r="T113" s="41" t="str">
        <f>IFERROR(__xludf.DUMMYFUNCTION("""COMPUTED_VALUE"""),"A2159 MBP13 (2019)  I7/16GBRAM/256GBSSD")</f>
        <v>A2159 MBP13 (2019)  I7/16GBRAM/256GBSSD</v>
      </c>
      <c r="U113" s="41"/>
      <c r="V113" s="41"/>
      <c r="W113" s="41"/>
      <c r="X113" s="45" t="str">
        <f>IFERROR(__xludf.DUMMYFUNCTION("""COMPUTED_VALUE"""),"")</f>
        <v/>
      </c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</row>
    <row r="114">
      <c r="B114" s="41"/>
      <c r="C114" s="41" t="str">
        <f>IFERROR(__xludf.DUMMYFUNCTION("""COMPUTED_VALUE"""),"滿三年更換")</f>
        <v>滿三年更換</v>
      </c>
      <c r="D114" s="41" t="str">
        <f>IFERROR(__xludf.DUMMYFUNCTION("""COMPUTED_VALUE"""),"TW")</f>
        <v>TW</v>
      </c>
      <c r="E114" s="41"/>
      <c r="F114" s="41"/>
      <c r="G114" s="41"/>
      <c r="H114" s="41" t="str">
        <f>IFERROR(__xludf.DUMMYFUNCTION("""COMPUTED_VALUE"""),"策略資料中心:數據管理部")</f>
        <v>策略資料中心:數據管理部</v>
      </c>
      <c r="I114" s="41" t="str">
        <f>IFERROR(__xludf.DUMMYFUNCTION("""COMPUTED_VALUE"""),"資訊裝置")</f>
        <v>資訊裝置</v>
      </c>
      <c r="J114" s="41" t="str">
        <f>IFERROR(__xludf.DUMMYFUNCTION("""COMPUTED_VALUE"""),"AICHMP02002008")</f>
        <v>AICHMP02002008</v>
      </c>
      <c r="K114" s="41" t="str">
        <f>IFERROR(__xludf.DUMMYFUNCTION("""COMPUTED_VALUE"""),"Macbook Pro")</f>
        <v>Macbook Pro</v>
      </c>
      <c r="L114" s="41" t="str">
        <f>IFERROR(__xludf.DUMMYFUNCTION("""COMPUTED_VALUE"""),"FVFC611EL414")</f>
        <v>FVFC611EL414</v>
      </c>
      <c r="M114" s="41" t="str">
        <f>IFERROR(__xludf.DUMMYFUNCTION("""COMPUTED_VALUE"""),"張藝瀚")</f>
        <v>張藝瀚</v>
      </c>
      <c r="N114" s="65">
        <f>IFERROR(__xludf.DUMMYFUNCTION("""COMPUTED_VALUE"""),43888.0)</f>
        <v>43888</v>
      </c>
      <c r="O114" s="45">
        <f>IFERROR(__xludf.DUMMYFUNCTION("""COMPUTED_VALUE"""),48558.0)</f>
        <v>48558</v>
      </c>
      <c r="P114" s="41" t="str">
        <f>IFERROR(__xludf.DUMMYFUNCTION("""COMPUTED_VALUE"""),"資訊裝置")</f>
        <v>資訊裝置</v>
      </c>
      <c r="Q114" s="41">
        <f>IFERROR(__xludf.DUMMYFUNCTION("""COMPUTED_VALUE"""),36.0)</f>
        <v>36</v>
      </c>
      <c r="R114" s="41">
        <f>IFERROR(__xludf.DUMMYFUNCTION("""COMPUTED_VALUE"""),36.0)</f>
        <v>36</v>
      </c>
      <c r="S114" s="41" t="str">
        <f>IFERROR(__xludf.DUMMYFUNCTION("""COMPUTED_VALUE"""),"NT$48,558")</f>
        <v>NT$48,558</v>
      </c>
      <c r="T114" s="41" t="str">
        <f>IFERROR(__xludf.DUMMYFUNCTION("""COMPUTED_VALUE"""),"A2179 MBP13 (2019, Two Thunderbolt 3 ports) I5/16GBRAM/256GBSSD")</f>
        <v>A2179 MBP13 (2019, Two Thunderbolt 3 ports) I5/16GBRAM/256GBSSD</v>
      </c>
      <c r="U114" s="41"/>
      <c r="V114" s="41"/>
      <c r="W114" s="41"/>
      <c r="X114" s="45" t="str">
        <f>IFERROR(__xludf.DUMMYFUNCTION("""COMPUTED_VALUE"""),"")</f>
        <v/>
      </c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</row>
    <row r="115">
      <c r="B115" s="41"/>
      <c r="C115" s="41" t="str">
        <f>IFERROR(__xludf.DUMMYFUNCTION("""COMPUTED_VALUE"""),"滿三年更換")</f>
        <v>滿三年更換</v>
      </c>
      <c r="D115" s="41" t="str">
        <f>IFERROR(__xludf.DUMMYFUNCTION("""COMPUTED_VALUE"""),"TW")</f>
        <v>TW</v>
      </c>
      <c r="E115" s="41"/>
      <c r="F115" s="41"/>
      <c r="G115" s="41"/>
      <c r="H115" s="41" t="str">
        <f>IFERROR(__xludf.DUMMYFUNCTION("""COMPUTED_VALUE"""),"策略資料中心:數據管理部")</f>
        <v>策略資料中心:數據管理部</v>
      </c>
      <c r="I115" s="41" t="str">
        <f>IFERROR(__xludf.DUMMYFUNCTION("""COMPUTED_VALUE"""),"資訊裝置")</f>
        <v>資訊裝置</v>
      </c>
      <c r="J115" s="41" t="str">
        <f>IFERROR(__xludf.DUMMYFUNCTION("""COMPUTED_VALUE"""),"AICHMP02002009")</f>
        <v>AICHMP02002009</v>
      </c>
      <c r="K115" s="41" t="str">
        <f>IFERROR(__xludf.DUMMYFUNCTION("""COMPUTED_VALUE"""),"Macbook Pro")</f>
        <v>Macbook Pro</v>
      </c>
      <c r="L115" s="41" t="str">
        <f>IFERROR(__xludf.DUMMYFUNCTION("""COMPUTED_VALUE"""),"FVFC611ML414")</f>
        <v>FVFC611ML414</v>
      </c>
      <c r="M115" s="41" t="str">
        <f>IFERROR(__xludf.DUMMYFUNCTION("""COMPUTED_VALUE"""),"張藝瀚")</f>
        <v>張藝瀚</v>
      </c>
      <c r="N115" s="65">
        <f>IFERROR(__xludf.DUMMYFUNCTION("""COMPUTED_VALUE"""),43888.0)</f>
        <v>43888</v>
      </c>
      <c r="O115" s="45">
        <f>IFERROR(__xludf.DUMMYFUNCTION("""COMPUTED_VALUE"""),48559.0)</f>
        <v>48559</v>
      </c>
      <c r="P115" s="41" t="str">
        <f>IFERROR(__xludf.DUMMYFUNCTION("""COMPUTED_VALUE"""),"資訊裝置")</f>
        <v>資訊裝置</v>
      </c>
      <c r="Q115" s="41">
        <f>IFERROR(__xludf.DUMMYFUNCTION("""COMPUTED_VALUE"""),36.0)</f>
        <v>36</v>
      </c>
      <c r="R115" s="41">
        <f>IFERROR(__xludf.DUMMYFUNCTION("""COMPUTED_VALUE"""),36.0)</f>
        <v>36</v>
      </c>
      <c r="S115" s="41" t="str">
        <f>IFERROR(__xludf.DUMMYFUNCTION("""COMPUTED_VALUE"""),"NT$48,559")</f>
        <v>NT$48,559</v>
      </c>
      <c r="T115" s="41"/>
      <c r="U115" s="41"/>
      <c r="V115" s="41"/>
      <c r="W115" s="41"/>
      <c r="X115" s="45" t="str">
        <f>IFERROR(__xludf.DUMMYFUNCTION("""COMPUTED_VALUE"""),"")</f>
        <v/>
      </c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</row>
    <row r="116">
      <c r="B116" s="41"/>
      <c r="C116" s="41" t="str">
        <f>IFERROR(__xludf.DUMMYFUNCTION("""COMPUTED_VALUE"""),"滿三年更換")</f>
        <v>滿三年更換</v>
      </c>
      <c r="D116" s="41" t="str">
        <f>IFERROR(__xludf.DUMMYFUNCTION("""COMPUTED_VALUE"""),"TW")</f>
        <v>TW</v>
      </c>
      <c r="E116" s="41"/>
      <c r="F116" s="41"/>
      <c r="G116" s="41"/>
      <c r="H116" s="41" t="str">
        <f>IFERROR(__xludf.DUMMYFUNCTION("""COMPUTED_VALUE"""),"策略資料中心:數據管理部")</f>
        <v>策略資料中心:數據管理部</v>
      </c>
      <c r="I116" s="41" t="str">
        <f>IFERROR(__xludf.DUMMYFUNCTION("""COMPUTED_VALUE"""),"資訊裝置")</f>
        <v>資訊裝置</v>
      </c>
      <c r="J116" s="41" t="str">
        <f>IFERROR(__xludf.DUMMYFUNCTION("""COMPUTED_VALUE"""),"AICHMP02002010")</f>
        <v>AICHMP02002010</v>
      </c>
      <c r="K116" s="41" t="str">
        <f>IFERROR(__xludf.DUMMYFUNCTION("""COMPUTED_VALUE"""),"Macbook Pro")</f>
        <v>Macbook Pro</v>
      </c>
      <c r="L116" s="41" t="str">
        <f>IFERROR(__xludf.DUMMYFUNCTION("""COMPUTED_VALUE"""),"C02ZWB9XMD6N")</f>
        <v>C02ZWB9XMD6N</v>
      </c>
      <c r="M116" s="41" t="str">
        <f>IFERROR(__xludf.DUMMYFUNCTION("""COMPUTED_VALUE"""),"張藝瀚")</f>
        <v>張藝瀚</v>
      </c>
      <c r="N116" s="65">
        <f>IFERROR(__xludf.DUMMYFUNCTION("""COMPUTED_VALUE"""),43894.0)</f>
        <v>43894</v>
      </c>
      <c r="O116" s="45">
        <f>IFERROR(__xludf.DUMMYFUNCTION("""COMPUTED_VALUE"""),80482.0)</f>
        <v>80482</v>
      </c>
      <c r="P116" s="41" t="str">
        <f>IFERROR(__xludf.DUMMYFUNCTION("""COMPUTED_VALUE"""),"資訊裝置")</f>
        <v>資訊裝置</v>
      </c>
      <c r="Q116" s="41">
        <f>IFERROR(__xludf.DUMMYFUNCTION("""COMPUTED_VALUE"""),36.0)</f>
        <v>36</v>
      </c>
      <c r="R116" s="41">
        <f>IFERROR(__xludf.DUMMYFUNCTION("""COMPUTED_VALUE"""),36.0)</f>
        <v>36</v>
      </c>
      <c r="S116" s="41" t="str">
        <f>IFERROR(__xludf.DUMMYFUNCTION("""COMPUTED_VALUE"""),"NT$80,482")</f>
        <v>NT$80,482</v>
      </c>
      <c r="T116" s="41"/>
      <c r="U116" s="41"/>
      <c r="V116" s="41"/>
      <c r="W116" s="41"/>
      <c r="X116" s="45" t="str">
        <f>IFERROR(__xludf.DUMMYFUNCTION("""COMPUTED_VALUE"""),"")</f>
        <v/>
      </c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</row>
    <row r="117">
      <c r="B117" s="41"/>
      <c r="C117" s="41" t="str">
        <f>IFERROR(__xludf.DUMMYFUNCTION("""COMPUTED_VALUE"""),"滿三年更換")</f>
        <v>滿三年更換</v>
      </c>
      <c r="D117" s="41" t="str">
        <f>IFERROR(__xludf.DUMMYFUNCTION("""COMPUTED_VALUE"""),"TW")</f>
        <v>TW</v>
      </c>
      <c r="E117" s="41"/>
      <c r="F117" s="41"/>
      <c r="G117" s="41"/>
      <c r="H117" s="41" t="str">
        <f>IFERROR(__xludf.DUMMYFUNCTION("""COMPUTED_VALUE"""),"策略資料中心:數據管理部")</f>
        <v>策略資料中心:數據管理部</v>
      </c>
      <c r="I117" s="41" t="str">
        <f>IFERROR(__xludf.DUMMYFUNCTION("""COMPUTED_VALUE"""),"資訊裝置")</f>
        <v>資訊裝置</v>
      </c>
      <c r="J117" s="41" t="str">
        <f>IFERROR(__xludf.DUMMYFUNCTION("""COMPUTED_VALUE"""),"AICHMP02003011")</f>
        <v>AICHMP02003011</v>
      </c>
      <c r="K117" s="41" t="str">
        <f>IFERROR(__xludf.DUMMYFUNCTION("""COMPUTED_VALUE"""),"Macbook Pro")</f>
        <v>Macbook Pro</v>
      </c>
      <c r="L117" s="41" t="str">
        <f>IFERROR(__xludf.DUMMYFUNCTION("""COMPUTED_VALUE"""),"C02CC74YMD6M")</f>
        <v>C02CC74YMD6M</v>
      </c>
      <c r="M117" s="41" t="str">
        <f>IFERROR(__xludf.DUMMYFUNCTION("""COMPUTED_VALUE"""),"張藝瀚")</f>
        <v>張藝瀚</v>
      </c>
      <c r="N117" s="65">
        <f>IFERROR(__xludf.DUMMYFUNCTION("""COMPUTED_VALUE"""),43903.0)</f>
        <v>43903</v>
      </c>
      <c r="O117" s="45">
        <f>IFERROR(__xludf.DUMMYFUNCTION("""COMPUTED_VALUE"""),69739.0)</f>
        <v>69739</v>
      </c>
      <c r="P117" s="41" t="str">
        <f>IFERROR(__xludf.DUMMYFUNCTION("""COMPUTED_VALUE"""),"資訊裝置")</f>
        <v>資訊裝置</v>
      </c>
      <c r="Q117" s="41">
        <f>IFERROR(__xludf.DUMMYFUNCTION("""COMPUTED_VALUE"""),36.0)</f>
        <v>36</v>
      </c>
      <c r="R117" s="41">
        <f>IFERROR(__xludf.DUMMYFUNCTION("""COMPUTED_VALUE"""),36.0)</f>
        <v>36</v>
      </c>
      <c r="S117" s="41" t="str">
        <f>IFERROR(__xludf.DUMMYFUNCTION("""COMPUTED_VALUE"""),"NT$69,739")</f>
        <v>NT$69,739</v>
      </c>
      <c r="T117" s="41"/>
      <c r="U117" s="41"/>
      <c r="V117" s="41"/>
      <c r="W117" s="41"/>
      <c r="X117" s="45" t="str">
        <f>IFERROR(__xludf.DUMMYFUNCTION("""COMPUTED_VALUE"""),"")</f>
        <v/>
      </c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</row>
    <row r="118">
      <c r="B118" s="41"/>
      <c r="C118" s="41" t="str">
        <f>IFERROR(__xludf.DUMMYFUNCTION("""COMPUTED_VALUE"""),"滿三年更換")</f>
        <v>滿三年更換</v>
      </c>
      <c r="D118" s="41" t="str">
        <f>IFERROR(__xludf.DUMMYFUNCTION("""COMPUTED_VALUE"""),"TW")</f>
        <v>TW</v>
      </c>
      <c r="E118" s="41"/>
      <c r="F118" s="41"/>
      <c r="G118" s="41"/>
      <c r="H118" s="41" t="str">
        <f>IFERROR(__xludf.DUMMYFUNCTION("""COMPUTED_VALUE"""),"策略資料中心:數據管理部")</f>
        <v>策略資料中心:數據管理部</v>
      </c>
      <c r="I118" s="41" t="str">
        <f>IFERROR(__xludf.DUMMYFUNCTION("""COMPUTED_VALUE"""),"資訊裝置")</f>
        <v>資訊裝置</v>
      </c>
      <c r="J118" s="41" t="str">
        <f>IFERROR(__xludf.DUMMYFUNCTION("""COMPUTED_VALUE"""),"AICHMP02008015")</f>
        <v>AICHMP02008015</v>
      </c>
      <c r="K118" s="41" t="str">
        <f>IFERROR(__xludf.DUMMYFUNCTION("""COMPUTED_VALUE"""),"Macbook Pro")</f>
        <v>Macbook Pro</v>
      </c>
      <c r="L118" s="41" t="str">
        <f>IFERROR(__xludf.DUMMYFUNCTION("""COMPUTED_VALUE"""),"FVFD51AKP3YV")</f>
        <v>FVFD51AKP3YV</v>
      </c>
      <c r="M118" s="41" t="str">
        <f>IFERROR(__xludf.DUMMYFUNCTION("""COMPUTED_VALUE"""),"張藝瀚")</f>
        <v>張藝瀚</v>
      </c>
      <c r="N118" s="65">
        <f>IFERROR(__xludf.DUMMYFUNCTION("""COMPUTED_VALUE"""),44074.0)</f>
        <v>44074</v>
      </c>
      <c r="O118" s="45">
        <f>IFERROR(__xludf.DUMMYFUNCTION("""COMPUTED_VALUE"""),51481.0)</f>
        <v>51481</v>
      </c>
      <c r="P118" s="41" t="str">
        <f>IFERROR(__xludf.DUMMYFUNCTION("""COMPUTED_VALUE"""),"資訊裝置")</f>
        <v>資訊裝置</v>
      </c>
      <c r="Q118" s="41">
        <f>IFERROR(__xludf.DUMMYFUNCTION("""COMPUTED_VALUE"""),36.0)</f>
        <v>36</v>
      </c>
      <c r="R118" s="41">
        <f>IFERROR(__xludf.DUMMYFUNCTION("""COMPUTED_VALUE"""),36.0)</f>
        <v>36</v>
      </c>
      <c r="S118" s="41" t="str">
        <f>IFERROR(__xludf.DUMMYFUNCTION("""COMPUTED_VALUE"""),"NT$51,481")</f>
        <v>NT$51,481</v>
      </c>
      <c r="T118" s="41" t="str">
        <f>IFERROR(__xludf.DUMMYFUNCTION("""COMPUTED_VALUE"""),"MBP I7/16GBRAM/1TBSSD")</f>
        <v>MBP I7/16GBRAM/1TBSSD</v>
      </c>
      <c r="U118" s="41"/>
      <c r="V118" s="41"/>
      <c r="W118" s="41"/>
      <c r="X118" s="45" t="str">
        <f>IFERROR(__xludf.DUMMYFUNCTION("""COMPUTED_VALUE"""),"")</f>
        <v/>
      </c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</row>
    <row r="119">
      <c r="B119" s="41"/>
      <c r="C119" s="41" t="str">
        <f>IFERROR(__xludf.DUMMYFUNCTION("""COMPUTED_VALUE"""),"滿三年更換")</f>
        <v>滿三年更換</v>
      </c>
      <c r="D119" s="41" t="str">
        <f>IFERROR(__xludf.DUMMYFUNCTION("""COMPUTED_VALUE"""),"TW")</f>
        <v>TW</v>
      </c>
      <c r="E119" s="41"/>
      <c r="F119" s="41"/>
      <c r="G119" s="41"/>
      <c r="H119" s="41" t="str">
        <f>IFERROR(__xludf.DUMMYFUNCTION("""COMPUTED_VALUE"""),"策略資料中心:數據管理部")</f>
        <v>策略資料中心:數據管理部</v>
      </c>
      <c r="I119" s="41" t="str">
        <f>IFERROR(__xludf.DUMMYFUNCTION("""COMPUTED_VALUE"""),"資訊裝置")</f>
        <v>資訊裝置</v>
      </c>
      <c r="J119" s="41" t="str">
        <f>IFERROR(__xludf.DUMMYFUNCTION("""COMPUTED_VALUE"""),"AICHMP02009016")</f>
        <v>AICHMP02009016</v>
      </c>
      <c r="K119" s="41" t="str">
        <f>IFERROR(__xludf.DUMMYFUNCTION("""COMPUTED_VALUE"""),"Macbook Pro")</f>
        <v>Macbook Pro</v>
      </c>
      <c r="L119" s="41" t="str">
        <f>IFERROR(__xludf.DUMMYFUNCTION("""COMPUTED_VALUE"""),"C02D42B7MD6P")</f>
        <v>C02D42B7MD6P</v>
      </c>
      <c r="M119" s="41" t="str">
        <f>IFERROR(__xludf.DUMMYFUNCTION("""COMPUTED_VALUE"""),"張藝瀚")</f>
        <v>張藝瀚</v>
      </c>
      <c r="N119" s="65">
        <f>IFERROR(__xludf.DUMMYFUNCTION("""COMPUTED_VALUE"""),44084.0)</f>
        <v>44084</v>
      </c>
      <c r="O119" s="45">
        <f>IFERROR(__xludf.DUMMYFUNCTION("""COMPUTED_VALUE"""),69739.0)</f>
        <v>69739</v>
      </c>
      <c r="P119" s="41" t="str">
        <f>IFERROR(__xludf.DUMMYFUNCTION("""COMPUTED_VALUE"""),"資訊裝置")</f>
        <v>資訊裝置</v>
      </c>
      <c r="Q119" s="41">
        <f>IFERROR(__xludf.DUMMYFUNCTION("""COMPUTED_VALUE"""),36.0)</f>
        <v>36</v>
      </c>
      <c r="R119" s="41">
        <f>IFERROR(__xludf.DUMMYFUNCTION("""COMPUTED_VALUE"""),36.0)</f>
        <v>36</v>
      </c>
      <c r="S119" s="41" t="str">
        <f>IFERROR(__xludf.DUMMYFUNCTION("""COMPUTED_VALUE"""),"NT$69,739")</f>
        <v>NT$69,739</v>
      </c>
      <c r="T119" s="41"/>
      <c r="U119" s="41"/>
      <c r="V119" s="41"/>
      <c r="W119" s="41"/>
      <c r="X119" s="45" t="str">
        <f>IFERROR(__xludf.DUMMYFUNCTION("""COMPUTED_VALUE"""),"")</f>
        <v/>
      </c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</row>
    <row r="120">
      <c r="B120" s="41"/>
      <c r="C120" s="41" t="str">
        <f>IFERROR(__xludf.DUMMYFUNCTION("""COMPUTED_VALUE"""),"滿三年更換")</f>
        <v>滿三年更換</v>
      </c>
      <c r="D120" s="41" t="str">
        <f>IFERROR(__xludf.DUMMYFUNCTION("""COMPUTED_VALUE"""),"TW")</f>
        <v>TW</v>
      </c>
      <c r="E120" s="41"/>
      <c r="F120" s="41"/>
      <c r="G120" s="41"/>
      <c r="H120" s="41" t="str">
        <f>IFERROR(__xludf.DUMMYFUNCTION("""COMPUTED_VALUE"""),"策略資料中心:數據管理部")</f>
        <v>策略資料中心:數據管理部</v>
      </c>
      <c r="I120" s="41" t="str">
        <f>IFERROR(__xludf.DUMMYFUNCTION("""COMPUTED_VALUE"""),"資訊裝置")</f>
        <v>資訊裝置</v>
      </c>
      <c r="J120" s="41" t="str">
        <f>IFERROR(__xludf.DUMMYFUNCTION("""COMPUTED_VALUE"""),"AICHMP02011019")</f>
        <v>AICHMP02011019</v>
      </c>
      <c r="K120" s="41" t="str">
        <f>IFERROR(__xludf.DUMMYFUNCTION("""COMPUTED_VALUE"""),"Macbook Pro")</f>
        <v>Macbook Pro</v>
      </c>
      <c r="L120" s="41" t="str">
        <f>IFERROR(__xludf.DUMMYFUNCTION("""COMPUTED_VALUE"""),"C02DN43ZML85")</f>
        <v>C02DN43ZML85</v>
      </c>
      <c r="M120" s="41" t="str">
        <f>IFERROR(__xludf.DUMMYFUNCTION("""COMPUTED_VALUE"""),"張藝瀚")</f>
        <v>張藝瀚</v>
      </c>
      <c r="N120" s="65">
        <f>IFERROR(__xludf.DUMMYFUNCTION("""COMPUTED_VALUE"""),44151.0)</f>
        <v>44151</v>
      </c>
      <c r="O120" s="45">
        <f>IFERROR(__xludf.DUMMYFUNCTION("""COMPUTED_VALUE"""),68671.0)</f>
        <v>68671</v>
      </c>
      <c r="P120" s="41" t="str">
        <f>IFERROR(__xludf.DUMMYFUNCTION("""COMPUTED_VALUE"""),"資訊裝置")</f>
        <v>資訊裝置</v>
      </c>
      <c r="Q120" s="41">
        <f>IFERROR(__xludf.DUMMYFUNCTION("""COMPUTED_VALUE"""),36.0)</f>
        <v>36</v>
      </c>
      <c r="R120" s="41">
        <f>IFERROR(__xludf.DUMMYFUNCTION("""COMPUTED_VALUE"""),36.0)</f>
        <v>36</v>
      </c>
      <c r="S120" s="41" t="str">
        <f>IFERROR(__xludf.DUMMYFUNCTION("""COMPUTED_VALUE"""),"NT$68,671")</f>
        <v>NT$68,671</v>
      </c>
      <c r="T120" s="41" t="str">
        <f>IFERROR(__xludf.DUMMYFUNCTION("""COMPUTED_VALUE"""),"MBP13 (2020, Four Thunderbolt 3 ports) I7/32GBRAM/512GBSSD")</f>
        <v>MBP13 (2020, Four Thunderbolt 3 ports) I7/32GBRAM/512GBSSD</v>
      </c>
      <c r="U120" s="41"/>
      <c r="V120" s="41"/>
      <c r="W120" s="41"/>
      <c r="X120" s="45" t="str">
        <f>IFERROR(__xludf.DUMMYFUNCTION("""COMPUTED_VALUE"""),"")</f>
        <v/>
      </c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</row>
    <row r="121">
      <c r="B121" s="41"/>
      <c r="C121" s="41" t="str">
        <f>IFERROR(__xludf.DUMMYFUNCTION("""COMPUTED_VALUE"""),"滿三年更換")</f>
        <v>滿三年更換</v>
      </c>
      <c r="D121" s="41" t="str">
        <f>IFERROR(__xludf.DUMMYFUNCTION("""COMPUTED_VALUE"""),"TW")</f>
        <v>TW</v>
      </c>
      <c r="E121" s="41"/>
      <c r="F121" s="41"/>
      <c r="G121" s="41"/>
      <c r="H121" s="41" t="str">
        <f>IFERROR(__xludf.DUMMYFUNCTION("""COMPUTED_VALUE"""),"策略資料中心:數據管理部")</f>
        <v>策略資料中心:數據管理部</v>
      </c>
      <c r="I121" s="41" t="str">
        <f>IFERROR(__xludf.DUMMYFUNCTION("""COMPUTED_VALUE"""),"資訊裝置")</f>
        <v>資訊裝置</v>
      </c>
      <c r="J121" s="41" t="str">
        <f>IFERROR(__xludf.DUMMYFUNCTION("""COMPUTED_VALUE"""),"AICHMP02101021")</f>
        <v>AICHMP02101021</v>
      </c>
      <c r="K121" s="41" t="str">
        <f>IFERROR(__xludf.DUMMYFUNCTION("""COMPUTED_VALUE"""),"Macbook Pro")</f>
        <v>Macbook Pro</v>
      </c>
      <c r="L121" s="41" t="str">
        <f>IFERROR(__xludf.DUMMYFUNCTION("""COMPUTED_VALUE"""),"C02DX2BEML7H")</f>
        <v>C02DX2BEML7H</v>
      </c>
      <c r="M121" s="41" t="str">
        <f>IFERROR(__xludf.DUMMYFUNCTION("""COMPUTED_VALUE"""),"張藝瀚")</f>
        <v>張藝瀚</v>
      </c>
      <c r="N121" s="65">
        <f>IFERROR(__xludf.DUMMYFUNCTION("""COMPUTED_VALUE"""),44215.0)</f>
        <v>44215</v>
      </c>
      <c r="O121" s="45">
        <f>IFERROR(__xludf.DUMMYFUNCTION("""COMPUTED_VALUE"""),66510.0)</f>
        <v>66510</v>
      </c>
      <c r="P121" s="41" t="str">
        <f>IFERROR(__xludf.DUMMYFUNCTION("""COMPUTED_VALUE"""),"資訊裝置")</f>
        <v>資訊裝置</v>
      </c>
      <c r="Q121" s="41">
        <f>IFERROR(__xludf.DUMMYFUNCTION("""COMPUTED_VALUE"""),36.0)</f>
        <v>36</v>
      </c>
      <c r="R121" s="41">
        <f>IFERROR(__xludf.DUMMYFUNCTION("""COMPUTED_VALUE"""),36.0)</f>
        <v>36</v>
      </c>
      <c r="S121" s="41" t="str">
        <f>IFERROR(__xludf.DUMMYFUNCTION("""COMPUTED_VALUE"""),"NT$66,510")</f>
        <v>NT$66,510</v>
      </c>
      <c r="T121" s="41" t="str">
        <f>IFERROR(__xludf.DUMMYFUNCTION("""COMPUTED_VALUE"""),"MBP13 (2020, Four Thunderbolt 3 ports) I5/16GBRAM/512GBSSD")</f>
        <v>MBP13 (2020, Four Thunderbolt 3 ports) I5/16GBRAM/512GBSSD</v>
      </c>
      <c r="U121" s="41"/>
      <c r="V121" s="41"/>
      <c r="W121" s="41"/>
      <c r="X121" s="45" t="str">
        <f>IFERROR(__xludf.DUMMYFUNCTION("""COMPUTED_VALUE"""),"")</f>
        <v/>
      </c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</row>
    <row r="122">
      <c r="B122" s="41"/>
      <c r="C122" s="41" t="str">
        <f>IFERROR(__xludf.DUMMYFUNCTION("""COMPUTED_VALUE"""),"滿三年更換")</f>
        <v>滿三年更換</v>
      </c>
      <c r="D122" s="41" t="str">
        <f>IFERROR(__xludf.DUMMYFUNCTION("""COMPUTED_VALUE"""),"TW")</f>
        <v>TW</v>
      </c>
      <c r="E122" s="41"/>
      <c r="F122" s="41"/>
      <c r="G122" s="41"/>
      <c r="H122" s="41" t="str">
        <f>IFERROR(__xludf.DUMMYFUNCTION("""COMPUTED_VALUE"""),"策略資料中心:數據管理部")</f>
        <v>策略資料中心:數據管理部</v>
      </c>
      <c r="I122" s="41" t="str">
        <f>IFERROR(__xludf.DUMMYFUNCTION("""COMPUTED_VALUE"""),"資訊裝置")</f>
        <v>資訊裝置</v>
      </c>
      <c r="J122" s="41" t="str">
        <f>IFERROR(__xludf.DUMMYFUNCTION("""COMPUTED_VALUE"""),"AICHMP02106031")</f>
        <v>AICHMP02106031</v>
      </c>
      <c r="K122" s="41" t="str">
        <f>IFERROR(__xludf.DUMMYFUNCTION("""COMPUTED_VALUE"""),"Macbook Pro")</f>
        <v>Macbook Pro</v>
      </c>
      <c r="L122" s="41" t="str">
        <f>IFERROR(__xludf.DUMMYFUNCTION("""COMPUTED_VALUE"""),"C02FT4ZRMD6M")</f>
        <v>C02FT4ZRMD6M</v>
      </c>
      <c r="M122" s="41" t="str">
        <f>IFERROR(__xludf.DUMMYFUNCTION("""COMPUTED_VALUE"""),"張藝瀚")</f>
        <v>張藝瀚</v>
      </c>
      <c r="N122" s="65">
        <f>IFERROR(__xludf.DUMMYFUNCTION("""COMPUTED_VALUE"""),44378.0)</f>
        <v>44378</v>
      </c>
      <c r="O122" s="45">
        <f>IFERROR(__xludf.DUMMYFUNCTION("""COMPUTED_VALUE"""),68710.0)</f>
        <v>68710</v>
      </c>
      <c r="P122" s="41" t="str">
        <f>IFERROR(__xludf.DUMMYFUNCTION("""COMPUTED_VALUE"""),"資訊裝置")</f>
        <v>資訊裝置</v>
      </c>
      <c r="Q122" s="41">
        <f>IFERROR(__xludf.DUMMYFUNCTION("""COMPUTED_VALUE"""),36.0)</f>
        <v>36</v>
      </c>
      <c r="R122" s="41">
        <f>IFERROR(__xludf.DUMMYFUNCTION("""COMPUTED_VALUE"""),36.0)</f>
        <v>36</v>
      </c>
      <c r="S122" s="41" t="str">
        <f>IFERROR(__xludf.DUMMYFUNCTION("""COMPUTED_VALUE"""),"NT$68,710")</f>
        <v>NT$68,710</v>
      </c>
      <c r="T122" s="41"/>
      <c r="U122" s="41"/>
      <c r="V122" s="41"/>
      <c r="W122" s="41"/>
      <c r="X122" s="45" t="str">
        <f>IFERROR(__xludf.DUMMYFUNCTION("""COMPUTED_VALUE"""),"")</f>
        <v/>
      </c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</row>
    <row r="123">
      <c r="B123" s="41"/>
      <c r="C123" s="41" t="str">
        <f>IFERROR(__xludf.DUMMYFUNCTION("""COMPUTED_VALUE"""),"滿三年更換")</f>
        <v>滿三年更換</v>
      </c>
      <c r="D123" s="41" t="str">
        <f>IFERROR(__xludf.DUMMYFUNCTION("""COMPUTED_VALUE"""),"TW")</f>
        <v>TW</v>
      </c>
      <c r="E123" s="41"/>
      <c r="F123" s="41"/>
      <c r="G123" s="41"/>
      <c r="H123" s="41" t="str">
        <f>IFERROR(__xludf.DUMMYFUNCTION("""COMPUTED_VALUE"""),"財務中心:會計部")</f>
        <v>財務中心:會計部</v>
      </c>
      <c r="I123" s="41" t="str">
        <f>IFERROR(__xludf.DUMMYFUNCTION("""COMPUTED_VALUE"""),"資訊裝置")</f>
        <v>資訊裝置</v>
      </c>
      <c r="J123" s="41" t="str">
        <f>IFERROR(__xludf.DUMMYFUNCTION("""COMPUTED_VALUE"""),"AICHMN01604004")</f>
        <v>AICHMN01604004</v>
      </c>
      <c r="K123" s="41" t="str">
        <f>IFERROR(__xludf.DUMMYFUNCTION("""COMPUTED_VALUE"""),"螢幕")</f>
        <v>螢幕</v>
      </c>
      <c r="L123" s="41" t="str">
        <f>IFERROR(__xludf.DUMMYFUNCTION("""COMPUTED_VALUE"""),"CN-0MTYGK-64180-5CA-04CS-A02")</f>
        <v>CN-0MTYGK-64180-5CA-04CS-A02</v>
      </c>
      <c r="M123" s="41" t="str">
        <f>IFERROR(__xludf.DUMMYFUNCTION("""COMPUTED_VALUE"""),"曹昀暐")</f>
        <v>曹昀暐</v>
      </c>
      <c r="N123" s="65">
        <f>IFERROR(__xludf.DUMMYFUNCTION("""COMPUTED_VALUE"""),42468.0)</f>
        <v>42468</v>
      </c>
      <c r="O123" s="41"/>
      <c r="P123" s="41" t="str">
        <f>IFERROR(__xludf.DUMMYFUNCTION("""COMPUTED_VALUE"""),"資訊裝置")</f>
        <v>資訊裝置</v>
      </c>
      <c r="Q123" s="41">
        <f>IFERROR(__xludf.DUMMYFUNCTION("""COMPUTED_VALUE"""),36.0)</f>
        <v>36</v>
      </c>
      <c r="R123" s="41">
        <f>IFERROR(__xludf.DUMMYFUNCTION("""COMPUTED_VALUE"""),36.0)</f>
        <v>36</v>
      </c>
      <c r="S123" s="41" t="str">
        <f>IFERROR(__xludf.DUMMYFUNCTION("""COMPUTED_VALUE"""),"NT$0")</f>
        <v>NT$0</v>
      </c>
      <c r="T123" s="41" t="str">
        <f>IFERROR(__xludf.DUMMYFUNCTION("""COMPUTED_VALUE"""),"Dell 24吋 U2412Mc")</f>
        <v>Dell 24吋 U2412Mc</v>
      </c>
      <c r="U123" s="41"/>
      <c r="V123" s="41"/>
      <c r="W123" s="41"/>
      <c r="X123" s="45" t="str">
        <f>IFERROR(__xludf.DUMMYFUNCTION("""COMPUTED_VALUE"""),"")</f>
        <v/>
      </c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</row>
    <row r="124">
      <c r="B124" s="41"/>
      <c r="C124" s="41" t="str">
        <f>IFERROR(__xludf.DUMMYFUNCTION("""COMPUTED_VALUE"""),"滿三年更換")</f>
        <v>滿三年更換</v>
      </c>
      <c r="D124" s="41" t="str">
        <f>IFERROR(__xludf.DUMMYFUNCTION("""COMPUTED_VALUE"""),"TW")</f>
        <v>TW</v>
      </c>
      <c r="E124" s="41"/>
      <c r="F124" s="41"/>
      <c r="G124" s="41"/>
      <c r="H124" s="41" t="str">
        <f>IFERROR(__xludf.DUMMYFUNCTION("""COMPUTED_VALUE"""),"客戶價值中心")</f>
        <v>客戶價值中心</v>
      </c>
      <c r="I124" s="41" t="str">
        <f>IFERROR(__xludf.DUMMYFUNCTION("""COMPUTED_VALUE"""),"資訊裝置")</f>
        <v>資訊裝置</v>
      </c>
      <c r="J124" s="41" t="str">
        <f>IFERROR(__xludf.DUMMYFUNCTION("""COMPUTED_VALUE"""),"AICHMP01912006")</f>
        <v>AICHMP01912006</v>
      </c>
      <c r="K124" s="41" t="str">
        <f>IFERROR(__xludf.DUMMYFUNCTION("""COMPUTED_VALUE"""),"Macbook Pro")</f>
        <v>Macbook Pro</v>
      </c>
      <c r="L124" s="41" t="str">
        <f>IFERROR(__xludf.DUMMYFUNCTION("""COMPUTED_VALUE"""),"FVFZT3ULL413")</f>
        <v>FVFZT3ULL413</v>
      </c>
      <c r="M124" s="41" t="str">
        <f>IFERROR(__xludf.DUMMYFUNCTION("""COMPUTED_VALUE"""),"梁方瑜")</f>
        <v>梁方瑜</v>
      </c>
      <c r="N124" s="66">
        <f>IFERROR(__xludf.DUMMYFUNCTION("""COMPUTED_VALUE"""),43824.0)</f>
        <v>43824</v>
      </c>
      <c r="O124" s="45">
        <f>IFERROR(__xludf.DUMMYFUNCTION("""COMPUTED_VALUE"""),44713.0)</f>
        <v>44713</v>
      </c>
      <c r="P124" s="41" t="str">
        <f>IFERROR(__xludf.DUMMYFUNCTION("""COMPUTED_VALUE"""),"資訊裝置")</f>
        <v>資訊裝置</v>
      </c>
      <c r="Q124" s="41">
        <f>IFERROR(__xludf.DUMMYFUNCTION("""COMPUTED_VALUE"""),36.0)</f>
        <v>36</v>
      </c>
      <c r="R124" s="41">
        <f>IFERROR(__xludf.DUMMYFUNCTION("""COMPUTED_VALUE"""),36.0)</f>
        <v>36</v>
      </c>
      <c r="S124" s="41" t="str">
        <f>IFERROR(__xludf.DUMMYFUNCTION("""COMPUTED_VALUE"""),"NT$44,713")</f>
        <v>NT$44,713</v>
      </c>
      <c r="T124" s="41" t="str">
        <f>IFERROR(__xludf.DUMMYFUNCTION("""COMPUTED_VALUE"""),"MBP13 (2019,Two Thunderbolt 3 ports) i5/16GBRAM")</f>
        <v>MBP13 (2019,Two Thunderbolt 3 ports) i5/16GBRAM</v>
      </c>
      <c r="U124" s="41"/>
      <c r="V124" s="41"/>
      <c r="W124" s="41"/>
      <c r="X124" s="45" t="str">
        <f>IFERROR(__xludf.DUMMYFUNCTION("""COMPUTED_VALUE"""),"")</f>
        <v/>
      </c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</row>
    <row r="125">
      <c r="B125" s="41"/>
      <c r="C125" s="41" t="str">
        <f>IFERROR(__xludf.DUMMYFUNCTION("""COMPUTED_VALUE"""),"滿三年更換")</f>
        <v>滿三年更換</v>
      </c>
      <c r="D125" s="41" t="str">
        <f>IFERROR(__xludf.DUMMYFUNCTION("""COMPUTED_VALUE"""),"TW")</f>
        <v>TW</v>
      </c>
      <c r="E125" s="41"/>
      <c r="F125" s="41"/>
      <c r="G125" s="41"/>
      <c r="H125" s="41" t="str">
        <f>IFERROR(__xludf.DUMMYFUNCTION("""COMPUTED_VALUE"""),"客戶價值中心")</f>
        <v>客戶價值中心</v>
      </c>
      <c r="I125" s="41" t="str">
        <f>IFERROR(__xludf.DUMMYFUNCTION("""COMPUTED_VALUE"""),"資訊裝置")</f>
        <v>資訊裝置</v>
      </c>
      <c r="J125" s="41" t="str">
        <f>IFERROR(__xludf.DUMMYFUNCTION("""COMPUTED_VALUE"""),"AICHMP02212056")</f>
        <v>AICHMP02212056</v>
      </c>
      <c r="K125" s="41" t="str">
        <f>IFERROR(__xludf.DUMMYFUNCTION("""COMPUTED_VALUE"""),"Macbook Pro")</f>
        <v>Macbook Pro</v>
      </c>
      <c r="L125" s="41" t="str">
        <f>IFERROR(__xludf.DUMMYFUNCTION("""COMPUTED_VALUE"""),"T0Y927VF2P")</f>
        <v>T0Y927VF2P</v>
      </c>
      <c r="M125" s="41" t="str">
        <f>IFERROR(__xludf.DUMMYFUNCTION("""COMPUTED_VALUE"""),"梁方瑜")</f>
        <v>梁方瑜</v>
      </c>
      <c r="N125" s="65">
        <f>IFERROR(__xludf.DUMMYFUNCTION("""COMPUTED_VALUE"""),44924.0)</f>
        <v>44924</v>
      </c>
      <c r="O125" s="45">
        <f>IFERROR(__xludf.DUMMYFUNCTION("""COMPUTED_VALUE"""),76200.0)</f>
        <v>76200</v>
      </c>
      <c r="P125" s="41" t="str">
        <f>IFERROR(__xludf.DUMMYFUNCTION("""COMPUTED_VALUE"""),"資訊裝置")</f>
        <v>資訊裝置</v>
      </c>
      <c r="Q125" s="41">
        <f>IFERROR(__xludf.DUMMYFUNCTION("""COMPUTED_VALUE"""),36.0)</f>
        <v>36</v>
      </c>
      <c r="R125" s="41">
        <f>IFERROR(__xludf.DUMMYFUNCTION("""COMPUTED_VALUE"""),34.0)</f>
        <v>34</v>
      </c>
      <c r="S125" s="41" t="str">
        <f>IFERROR(__xludf.DUMMYFUNCTION("""COMPUTED_VALUE"""),"NT$71,966")</f>
        <v>NT$71,966</v>
      </c>
      <c r="T125" s="41" t="str">
        <f>IFERROR(__xludf.DUMMYFUNCTION("""COMPUTED_VALUE"""),"A2442 MBP14(2021) M1Pro/32GBRAM/")</f>
        <v>A2442 MBP14(2021) M1Pro/32GBRAM/</v>
      </c>
      <c r="U125" s="41"/>
      <c r="V125" s="41"/>
      <c r="W125" s="41"/>
      <c r="X125" s="45" t="str">
        <f>IFERROR(__xludf.DUMMYFUNCTION("""COMPUTED_VALUE"""),"")</f>
        <v/>
      </c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</row>
    <row r="126">
      <c r="B126" s="41"/>
      <c r="C126" s="41" t="str">
        <f>IFERROR(__xludf.DUMMYFUNCTION("""COMPUTED_VALUE"""),"滿三年更換")</f>
        <v>滿三年更換</v>
      </c>
      <c r="D126" s="41" t="str">
        <f>IFERROR(__xludf.DUMMYFUNCTION("""COMPUTED_VALUE"""),"TW")</f>
        <v>TW</v>
      </c>
      <c r="E126" s="41"/>
      <c r="F126" s="41"/>
      <c r="G126" s="41"/>
      <c r="H126" s="41" t="str">
        <f>IFERROR(__xludf.DUMMYFUNCTION("""COMPUTED_VALUE"""),"客戶價值中心")</f>
        <v>客戶價值中心</v>
      </c>
      <c r="I126" s="41" t="str">
        <f>IFERROR(__xludf.DUMMYFUNCTION("""COMPUTED_VALUE"""),"資訊裝置")</f>
        <v>資訊裝置</v>
      </c>
      <c r="J126" s="41" t="str">
        <f>IFERROR(__xludf.DUMMYFUNCTION("""COMPUTED_VALUE"""),"AICHIP01901007")</f>
        <v>AICHIP01901007</v>
      </c>
      <c r="K126" s="41" t="str">
        <f>IFERROR(__xludf.DUMMYFUNCTION("""COMPUTED_VALUE"""),"iPad")</f>
        <v>iPad</v>
      </c>
      <c r="L126" s="41" t="str">
        <f>IFERROR(__xludf.DUMMYFUNCTION("""COMPUTED_VALUE"""),"DMPX978NJMVR")</f>
        <v>DMPX978NJMVR</v>
      </c>
      <c r="M126" s="41" t="str">
        <f>IFERROR(__xludf.DUMMYFUNCTION("""COMPUTED_VALUE"""),"梁方瑜")</f>
        <v>梁方瑜</v>
      </c>
      <c r="N126" s="65">
        <f>IFERROR(__xludf.DUMMYFUNCTION("""COMPUTED_VALUE"""),43490.0)</f>
        <v>43490</v>
      </c>
      <c r="O126" s="45">
        <f>IFERROR(__xludf.DUMMYFUNCTION("""COMPUTED_VALUE"""),9573.0)</f>
        <v>9573</v>
      </c>
      <c r="P126" s="41" t="str">
        <f>IFERROR(__xludf.DUMMYFUNCTION("""COMPUTED_VALUE"""),"資訊裝置")</f>
        <v>資訊裝置</v>
      </c>
      <c r="Q126" s="41">
        <f>IFERROR(__xludf.DUMMYFUNCTION("""COMPUTED_VALUE"""),36.0)</f>
        <v>36</v>
      </c>
      <c r="R126" s="41">
        <f>IFERROR(__xludf.DUMMYFUNCTION("""COMPUTED_VALUE"""),36.0)</f>
        <v>36</v>
      </c>
      <c r="S126" s="41" t="str">
        <f>IFERROR(__xludf.DUMMYFUNCTION("""COMPUTED_VALUE"""),"NT$9,573")</f>
        <v>NT$9,573</v>
      </c>
      <c r="T126" s="41" t="str">
        <f>IFERROR(__xludf.DUMMYFUNCTION("""COMPUTED_VALUE"""),"iPad (第六代) Wi-Fi 32GB(MRJN2TA/A)")</f>
        <v>iPad (第六代) Wi-Fi 32GB(MRJN2TA/A)</v>
      </c>
      <c r="U126" s="41"/>
      <c r="V126" s="41"/>
      <c r="W126" s="41"/>
      <c r="X126" s="45" t="str">
        <f>IFERROR(__xludf.DUMMYFUNCTION("""COMPUTED_VALUE"""),"")</f>
        <v/>
      </c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</row>
    <row r="127">
      <c r="B127" s="41"/>
      <c r="C127" s="41" t="str">
        <f>IFERROR(__xludf.DUMMYFUNCTION("""COMPUTED_VALUE"""),"滿三年更換")</f>
        <v>滿三年更換</v>
      </c>
      <c r="D127" s="41" t="str">
        <f>IFERROR(__xludf.DUMMYFUNCTION("""COMPUTED_VALUE"""),"TW")</f>
        <v>TW</v>
      </c>
      <c r="E127" s="41"/>
      <c r="F127" s="41"/>
      <c r="G127" s="41"/>
      <c r="H127" s="41" t="str">
        <f>IFERROR(__xludf.DUMMYFUNCTION("""COMPUTED_VALUE"""),"客戶價值中心")</f>
        <v>客戶價值中心</v>
      </c>
      <c r="I127" s="41" t="str">
        <f>IFERROR(__xludf.DUMMYFUNCTION("""COMPUTED_VALUE"""),"資訊裝置")</f>
        <v>資訊裝置</v>
      </c>
      <c r="J127" s="41" t="str">
        <f>IFERROR(__xludf.DUMMYFUNCTION("""COMPUTED_VALUE"""),"AICHMN02003066")</f>
        <v>AICHMN02003066</v>
      </c>
      <c r="K127" s="41" t="str">
        <f>IFERROR(__xludf.DUMMYFUNCTION("""COMPUTED_VALUE"""),"螢幕")</f>
        <v>螢幕</v>
      </c>
      <c r="L127" s="41" t="str">
        <f>IFERROR(__xludf.DUMMYFUNCTION("""COMPUTED_VALUE"""),"CN-07N2FG-TV100-98P-010L-A10")</f>
        <v>CN-07N2FG-TV100-98P-010L-A10</v>
      </c>
      <c r="M127" s="41" t="str">
        <f>IFERROR(__xludf.DUMMYFUNCTION("""COMPUTED_VALUE"""),"梁方瑜")</f>
        <v>梁方瑜</v>
      </c>
      <c r="N127" s="65">
        <f>IFERROR(__xludf.DUMMYFUNCTION("""COMPUTED_VALUE"""),43888.0)</f>
        <v>43888</v>
      </c>
      <c r="O127" s="41"/>
      <c r="P127" s="41" t="str">
        <f>IFERROR(__xludf.DUMMYFUNCTION("""COMPUTED_VALUE"""),"資訊裝置")</f>
        <v>資訊裝置</v>
      </c>
      <c r="Q127" s="41">
        <f>IFERROR(__xludf.DUMMYFUNCTION("""COMPUTED_VALUE"""),36.0)</f>
        <v>36</v>
      </c>
      <c r="R127" s="41">
        <f>IFERROR(__xludf.DUMMYFUNCTION("""COMPUTED_VALUE"""),36.0)</f>
        <v>36</v>
      </c>
      <c r="S127" s="41" t="str">
        <f>IFERROR(__xludf.DUMMYFUNCTION("""COMPUTED_VALUE"""),"NT$0")</f>
        <v>NT$0</v>
      </c>
      <c r="T127" s="41" t="str">
        <f>IFERROR(__xludf.DUMMYFUNCTION("""COMPUTED_VALUE"""),"Dell 24吋 U2412Mc")</f>
        <v>Dell 24吋 U2412Mc</v>
      </c>
      <c r="U127" s="41"/>
      <c r="V127" s="41"/>
      <c r="W127" s="41"/>
      <c r="X127" s="45" t="str">
        <f>IFERROR(__xludf.DUMMYFUNCTION("""COMPUTED_VALUE"""),"")</f>
        <v/>
      </c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</row>
    <row r="128">
      <c r="B128" s="41"/>
      <c r="C128" s="41" t="str">
        <f>IFERROR(__xludf.DUMMYFUNCTION("""COMPUTED_VALUE"""),"滿三年更換")</f>
        <v>滿三年更換</v>
      </c>
      <c r="D128" s="41" t="str">
        <f>IFERROR(__xludf.DUMMYFUNCTION("""COMPUTED_VALUE"""),"TW")</f>
        <v>TW</v>
      </c>
      <c r="E128" s="41"/>
      <c r="F128" s="41"/>
      <c r="G128" s="41"/>
      <c r="H128" s="41" t="str">
        <f>IFERROR(__xludf.DUMMYFUNCTION("""COMPUTED_VALUE"""),"客戶價值中心")</f>
        <v>客戶價值中心</v>
      </c>
      <c r="I128" s="41" t="str">
        <f>IFERROR(__xludf.DUMMYFUNCTION("""COMPUTED_VALUE"""),"資訊裝置")</f>
        <v>資訊裝置</v>
      </c>
      <c r="J128" s="41" t="str">
        <f>IFERROR(__xludf.DUMMYFUNCTION("""COMPUTED_VALUE"""),"AICHMN02009084")</f>
        <v>AICHMN02009084</v>
      </c>
      <c r="K128" s="41" t="str">
        <f>IFERROR(__xludf.DUMMYFUNCTION("""COMPUTED_VALUE"""),"螢幕")</f>
        <v>螢幕</v>
      </c>
      <c r="L128" s="41" t="str">
        <f>IFERROR(__xludf.DUMMYFUNCTION("""COMPUTED_VALUE"""),"CN-0Y2YF1-QDC00-06B-176L-A16")</f>
        <v>CN-0Y2YF1-QDC00-06B-176L-A16</v>
      </c>
      <c r="M128" s="41" t="str">
        <f>IFERROR(__xludf.DUMMYFUNCTION("""COMPUTED_VALUE"""),"梁方瑜")</f>
        <v>梁方瑜</v>
      </c>
      <c r="N128" s="65">
        <f>IFERROR(__xludf.DUMMYFUNCTION("""COMPUTED_VALUE"""),44081.0)</f>
        <v>44081</v>
      </c>
      <c r="O128" s="45">
        <f>IFERROR(__xludf.DUMMYFUNCTION("""COMPUTED_VALUE"""),9549.0)</f>
        <v>9549</v>
      </c>
      <c r="P128" s="41" t="str">
        <f>IFERROR(__xludf.DUMMYFUNCTION("""COMPUTED_VALUE"""),"資訊裝置")</f>
        <v>資訊裝置</v>
      </c>
      <c r="Q128" s="41">
        <f>IFERROR(__xludf.DUMMYFUNCTION("""COMPUTED_VALUE"""),36.0)</f>
        <v>36</v>
      </c>
      <c r="R128" s="41">
        <f>IFERROR(__xludf.DUMMYFUNCTION("""COMPUTED_VALUE"""),36.0)</f>
        <v>36</v>
      </c>
      <c r="S128" s="41" t="str">
        <f>IFERROR(__xludf.DUMMYFUNCTION("""COMPUTED_VALUE"""),"NT$9,549")</f>
        <v>NT$9,549</v>
      </c>
      <c r="T128" s="41" t="str">
        <f>IFERROR(__xludf.DUMMYFUNCTION("""COMPUTED_VALUE"""),"Dell 24吋 U2415")</f>
        <v>Dell 24吋 U2415</v>
      </c>
      <c r="U128" s="41"/>
      <c r="V128" s="41"/>
      <c r="W128" s="41"/>
      <c r="X128" s="45" t="str">
        <f>IFERROR(__xludf.DUMMYFUNCTION("""COMPUTED_VALUE"""),"")</f>
        <v/>
      </c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</row>
    <row r="129">
      <c r="B129" s="41"/>
      <c r="C129" s="41" t="str">
        <f>IFERROR(__xludf.DUMMYFUNCTION("""COMPUTED_VALUE"""),"滿三年更換")</f>
        <v>滿三年更換</v>
      </c>
      <c r="D129" s="41" t="str">
        <f>IFERROR(__xludf.DUMMYFUNCTION("""COMPUTED_VALUE"""),"TW")</f>
        <v>TW</v>
      </c>
      <c r="E129" s="41"/>
      <c r="F129" s="41"/>
      <c r="G129" s="41"/>
      <c r="H129" s="65" t="str">
        <f>IFERROR(__xludf.DUMMYFUNCTION("""COMPUTED_VALUE"""),"行銷營運中心:銷售營運部:銷售顧問團隊")</f>
        <v>行銷營運中心:銷售營運部:銷售顧問團隊</v>
      </c>
      <c r="I129" s="41" t="str">
        <f>IFERROR(__xludf.DUMMYFUNCTION("""COMPUTED_VALUE"""),"資訊裝置")</f>
        <v>資訊裝置</v>
      </c>
      <c r="J129" s="41" t="str">
        <f>IFERROR(__xludf.DUMMYFUNCTION("""COMPUTED_VALUE"""),"AICHMA02108040")</f>
        <v>AICHMA02108040</v>
      </c>
      <c r="K129" s="41" t="str">
        <f>IFERROR(__xludf.DUMMYFUNCTION("""COMPUTED_VALUE"""),"Macbook Air")</f>
        <v>Macbook Air</v>
      </c>
      <c r="L129" s="41" t="str">
        <f>IFERROR(__xludf.DUMMYFUNCTION("""COMPUTED_VALUE"""),"FVFG349CQ6L4")</f>
        <v>FVFG349CQ6L4</v>
      </c>
      <c r="M129" s="41" t="str">
        <f>IFERROR(__xludf.DUMMYFUNCTION("""COMPUTED_VALUE"""),"梁明凱")</f>
        <v>梁明凱</v>
      </c>
      <c r="N129" s="65">
        <f>IFERROR(__xludf.DUMMYFUNCTION("""COMPUTED_VALUE"""),44411.0)</f>
        <v>44411</v>
      </c>
      <c r="O129" s="45">
        <f>IFERROR(__xludf.DUMMYFUNCTION("""COMPUTED_VALUE"""),27663.0)</f>
        <v>27663</v>
      </c>
      <c r="P129" s="41" t="str">
        <f>IFERROR(__xludf.DUMMYFUNCTION("""COMPUTED_VALUE"""),"資訊裝置")</f>
        <v>資訊裝置</v>
      </c>
      <c r="Q129" s="41">
        <f>IFERROR(__xludf.DUMMYFUNCTION("""COMPUTED_VALUE"""),36.0)</f>
        <v>36</v>
      </c>
      <c r="R129" s="41">
        <f>IFERROR(__xludf.DUMMYFUNCTION("""COMPUTED_VALUE"""),36.0)</f>
        <v>36</v>
      </c>
      <c r="S129" s="41" t="str">
        <f>IFERROR(__xludf.DUMMYFUNCTION("""COMPUTED_VALUE"""),"NT$27,663")</f>
        <v>NT$27,663</v>
      </c>
      <c r="T129" s="41" t="str">
        <f>IFERROR(__xludf.DUMMYFUNCTION("""COMPUTED_VALUE"""),"MBA13 (2020) M1/8GBRAM/256GBSSD")</f>
        <v>MBA13 (2020) M1/8GBRAM/256GBSSD</v>
      </c>
      <c r="U129" s="41"/>
      <c r="V129" s="41"/>
      <c r="W129" s="41"/>
      <c r="X129" s="45" t="str">
        <f>IFERROR(__xludf.DUMMYFUNCTION("""COMPUTED_VALUE"""),"")</f>
        <v/>
      </c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</row>
    <row r="130">
      <c r="B130" s="41"/>
      <c r="C130" s="41" t="str">
        <f>IFERROR(__xludf.DUMMYFUNCTION("""COMPUTED_VALUE"""),"滿三年更換")</f>
        <v>滿三年更換</v>
      </c>
      <c r="D130" s="41" t="str">
        <f>IFERROR(__xludf.DUMMYFUNCTION("""COMPUTED_VALUE"""),"TW")</f>
        <v>TW</v>
      </c>
      <c r="E130" s="41"/>
      <c r="F130" s="41"/>
      <c r="G130" s="41"/>
      <c r="H130" s="65" t="str">
        <f>IFERROR(__xludf.DUMMYFUNCTION("""COMPUTED_VALUE"""),"行銷營運中心:銷售營運部:銷售顧問團隊")</f>
        <v>行銷營運中心:銷售營運部:銷售顧問團隊</v>
      </c>
      <c r="I130" s="41" t="str">
        <f>IFERROR(__xludf.DUMMYFUNCTION("""COMPUTED_VALUE"""),"資訊裝置")</f>
        <v>資訊裝置</v>
      </c>
      <c r="J130" s="41" t="str">
        <f>IFERROR(__xludf.DUMMYFUNCTION("""COMPUTED_VALUE"""),"AICHIP02107071")</f>
        <v>AICHIP02107071</v>
      </c>
      <c r="K130" s="41" t="str">
        <f>IFERROR(__xludf.DUMMYFUNCTION("""COMPUTED_VALUE"""),"iPad")</f>
        <v>iPad</v>
      </c>
      <c r="L130" s="41" t="str">
        <f>IFERROR(__xludf.DUMMYFUNCTION("""COMPUTED_VALUE"""),"F9FFVHGZQ1GF")</f>
        <v>F9FFVHGZQ1GF</v>
      </c>
      <c r="M130" s="41" t="str">
        <f>IFERROR(__xludf.DUMMYFUNCTION("""COMPUTED_VALUE"""),"梁明凱")</f>
        <v>梁明凱</v>
      </c>
      <c r="N130" s="65">
        <f>IFERROR(__xludf.DUMMYFUNCTION("""COMPUTED_VALUE"""),44400.0)</f>
        <v>44400</v>
      </c>
      <c r="O130" s="45">
        <f>IFERROR(__xludf.DUMMYFUNCTION("""COMPUTED_VALUE"""),9450.0)</f>
        <v>9450</v>
      </c>
      <c r="P130" s="41" t="str">
        <f>IFERROR(__xludf.DUMMYFUNCTION("""COMPUTED_VALUE"""),"資訊裝置")</f>
        <v>資訊裝置</v>
      </c>
      <c r="Q130" s="41">
        <f>IFERROR(__xludf.DUMMYFUNCTION("""COMPUTED_VALUE"""),36.0)</f>
        <v>36</v>
      </c>
      <c r="R130" s="41">
        <f>IFERROR(__xludf.DUMMYFUNCTION("""COMPUTED_VALUE"""),36.0)</f>
        <v>36</v>
      </c>
      <c r="S130" s="41" t="str">
        <f>IFERROR(__xludf.DUMMYFUNCTION("""COMPUTED_VALUE"""),"NT$9,450")</f>
        <v>NT$9,450</v>
      </c>
      <c r="T130" s="41" t="str">
        <f>IFERROR(__xludf.DUMMYFUNCTION("""COMPUTED_VALUE"""),"iPad (第八代) 32GB WIFI(MYLC2TA/A)")</f>
        <v>iPad (第八代) 32GB WIFI(MYLC2TA/A)</v>
      </c>
      <c r="U130" s="41"/>
      <c r="V130" s="41"/>
      <c r="W130" s="41"/>
      <c r="X130" s="45" t="str">
        <f>IFERROR(__xludf.DUMMYFUNCTION("""COMPUTED_VALUE"""),"")</f>
        <v/>
      </c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</row>
    <row r="131">
      <c r="B131" s="41"/>
      <c r="C131" s="41" t="str">
        <f>IFERROR(__xludf.DUMMYFUNCTION("""COMPUTED_VALUE"""),"滿三年更換")</f>
        <v>滿三年更換</v>
      </c>
      <c r="D131" s="41" t="str">
        <f>IFERROR(__xludf.DUMMYFUNCTION("""COMPUTED_VALUE"""),"TW")</f>
        <v>TW</v>
      </c>
      <c r="E131" s="41"/>
      <c r="F131" s="41"/>
      <c r="G131" s="41"/>
      <c r="H131" s="65" t="str">
        <f>IFERROR(__xludf.DUMMYFUNCTION("""COMPUTED_VALUE"""),"行銷營運中心:社群關係部:餐廳社群團隊")</f>
        <v>行銷營運中心:社群關係部:餐廳社群團隊</v>
      </c>
      <c r="I131" s="41" t="str">
        <f>IFERROR(__xludf.DUMMYFUNCTION("""COMPUTED_VALUE"""),"資訊裝置")</f>
        <v>資訊裝置</v>
      </c>
      <c r="J131" s="41" t="str">
        <f>IFERROR(__xludf.DUMMYFUNCTION("""COMPUTED_VALUE"""),"AICHMN02102096")</f>
        <v>AICHMN02102096</v>
      </c>
      <c r="K131" s="41" t="str">
        <f>IFERROR(__xludf.DUMMYFUNCTION("""COMPUTED_VALUE"""),"螢幕")</f>
        <v>螢幕</v>
      </c>
      <c r="L131" s="41" t="str">
        <f>IFERROR(__xludf.DUMMYFUNCTION("""COMPUTED_VALUE"""),"CN-0941GG-QDC00-0CL-5Z1B-A13")</f>
        <v>CN-0941GG-QDC00-0CL-5Z1B-A13</v>
      </c>
      <c r="M131" s="41" t="str">
        <f>IFERROR(__xludf.DUMMYFUNCTION("""COMPUTED_VALUE"""),"梁嘉穎")</f>
        <v>梁嘉穎</v>
      </c>
      <c r="N131" s="65">
        <f>IFERROR(__xludf.DUMMYFUNCTION("""COMPUTED_VALUE"""),44229.0)</f>
        <v>44229</v>
      </c>
      <c r="O131" s="41"/>
      <c r="P131" s="41" t="str">
        <f>IFERROR(__xludf.DUMMYFUNCTION("""COMPUTED_VALUE"""),"資訊裝置")</f>
        <v>資訊裝置</v>
      </c>
      <c r="Q131" s="41">
        <f>IFERROR(__xludf.DUMMYFUNCTION("""COMPUTED_VALUE"""),36.0)</f>
        <v>36</v>
      </c>
      <c r="R131" s="41">
        <f>IFERROR(__xludf.DUMMYFUNCTION("""COMPUTED_VALUE"""),36.0)</f>
        <v>36</v>
      </c>
      <c r="S131" s="41" t="str">
        <f>IFERROR(__xludf.DUMMYFUNCTION("""COMPUTED_VALUE"""),"NT$0")</f>
        <v>NT$0</v>
      </c>
      <c r="T131" s="41" t="str">
        <f>IFERROR(__xludf.DUMMYFUNCTION("""COMPUTED_VALUE"""),"Dell 24吋 P2419H")</f>
        <v>Dell 24吋 P2419H</v>
      </c>
      <c r="U131" s="41"/>
      <c r="V131" s="41"/>
      <c r="W131" s="41"/>
      <c r="X131" s="45" t="str">
        <f>IFERROR(__xludf.DUMMYFUNCTION("""COMPUTED_VALUE"""),"")</f>
        <v/>
      </c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</row>
    <row r="132">
      <c r="B132" s="41"/>
      <c r="C132" s="41" t="str">
        <f>IFERROR(__xludf.DUMMYFUNCTION("""COMPUTED_VALUE"""),"滿三年更換")</f>
        <v>滿三年更換</v>
      </c>
      <c r="D132" s="41" t="str">
        <f>IFERROR(__xludf.DUMMYFUNCTION("""COMPUTED_VALUE"""),"TW")</f>
        <v>TW</v>
      </c>
      <c r="E132" s="41"/>
      <c r="F132" s="41"/>
      <c r="G132" s="41"/>
      <c r="H132" s="65" t="str">
        <f>IFERROR(__xludf.DUMMYFUNCTION("""COMPUTED_VALUE"""),"研發中心:軟體工程部:IOS團隊")</f>
        <v>研發中心:軟體工程部:IOS團隊</v>
      </c>
      <c r="I132" s="41" t="str">
        <f>IFERROR(__xludf.DUMMYFUNCTION("""COMPUTED_VALUE"""),"資訊裝置")</f>
        <v>資訊裝置</v>
      </c>
      <c r="J132" s="41" t="str">
        <f>IFERROR(__xludf.DUMMYFUNCTION("""COMPUTED_VALUE"""),"AICHIP02008035")</f>
        <v>AICHIP02008035</v>
      </c>
      <c r="K132" s="41" t="str">
        <f>IFERROR(__xludf.DUMMYFUNCTION("""COMPUTED_VALUE"""),"iPad")</f>
        <v>iPad</v>
      </c>
      <c r="L132" s="41" t="str">
        <f>IFERROR(__xludf.DUMMYFUNCTION("""COMPUTED_VALUE"""),"DMPD3L03MF3P")</f>
        <v>DMPD3L03MF3P</v>
      </c>
      <c r="M132" s="41" t="str">
        <f>IFERROR(__xludf.DUMMYFUNCTION("""COMPUTED_VALUE"""),"莊承霖")</f>
        <v>莊承霖</v>
      </c>
      <c r="N132" s="65">
        <f>IFERROR(__xludf.DUMMYFUNCTION("""COMPUTED_VALUE"""),44074.0)</f>
        <v>44074</v>
      </c>
      <c r="O132" s="45">
        <f>IFERROR(__xludf.DUMMYFUNCTION("""COMPUTED_VALUE"""),9818.0)</f>
        <v>9818</v>
      </c>
      <c r="P132" s="41" t="str">
        <f>IFERROR(__xludf.DUMMYFUNCTION("""COMPUTED_VALUE"""),"資訊裝置")</f>
        <v>資訊裝置</v>
      </c>
      <c r="Q132" s="41">
        <f>IFERROR(__xludf.DUMMYFUNCTION("""COMPUTED_VALUE"""),36.0)</f>
        <v>36</v>
      </c>
      <c r="R132" s="41">
        <f>IFERROR(__xludf.DUMMYFUNCTION("""COMPUTED_VALUE"""),36.0)</f>
        <v>36</v>
      </c>
      <c r="S132" s="41" t="str">
        <f>IFERROR(__xludf.DUMMYFUNCTION("""COMPUTED_VALUE"""),"NT$9,818")</f>
        <v>NT$9,818</v>
      </c>
      <c r="T132" s="41" t="str">
        <f>IFERROR(__xludf.DUMMYFUNCTION("""COMPUTED_VALUE"""),"iPad (第七代) 32GB WIFI (MW762TA/A)")</f>
        <v>iPad (第七代) 32GB WIFI (MW762TA/A)</v>
      </c>
      <c r="U132" s="41"/>
      <c r="V132" s="41"/>
      <c r="W132" s="41"/>
      <c r="X132" s="45" t="str">
        <f>IFERROR(__xludf.DUMMYFUNCTION("""COMPUTED_VALUE"""),"")</f>
        <v/>
      </c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</row>
    <row r="133">
      <c r="B133" s="41"/>
      <c r="C133" s="41" t="str">
        <f>IFERROR(__xludf.DUMMYFUNCTION("""COMPUTED_VALUE"""),"滿三年更換")</f>
        <v>滿三年更換</v>
      </c>
      <c r="D133" s="41" t="str">
        <f>IFERROR(__xludf.DUMMYFUNCTION("""COMPUTED_VALUE"""),"TW")</f>
        <v>TW</v>
      </c>
      <c r="E133" s="41"/>
      <c r="F133" s="41"/>
      <c r="G133" s="41"/>
      <c r="H133" s="65" t="str">
        <f>IFERROR(__xludf.DUMMYFUNCTION("""COMPUTED_VALUE"""),"研發中心:軟體工程部:IOS團隊")</f>
        <v>研發中心:軟體工程部:IOS團隊</v>
      </c>
      <c r="I133" s="41" t="str">
        <f>IFERROR(__xludf.DUMMYFUNCTION("""COMPUTED_VALUE"""),"資訊裝置")</f>
        <v>資訊裝置</v>
      </c>
      <c r="J133" s="41" t="str">
        <f>IFERROR(__xludf.DUMMYFUNCTION("""COMPUTED_VALUE"""),"AICHMN01604025")</f>
        <v>AICHMN01604025</v>
      </c>
      <c r="K133" s="41" t="str">
        <f>IFERROR(__xludf.DUMMYFUNCTION("""COMPUTED_VALUE"""),"螢幕")</f>
        <v>螢幕</v>
      </c>
      <c r="L133" s="41" t="str">
        <f>IFERROR(__xludf.DUMMYFUNCTION("""COMPUTED_VALUE"""),"CN-0YR48V-74261-26O-1LDL")</f>
        <v>CN-0YR48V-74261-26O-1LDL</v>
      </c>
      <c r="M133" s="41" t="str">
        <f>IFERROR(__xludf.DUMMYFUNCTION("""COMPUTED_VALUE"""),"莊承霖")</f>
        <v>莊承霖</v>
      </c>
      <c r="N133" s="65">
        <f>IFERROR(__xludf.DUMMYFUNCTION("""COMPUTED_VALUE"""),42468.0)</f>
        <v>42468</v>
      </c>
      <c r="O133" s="41"/>
      <c r="P133" s="41" t="str">
        <f>IFERROR(__xludf.DUMMYFUNCTION("""COMPUTED_VALUE"""),"資訊裝置")</f>
        <v>資訊裝置</v>
      </c>
      <c r="Q133" s="41">
        <f>IFERROR(__xludf.DUMMYFUNCTION("""COMPUTED_VALUE"""),36.0)</f>
        <v>36</v>
      </c>
      <c r="R133" s="41">
        <f>IFERROR(__xludf.DUMMYFUNCTION("""COMPUTED_VALUE"""),36.0)</f>
        <v>36</v>
      </c>
      <c r="S133" s="41" t="str">
        <f>IFERROR(__xludf.DUMMYFUNCTION("""COMPUTED_VALUE"""),"NT$0")</f>
        <v>NT$0</v>
      </c>
      <c r="T133" s="41" t="str">
        <f>IFERROR(__xludf.DUMMYFUNCTION("""COMPUTED_VALUE"""),"Dell 24吋 U2412Mb")</f>
        <v>Dell 24吋 U2412Mb</v>
      </c>
      <c r="U133" s="41"/>
      <c r="V133" s="41"/>
      <c r="W133" s="41"/>
      <c r="X133" s="45" t="str">
        <f>IFERROR(__xludf.DUMMYFUNCTION("""COMPUTED_VALUE"""),"")</f>
        <v/>
      </c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</row>
    <row r="134">
      <c r="B134" s="41"/>
      <c r="C134" s="41" t="str">
        <f>IFERROR(__xludf.DUMMYFUNCTION("""COMPUTED_VALUE"""),"滿三年更換")</f>
        <v>滿三年更換</v>
      </c>
      <c r="D134" s="41" t="str">
        <f>IFERROR(__xludf.DUMMYFUNCTION("""COMPUTED_VALUE"""),"TW")</f>
        <v>TW</v>
      </c>
      <c r="E134" s="41"/>
      <c r="F134" s="41"/>
      <c r="G134" s="41"/>
      <c r="H134" s="65" t="str">
        <f>IFERROR(__xludf.DUMMYFUNCTION("""COMPUTED_VALUE"""),"研發中心:軟體工程部:IOS團隊")</f>
        <v>研發中心:軟體工程部:IOS團隊</v>
      </c>
      <c r="I134" s="41" t="str">
        <f>IFERROR(__xludf.DUMMYFUNCTION("""COMPUTED_VALUE"""),"資訊裝置")</f>
        <v>資訊裝置</v>
      </c>
      <c r="J134" s="41" t="str">
        <f>IFERROR(__xludf.DUMMYFUNCTION("""COMPUTED_VALUE"""),"AICHMN02009080")</f>
        <v>AICHMN02009080</v>
      </c>
      <c r="K134" s="41" t="str">
        <f>IFERROR(__xludf.DUMMYFUNCTION("""COMPUTED_VALUE"""),"螢幕")</f>
        <v>螢幕</v>
      </c>
      <c r="L134" s="41" t="str">
        <f>IFERROR(__xludf.DUMMYFUNCTION("""COMPUTED_VALUE"""),"CN-0Y2YF1-QDC00-06L-1G6U-A16")</f>
        <v>CN-0Y2YF1-QDC00-06L-1G6U-A16</v>
      </c>
      <c r="M134" s="41" t="str">
        <f>IFERROR(__xludf.DUMMYFUNCTION("""COMPUTED_VALUE"""),"莊承霖")</f>
        <v>莊承霖</v>
      </c>
      <c r="N134" s="65">
        <f>IFERROR(__xludf.DUMMYFUNCTION("""COMPUTED_VALUE"""),44081.0)</f>
        <v>44081</v>
      </c>
      <c r="O134" s="41"/>
      <c r="P134" s="41" t="str">
        <f>IFERROR(__xludf.DUMMYFUNCTION("""COMPUTED_VALUE"""),"資訊裝置")</f>
        <v>資訊裝置</v>
      </c>
      <c r="Q134" s="41">
        <f>IFERROR(__xludf.DUMMYFUNCTION("""COMPUTED_VALUE"""),36.0)</f>
        <v>36</v>
      </c>
      <c r="R134" s="41">
        <f>IFERROR(__xludf.DUMMYFUNCTION("""COMPUTED_VALUE"""),36.0)</f>
        <v>36</v>
      </c>
      <c r="S134" s="41" t="str">
        <f>IFERROR(__xludf.DUMMYFUNCTION("""COMPUTED_VALUE"""),"NT$0")</f>
        <v>NT$0</v>
      </c>
      <c r="T134" s="41" t="str">
        <f>IFERROR(__xludf.DUMMYFUNCTION("""COMPUTED_VALUE"""),"Dell 24吋 U2415")</f>
        <v>Dell 24吋 U2415</v>
      </c>
      <c r="U134" s="41"/>
      <c r="V134" s="41"/>
      <c r="W134" s="41"/>
      <c r="X134" s="45" t="str">
        <f>IFERROR(__xludf.DUMMYFUNCTION("""COMPUTED_VALUE"""),"")</f>
        <v/>
      </c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</row>
    <row r="135">
      <c r="B135" s="41"/>
      <c r="C135" s="41" t="str">
        <f>IFERROR(__xludf.DUMMYFUNCTION("""COMPUTED_VALUE"""),"滿三年更換")</f>
        <v>滿三年更換</v>
      </c>
      <c r="D135" s="41" t="str">
        <f>IFERROR(__xludf.DUMMYFUNCTION("""COMPUTED_VALUE"""),"TW")</f>
        <v>TW</v>
      </c>
      <c r="E135" s="41"/>
      <c r="F135" s="41"/>
      <c r="G135" s="41"/>
      <c r="H135" s="65" t="str">
        <f>IFERROR(__xludf.DUMMYFUNCTION("""COMPUTED_VALUE"""),"客戶價值中心:客戶關係管理部:續約管理團隊")</f>
        <v>客戶價值中心:客戶關係管理部:續約管理團隊</v>
      </c>
      <c r="I135" s="41" t="str">
        <f>IFERROR(__xludf.DUMMYFUNCTION("""COMPUTED_VALUE"""),"資訊裝置")</f>
        <v>資訊裝置</v>
      </c>
      <c r="J135" s="41" t="str">
        <f>IFERROR(__xludf.DUMMYFUNCTION("""COMPUTED_VALUE"""),"AICHMN01604001")</f>
        <v>AICHMN01604001</v>
      </c>
      <c r="K135" s="41" t="str">
        <f>IFERROR(__xludf.DUMMYFUNCTION("""COMPUTED_VALUE"""),"螢幕")</f>
        <v>螢幕</v>
      </c>
      <c r="L135" s="41" t="str">
        <f>IFERROR(__xludf.DUMMYFUNCTION("""COMPUTED_VALUE"""),"CN-03W9XD-74261-472-346L")</f>
        <v>CN-03W9XD-74261-472-346L</v>
      </c>
      <c r="M135" s="41" t="str">
        <f>IFERROR(__xludf.DUMMYFUNCTION("""COMPUTED_VALUE"""),"莊媁晨")</f>
        <v>莊媁晨</v>
      </c>
      <c r="N135" s="65">
        <f>IFERROR(__xludf.DUMMYFUNCTION("""COMPUTED_VALUE"""),42468.0)</f>
        <v>42468</v>
      </c>
      <c r="O135" s="41"/>
      <c r="P135" s="41" t="str">
        <f>IFERROR(__xludf.DUMMYFUNCTION("""COMPUTED_VALUE"""),"資訊裝置")</f>
        <v>資訊裝置</v>
      </c>
      <c r="Q135" s="41">
        <f>IFERROR(__xludf.DUMMYFUNCTION("""COMPUTED_VALUE"""),36.0)</f>
        <v>36</v>
      </c>
      <c r="R135" s="41">
        <f>IFERROR(__xludf.DUMMYFUNCTION("""COMPUTED_VALUE"""),36.0)</f>
        <v>36</v>
      </c>
      <c r="S135" s="41" t="str">
        <f>IFERROR(__xludf.DUMMYFUNCTION("""COMPUTED_VALUE"""),"NT$0")</f>
        <v>NT$0</v>
      </c>
      <c r="T135" s="41" t="str">
        <f>IFERROR(__xludf.DUMMYFUNCTION("""COMPUTED_VALUE"""),"Dell 24吋 U2412Mb")</f>
        <v>Dell 24吋 U2412Mb</v>
      </c>
      <c r="U135" s="41"/>
      <c r="V135" s="41"/>
      <c r="W135" s="41"/>
      <c r="X135" s="45" t="str">
        <f>IFERROR(__xludf.DUMMYFUNCTION("""COMPUTED_VALUE"""),"")</f>
        <v/>
      </c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</row>
    <row r="136">
      <c r="B136" s="41"/>
      <c r="C136" s="41" t="str">
        <f>IFERROR(__xludf.DUMMYFUNCTION("""COMPUTED_VALUE"""),"滿三年更換")</f>
        <v>滿三年更換</v>
      </c>
      <c r="D136" s="41" t="str">
        <f>IFERROR(__xludf.DUMMYFUNCTION("""COMPUTED_VALUE"""),"TW")</f>
        <v>TW</v>
      </c>
      <c r="E136" s="41"/>
      <c r="F136" s="41"/>
      <c r="G136" s="41"/>
      <c r="H136" s="65" t="str">
        <f>IFERROR(__xludf.DUMMYFUNCTION("""COMPUTED_VALUE"""),"研發中心:軟體工程部:後端團隊")</f>
        <v>研發中心:軟體工程部:後端團隊</v>
      </c>
      <c r="I136" s="41" t="str">
        <f>IFERROR(__xludf.DUMMYFUNCTION("""COMPUTED_VALUE"""),"資訊裝置")</f>
        <v>資訊裝置</v>
      </c>
      <c r="J136" s="41" t="str">
        <f>IFERROR(__xludf.DUMMYFUNCTION("""COMPUTED_VALUE"""),"AICHMP02201042")</f>
        <v>AICHMP02201042</v>
      </c>
      <c r="K136" s="41" t="str">
        <f>IFERROR(__xludf.DUMMYFUNCTION("""COMPUTED_VALUE"""),"Macbook Pro")</f>
        <v>Macbook Pro</v>
      </c>
      <c r="L136" s="41" t="str">
        <f>IFERROR(__xludf.DUMMYFUNCTION("""COMPUTED_VALUE"""),"YJWV3T7KV1")</f>
        <v>YJWV3T7KV1</v>
      </c>
      <c r="M136" s="41" t="str">
        <f>IFERROR(__xludf.DUMMYFUNCTION("""COMPUTED_VALUE"""),"許雲翔")</f>
        <v>許雲翔</v>
      </c>
      <c r="N136" s="65">
        <f>IFERROR(__xludf.DUMMYFUNCTION("""COMPUTED_VALUE"""),44587.0)</f>
        <v>44587</v>
      </c>
      <c r="O136" s="45">
        <f>IFERROR(__xludf.DUMMYFUNCTION("""COMPUTED_VALUE"""),81400.0)</f>
        <v>81400</v>
      </c>
      <c r="P136" s="41" t="str">
        <f>IFERROR(__xludf.DUMMYFUNCTION("""COMPUTED_VALUE"""),"資訊裝置")</f>
        <v>資訊裝置</v>
      </c>
      <c r="Q136" s="41">
        <f>IFERROR(__xludf.DUMMYFUNCTION("""COMPUTED_VALUE"""),36.0)</f>
        <v>36</v>
      </c>
      <c r="R136" s="41">
        <f>IFERROR(__xludf.DUMMYFUNCTION("""COMPUTED_VALUE"""),36.0)</f>
        <v>36</v>
      </c>
      <c r="S136" s="41" t="str">
        <f>IFERROR(__xludf.DUMMYFUNCTION("""COMPUTED_VALUE"""),"NT$81,400")</f>
        <v>NT$81,400</v>
      </c>
      <c r="T136" s="41" t="str">
        <f>IFERROR(__xludf.DUMMYFUNCTION("""COMPUTED_VALUE"""),"A2483 MBP16 (2021) M1MAX/32GBRAM/512GBSSD")</f>
        <v>A2483 MBP16 (2021) M1MAX/32GBRAM/512GBSSD</v>
      </c>
      <c r="U136" s="41"/>
      <c r="V136" s="41"/>
      <c r="W136" s="41"/>
      <c r="X136" s="45" t="str">
        <f>IFERROR(__xludf.DUMMYFUNCTION("""COMPUTED_VALUE"""),"")</f>
        <v/>
      </c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</row>
    <row r="137">
      <c r="B137" s="41"/>
      <c r="C137" s="41" t="str">
        <f>IFERROR(__xludf.DUMMYFUNCTION("""COMPUTED_VALUE"""),"滿三年更換")</f>
        <v>滿三年更換</v>
      </c>
      <c r="D137" s="41" t="str">
        <f>IFERROR(__xludf.DUMMYFUNCTION("""COMPUTED_VALUE"""),"TW")</f>
        <v>TW</v>
      </c>
      <c r="E137" s="41"/>
      <c r="F137" s="41"/>
      <c r="G137" s="41"/>
      <c r="H137" s="65" t="str">
        <f>IFERROR(__xludf.DUMMYFUNCTION("""COMPUTED_VALUE"""),"研發中心:軟體工程部:後端團隊")</f>
        <v>研發中心:軟體工程部:後端團隊</v>
      </c>
      <c r="I137" s="41" t="str">
        <f>IFERROR(__xludf.DUMMYFUNCTION("""COMPUTED_VALUE"""),"資訊裝置")</f>
        <v>資訊裝置</v>
      </c>
      <c r="J137" s="41" t="str">
        <f>IFERROR(__xludf.DUMMYFUNCTION("""COMPUTED_VALUE"""),"AICHMN02010085")</f>
        <v>AICHMN02010085</v>
      </c>
      <c r="K137" s="41" t="str">
        <f>IFERROR(__xludf.DUMMYFUNCTION("""COMPUTED_VALUE"""),"螢幕")</f>
        <v>螢幕</v>
      </c>
      <c r="L137" s="41" t="str">
        <f>IFERROR(__xludf.DUMMYFUNCTION("""COMPUTED_VALUE"""),"CN-0CYKT7-WSL00-09F-DDAW-A09")</f>
        <v>CN-0CYKT7-WSL00-09F-DDAW-A09</v>
      </c>
      <c r="M137" s="41" t="str">
        <f>IFERROR(__xludf.DUMMYFUNCTION("""COMPUTED_VALUE"""),"許雲翔")</f>
        <v>許雲翔</v>
      </c>
      <c r="N137" s="66">
        <f>IFERROR(__xludf.DUMMYFUNCTION("""COMPUTED_VALUE"""),44180.0)</f>
        <v>44180</v>
      </c>
      <c r="O137" s="45">
        <f>IFERROR(__xludf.DUMMYFUNCTION("""COMPUTED_VALUE"""),29710.0)</f>
        <v>29710</v>
      </c>
      <c r="P137" s="41" t="str">
        <f>IFERROR(__xludf.DUMMYFUNCTION("""COMPUTED_VALUE"""),"資訊裝置")</f>
        <v>資訊裝置</v>
      </c>
      <c r="Q137" s="41">
        <f>IFERROR(__xludf.DUMMYFUNCTION("""COMPUTED_VALUE"""),36.0)</f>
        <v>36</v>
      </c>
      <c r="R137" s="41">
        <f>IFERROR(__xludf.DUMMYFUNCTION("""COMPUTED_VALUE"""),36.0)</f>
        <v>36</v>
      </c>
      <c r="S137" s="41" t="str">
        <f>IFERROR(__xludf.DUMMYFUNCTION("""COMPUTED_VALUE"""),"NT$29,710")</f>
        <v>NT$29,710</v>
      </c>
      <c r="T137" s="41" t="str">
        <f>IFERROR(__xludf.DUMMYFUNCTION("""COMPUTED_VALUE"""),"Dell 24吋 U2419H")</f>
        <v>Dell 24吋 U2419H</v>
      </c>
      <c r="U137" s="41"/>
      <c r="V137" s="41"/>
      <c r="W137" s="41"/>
      <c r="X137" s="45" t="str">
        <f>IFERROR(__xludf.DUMMYFUNCTION("""COMPUTED_VALUE"""),"")</f>
        <v/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</row>
    <row r="138">
      <c r="B138" s="41"/>
      <c r="C138" s="41" t="str">
        <f>IFERROR(__xludf.DUMMYFUNCTION("""COMPUTED_VALUE"""),"滿三年更換")</f>
        <v>滿三年更換</v>
      </c>
      <c r="D138" s="41" t="str">
        <f>IFERROR(__xludf.DUMMYFUNCTION("""COMPUTED_VALUE"""),"TW")</f>
        <v>TW</v>
      </c>
      <c r="E138" s="41"/>
      <c r="F138" s="41"/>
      <c r="G138" s="41"/>
      <c r="H138" s="41" t="str">
        <f>IFERROR(__xludf.DUMMYFUNCTION("""COMPUTED_VALUE"""),"執行長室:執行長室")</f>
        <v>執行長室:執行長室</v>
      </c>
      <c r="I138" s="41" t="str">
        <f>IFERROR(__xludf.DUMMYFUNCTION("""COMPUTED_VALUE"""),"資訊裝置")</f>
        <v>資訊裝置</v>
      </c>
      <c r="J138" s="41" t="str">
        <f>IFERROR(__xludf.DUMMYFUNCTION("""COMPUTED_VALUE"""),"AICHMN01904057")</f>
        <v>AICHMN01904057</v>
      </c>
      <c r="K138" s="41" t="str">
        <f>IFERROR(__xludf.DUMMYFUNCTION("""COMPUTED_VALUE"""),"螢幕")</f>
        <v>螢幕</v>
      </c>
      <c r="L138" s="41" t="str">
        <f>IFERROR(__xludf.DUMMYFUNCTION("""COMPUTED_VALUE"""),"CN-07N2FG-TV100-87P-018B-A07")</f>
        <v>CN-07N2FG-TV100-87P-018B-A07</v>
      </c>
      <c r="M138" s="41" t="str">
        <f>IFERROR(__xludf.DUMMYFUNCTION("""COMPUTED_VALUE"""),"郭力綸")</f>
        <v>郭力綸</v>
      </c>
      <c r="N138" s="65">
        <f>IFERROR(__xludf.DUMMYFUNCTION("""COMPUTED_VALUE"""),43523.0)</f>
        <v>43523</v>
      </c>
      <c r="O138" s="45">
        <f>IFERROR(__xludf.DUMMYFUNCTION("""COMPUTED_VALUE"""),11409.0)</f>
        <v>11409</v>
      </c>
      <c r="P138" s="41" t="str">
        <f>IFERROR(__xludf.DUMMYFUNCTION("""COMPUTED_VALUE"""),"資訊裝置")</f>
        <v>資訊裝置</v>
      </c>
      <c r="Q138" s="41">
        <f>IFERROR(__xludf.DUMMYFUNCTION("""COMPUTED_VALUE"""),36.0)</f>
        <v>36</v>
      </c>
      <c r="R138" s="41">
        <f>IFERROR(__xludf.DUMMYFUNCTION("""COMPUTED_VALUE"""),36.0)</f>
        <v>36</v>
      </c>
      <c r="S138" s="41" t="str">
        <f>IFERROR(__xludf.DUMMYFUNCTION("""COMPUTED_VALUE"""),"NT$11,409")</f>
        <v>NT$11,409</v>
      </c>
      <c r="T138" s="41" t="str">
        <f>IFERROR(__xludf.DUMMYFUNCTION("""COMPUTED_VALUE"""),"Dell 24吋 U2412Mc")</f>
        <v>Dell 24吋 U2412Mc</v>
      </c>
      <c r="U138" s="41"/>
      <c r="V138" s="41"/>
      <c r="W138" s="41"/>
      <c r="X138" s="45" t="str">
        <f>IFERROR(__xludf.DUMMYFUNCTION("""COMPUTED_VALUE"""),"")</f>
        <v/>
      </c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</row>
    <row r="139">
      <c r="B139" s="41"/>
      <c r="C139" s="41" t="str">
        <f>IFERROR(__xludf.DUMMYFUNCTION("""COMPUTED_VALUE"""),"滿三年更換")</f>
        <v>滿三年更換</v>
      </c>
      <c r="D139" s="41" t="str">
        <f>IFERROR(__xludf.DUMMYFUNCTION("""COMPUTED_VALUE"""),"TW")</f>
        <v>TW</v>
      </c>
      <c r="E139" s="41"/>
      <c r="F139" s="41"/>
      <c r="G139" s="41"/>
      <c r="H139" s="65" t="str">
        <f>IFERROR(__xludf.DUMMYFUNCTION("""COMPUTED_VALUE"""),"研發中心:軟體工程部:QE團隊")</f>
        <v>研發中心:軟體工程部:QE團隊</v>
      </c>
      <c r="I139" s="41" t="str">
        <f>IFERROR(__xludf.DUMMYFUNCTION("""COMPUTED_VALUE"""),"資訊裝置")</f>
        <v>資訊裝置</v>
      </c>
      <c r="J139" s="41" t="str">
        <f>IFERROR(__xludf.DUMMYFUNCTION("""COMPUTED_VALUE"""),"AICHMP02210052")</f>
        <v>AICHMP02210052</v>
      </c>
      <c r="K139" s="41" t="str">
        <f>IFERROR(__xludf.DUMMYFUNCTION("""COMPUTED_VALUE"""),"Macbook Pro")</f>
        <v>Macbook Pro</v>
      </c>
      <c r="L139" s="41" t="str">
        <f>IFERROR(__xludf.DUMMYFUNCTION("""COMPUTED_VALUE"""),"CW9G93FKQR")</f>
        <v>CW9G93FKQR</v>
      </c>
      <c r="M139" s="41" t="str">
        <f>IFERROR(__xludf.DUMMYFUNCTION("""COMPUTED_VALUE"""),"郭哲宇")</f>
        <v>郭哲宇</v>
      </c>
      <c r="N139" s="65">
        <f>IFERROR(__xludf.DUMMYFUNCTION("""COMPUTED_VALUE"""),44859.0)</f>
        <v>44859</v>
      </c>
      <c r="O139" s="45">
        <f>IFERROR(__xludf.DUMMYFUNCTION("""COMPUTED_VALUE"""),81450.0)</f>
        <v>81450</v>
      </c>
      <c r="P139" s="41" t="str">
        <f>IFERROR(__xludf.DUMMYFUNCTION("""COMPUTED_VALUE"""),"資訊裝置")</f>
        <v>資訊裝置</v>
      </c>
      <c r="Q139" s="41">
        <f>IFERROR(__xludf.DUMMYFUNCTION("""COMPUTED_VALUE"""),36.0)</f>
        <v>36</v>
      </c>
      <c r="R139" s="41">
        <f>IFERROR(__xludf.DUMMYFUNCTION("""COMPUTED_VALUE"""),36.0)</f>
        <v>36</v>
      </c>
      <c r="S139" s="41" t="str">
        <f>IFERROR(__xludf.DUMMYFUNCTION("""COMPUTED_VALUE"""),"NT$81,450")</f>
        <v>NT$81,450</v>
      </c>
      <c r="T139" s="41" t="str">
        <f>IFERROR(__xludf.DUMMYFUNCTION("""COMPUTED_VALUE"""),"MBP14 (2021)  M1Max/32GB/1TBSSD")</f>
        <v>MBP14 (2021)  M1Max/32GB/1TBSSD</v>
      </c>
      <c r="U139" s="41"/>
      <c r="V139" s="41"/>
      <c r="W139" s="41"/>
      <c r="X139" s="45" t="str">
        <f>IFERROR(__xludf.DUMMYFUNCTION("""COMPUTED_VALUE"""),"")</f>
        <v/>
      </c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</row>
    <row r="140">
      <c r="B140" s="41"/>
      <c r="C140" s="41" t="str">
        <f>IFERROR(__xludf.DUMMYFUNCTION("""COMPUTED_VALUE"""),"滿三年更換")</f>
        <v>滿三年更換</v>
      </c>
      <c r="D140" s="41" t="str">
        <f>IFERROR(__xludf.DUMMYFUNCTION("""COMPUTED_VALUE"""),"TW")</f>
        <v>TW</v>
      </c>
      <c r="E140" s="41"/>
      <c r="F140" s="41"/>
      <c r="G140" s="41"/>
      <c r="H140" s="65" t="str">
        <f>IFERROR(__xludf.DUMMYFUNCTION("""COMPUTED_VALUE"""),"研發中心:軟體工程部:QE團隊")</f>
        <v>研發中心:軟體工程部:QE團隊</v>
      </c>
      <c r="I140" s="41" t="str">
        <f>IFERROR(__xludf.DUMMYFUNCTION("""COMPUTED_VALUE"""),"資訊裝置")</f>
        <v>資訊裝置</v>
      </c>
      <c r="J140" s="41" t="str">
        <f>IFERROR(__xludf.DUMMYFUNCTION("""COMPUTED_VALUE"""),"AICHIP02101045")</f>
        <v>AICHIP02101045</v>
      </c>
      <c r="K140" s="41" t="str">
        <f>IFERROR(__xludf.DUMMYFUNCTION("""COMPUTED_VALUE"""),"iPad mini")</f>
        <v>iPad mini</v>
      </c>
      <c r="L140" s="41" t="str">
        <f>IFERROR(__xludf.DUMMYFUNCTION("""COMPUTED_VALUE"""),"DMPDXGDALM93")</f>
        <v>DMPDXGDALM93</v>
      </c>
      <c r="M140" s="41" t="str">
        <f>IFERROR(__xludf.DUMMYFUNCTION("""COMPUTED_VALUE"""),"郭哲宇")</f>
        <v>郭哲宇</v>
      </c>
      <c r="N140" s="65">
        <f>IFERROR(__xludf.DUMMYFUNCTION("""COMPUTED_VALUE"""),44215.0)</f>
        <v>44215</v>
      </c>
      <c r="O140" s="45">
        <f>IFERROR(__xludf.DUMMYFUNCTION("""COMPUTED_VALUE"""),40300.0)</f>
        <v>40300</v>
      </c>
      <c r="P140" s="41" t="str">
        <f>IFERROR(__xludf.DUMMYFUNCTION("""COMPUTED_VALUE"""),"資訊裝置")</f>
        <v>資訊裝置</v>
      </c>
      <c r="Q140" s="41">
        <f>IFERROR(__xludf.DUMMYFUNCTION("""COMPUTED_VALUE"""),36.0)</f>
        <v>36</v>
      </c>
      <c r="R140" s="41">
        <f>IFERROR(__xludf.DUMMYFUNCTION("""COMPUTED_VALUE"""),36.0)</f>
        <v>36</v>
      </c>
      <c r="S140" s="41" t="str">
        <f>IFERROR(__xludf.DUMMYFUNCTION("""COMPUTED_VALUE"""),"NT$40,300")</f>
        <v>NT$40,300</v>
      </c>
      <c r="T140" s="41" t="str">
        <f>IFERROR(__xludf.DUMMYFUNCTION("""COMPUTED_VALUE"""),"iPad (第五代) 64GB (MUQW2A/A)")</f>
        <v>iPad (第五代) 64GB (MUQW2A/A)</v>
      </c>
      <c r="U140" s="41"/>
      <c r="V140" s="41"/>
      <c r="W140" s="41"/>
      <c r="X140" s="45" t="str">
        <f>IFERROR(__xludf.DUMMYFUNCTION("""COMPUTED_VALUE"""),"")</f>
        <v/>
      </c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</row>
    <row r="141">
      <c r="B141" s="41"/>
      <c r="C141" s="41" t="str">
        <f>IFERROR(__xludf.DUMMYFUNCTION("""COMPUTED_VALUE"""),"滿三年更換")</f>
        <v>滿三年更換</v>
      </c>
      <c r="D141" s="41" t="str">
        <f>IFERROR(__xludf.DUMMYFUNCTION("""COMPUTED_VALUE"""),"TW")</f>
        <v>TW</v>
      </c>
      <c r="E141" s="41"/>
      <c r="F141" s="41"/>
      <c r="G141" s="41"/>
      <c r="H141" s="65" t="str">
        <f>IFERROR(__xludf.DUMMYFUNCTION("""COMPUTED_VALUE"""),"研發中心:軟體工程部:QE團隊")</f>
        <v>研發中心:軟體工程部:QE團隊</v>
      </c>
      <c r="I141" s="41" t="str">
        <f>IFERROR(__xludf.DUMMYFUNCTION("""COMPUTED_VALUE"""),"資訊裝置")</f>
        <v>資訊裝置</v>
      </c>
      <c r="J141" s="41" t="str">
        <f>IFERROR(__xludf.DUMMYFUNCTION("""COMPUTED_VALUE"""),"AICHIP02302088")</f>
        <v>AICHIP02302088</v>
      </c>
      <c r="K141" s="41" t="str">
        <f>IFERROR(__xludf.DUMMYFUNCTION("""COMPUTED_VALUE"""),"iPad 10")</f>
        <v>iPad 10</v>
      </c>
      <c r="L141" s="41" t="str">
        <f>IFERROR(__xludf.DUMMYFUNCTION("""COMPUTED_VALUE"""),"DQYGVK7FJY")</f>
        <v>DQYGVK7FJY</v>
      </c>
      <c r="M141" s="41" t="str">
        <f>IFERROR(__xludf.DUMMYFUNCTION("""COMPUTED_VALUE"""),"郭哲宇")</f>
        <v>郭哲宇</v>
      </c>
      <c r="N141" s="65">
        <f>IFERROR(__xludf.DUMMYFUNCTION("""COMPUTED_VALUE"""),44959.0)</f>
        <v>44959</v>
      </c>
      <c r="O141" s="45">
        <f>IFERROR(__xludf.DUMMYFUNCTION("""COMPUTED_VALUE"""),13190.0)</f>
        <v>13190</v>
      </c>
      <c r="P141" s="41" t="str">
        <f>IFERROR(__xludf.DUMMYFUNCTION("""COMPUTED_VALUE"""),"資訊裝置")</f>
        <v>資訊裝置</v>
      </c>
      <c r="Q141" s="41">
        <f>IFERROR(__xludf.DUMMYFUNCTION("""COMPUTED_VALUE"""),36.0)</f>
        <v>36</v>
      </c>
      <c r="R141" s="41">
        <f>IFERROR(__xludf.DUMMYFUNCTION("""COMPUTED_VALUE"""),33.0)</f>
        <v>33</v>
      </c>
      <c r="S141" s="41" t="str">
        <f>IFERROR(__xludf.DUMMYFUNCTION("""COMPUTED_VALUE"""),"NT$12,092")</f>
        <v>NT$12,092</v>
      </c>
      <c r="T141" s="41" t="str">
        <f>IFERROR(__xludf.DUMMYFUNCTION("""COMPUTED_VALUE"""),"IPad (第10代) 64GB WIFI(MPQ03TA/A)")</f>
        <v>IPad (第10代) 64GB WIFI(MPQ03TA/A)</v>
      </c>
      <c r="U141" s="41"/>
      <c r="V141" s="41"/>
      <c r="W141" s="41"/>
      <c r="X141" s="45" t="str">
        <f>IFERROR(__xludf.DUMMYFUNCTION("""COMPUTED_VALUE"""),"")</f>
        <v/>
      </c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</row>
    <row r="142">
      <c r="B142" s="41"/>
      <c r="C142" s="41" t="str">
        <f>IFERROR(__xludf.DUMMYFUNCTION("""COMPUTED_VALUE"""),"滿三年更換")</f>
        <v>滿三年更換</v>
      </c>
      <c r="D142" s="41" t="str">
        <f>IFERROR(__xludf.DUMMYFUNCTION("""COMPUTED_VALUE"""),"TW")</f>
        <v>TW</v>
      </c>
      <c r="E142" s="41"/>
      <c r="F142" s="41"/>
      <c r="G142" s="41"/>
      <c r="H142" s="65" t="str">
        <f>IFERROR(__xludf.DUMMYFUNCTION("""COMPUTED_VALUE"""),"研發中心:軟體工程部:QE團隊")</f>
        <v>研發中心:軟體工程部:QE團隊</v>
      </c>
      <c r="I142" s="41" t="str">
        <f>IFERROR(__xludf.DUMMYFUNCTION("""COMPUTED_VALUE"""),"資訊裝置")</f>
        <v>資訊裝置</v>
      </c>
      <c r="J142" s="41" t="str">
        <f>IFERROR(__xludf.DUMMYFUNCTION("""COMPUTED_VALUE"""),"AICHMN01606034")</f>
        <v>AICHMN01606034</v>
      </c>
      <c r="K142" s="41" t="str">
        <f>IFERROR(__xludf.DUMMYFUNCTION("""COMPUTED_VALUE"""),"螢幕")</f>
        <v>螢幕</v>
      </c>
      <c r="L142" s="41" t="str">
        <f>IFERROR(__xludf.DUMMYFUNCTION("""COMPUTED_VALUE"""),"CN-0MTYGK-64180-64F-078S-A02")</f>
        <v>CN-0MTYGK-64180-64F-078S-A02</v>
      </c>
      <c r="M142" s="41" t="str">
        <f>IFERROR(__xludf.DUMMYFUNCTION("""COMPUTED_VALUE"""),"郭哲宇")</f>
        <v>郭哲宇</v>
      </c>
      <c r="N142" s="65">
        <f>IFERROR(__xludf.DUMMYFUNCTION("""COMPUTED_VALUE"""),42523.0)</f>
        <v>42523</v>
      </c>
      <c r="O142" s="41"/>
      <c r="P142" s="41" t="str">
        <f>IFERROR(__xludf.DUMMYFUNCTION("""COMPUTED_VALUE"""),"資訊裝置")</f>
        <v>資訊裝置</v>
      </c>
      <c r="Q142" s="41">
        <f>IFERROR(__xludf.DUMMYFUNCTION("""COMPUTED_VALUE"""),36.0)</f>
        <v>36</v>
      </c>
      <c r="R142" s="41">
        <f>IFERROR(__xludf.DUMMYFUNCTION("""COMPUTED_VALUE"""),36.0)</f>
        <v>36</v>
      </c>
      <c r="S142" s="41" t="str">
        <f>IFERROR(__xludf.DUMMYFUNCTION("""COMPUTED_VALUE"""),"NT$0")</f>
        <v>NT$0</v>
      </c>
      <c r="T142" s="41" t="str">
        <f>IFERROR(__xludf.DUMMYFUNCTION("""COMPUTED_VALUE"""),"Dell 24吋 U2412Mc")</f>
        <v>Dell 24吋 U2412Mc</v>
      </c>
      <c r="U142" s="41"/>
      <c r="V142" s="41"/>
      <c r="W142" s="41"/>
      <c r="X142" s="45" t="str">
        <f>IFERROR(__xludf.DUMMYFUNCTION("""COMPUTED_VALUE"""),"")</f>
        <v/>
      </c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</row>
    <row r="143">
      <c r="B143" s="41"/>
      <c r="C143" s="41" t="str">
        <f>IFERROR(__xludf.DUMMYFUNCTION("""COMPUTED_VALUE"""),"滿三年更換")</f>
        <v>滿三年更換</v>
      </c>
      <c r="D143" s="41" t="str">
        <f>IFERROR(__xludf.DUMMYFUNCTION("""COMPUTED_VALUE"""),"TW")</f>
        <v>TW</v>
      </c>
      <c r="E143" s="41"/>
      <c r="F143" s="41"/>
      <c r="G143" s="41"/>
      <c r="H143" s="65" t="str">
        <f>IFERROR(__xludf.DUMMYFUNCTION("""COMPUTED_VALUE"""),"研發中心:軟體工程部:QE團隊")</f>
        <v>研發中心:軟體工程部:QE團隊</v>
      </c>
      <c r="I143" s="41" t="str">
        <f>IFERROR(__xludf.DUMMYFUNCTION("""COMPUTED_VALUE"""),"資訊裝置")</f>
        <v>資訊裝置</v>
      </c>
      <c r="J143" s="41" t="str">
        <f>IFERROR(__xludf.DUMMYFUNCTION("""COMPUTED_VALUE"""),"AICHMN01904058")</f>
        <v>AICHMN01904058</v>
      </c>
      <c r="K143" s="41" t="str">
        <f>IFERROR(__xludf.DUMMYFUNCTION("""COMPUTED_VALUE"""),"螢幕")</f>
        <v>螢幕</v>
      </c>
      <c r="L143" s="41" t="str">
        <f>IFERROR(__xludf.DUMMYFUNCTION("""COMPUTED_VALUE"""),"CN-0RWTY8-64180-68T-0GLL-A03")</f>
        <v>CN-0RWTY8-64180-68T-0GLL-A03</v>
      </c>
      <c r="M143" s="41" t="str">
        <f>IFERROR(__xludf.DUMMYFUNCTION("""COMPUTED_VALUE"""),"郭哲宇")</f>
        <v>郭哲宇</v>
      </c>
      <c r="N143" s="65">
        <f>IFERROR(__xludf.DUMMYFUNCTION("""COMPUTED_VALUE"""),43523.0)</f>
        <v>43523</v>
      </c>
      <c r="O143" s="45">
        <f>IFERROR(__xludf.DUMMYFUNCTION("""COMPUTED_VALUE"""),5512.0)</f>
        <v>5512</v>
      </c>
      <c r="P143" s="41" t="str">
        <f>IFERROR(__xludf.DUMMYFUNCTION("""COMPUTED_VALUE"""),"資訊裝置")</f>
        <v>資訊裝置</v>
      </c>
      <c r="Q143" s="41">
        <f>IFERROR(__xludf.DUMMYFUNCTION("""COMPUTED_VALUE"""),36.0)</f>
        <v>36</v>
      </c>
      <c r="R143" s="41">
        <f>IFERROR(__xludf.DUMMYFUNCTION("""COMPUTED_VALUE"""),36.0)</f>
        <v>36</v>
      </c>
      <c r="S143" s="41" t="str">
        <f>IFERROR(__xludf.DUMMYFUNCTION("""COMPUTED_VALUE"""),"NT$5,512")</f>
        <v>NT$5,512</v>
      </c>
      <c r="T143" s="41" t="str">
        <f>IFERROR(__xludf.DUMMYFUNCTION("""COMPUTED_VALUE"""),"Dell 24吋 U2412Mc")</f>
        <v>Dell 24吋 U2412Mc</v>
      </c>
      <c r="U143" s="41"/>
      <c r="V143" s="41"/>
      <c r="W143" s="41"/>
      <c r="X143" s="45" t="str">
        <f>IFERROR(__xludf.DUMMYFUNCTION("""COMPUTED_VALUE"""),"")</f>
        <v/>
      </c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</row>
    <row r="144">
      <c r="B144" s="41"/>
      <c r="C144" s="41" t="str">
        <f>IFERROR(__xludf.DUMMYFUNCTION("""COMPUTED_VALUE"""),"滿三年更換")</f>
        <v>滿三年更換</v>
      </c>
      <c r="D144" s="41" t="str">
        <f>IFERROR(__xludf.DUMMYFUNCTION("""COMPUTED_VALUE"""),"TW")</f>
        <v>TW</v>
      </c>
      <c r="E144" s="41"/>
      <c r="F144" s="41"/>
      <c r="G144" s="41"/>
      <c r="H144" s="65" t="str">
        <f>IFERROR(__xludf.DUMMYFUNCTION("""COMPUTED_VALUE"""),"研發中心:軟體工程部:前端團隊")</f>
        <v>研發中心:軟體工程部:前端團隊</v>
      </c>
      <c r="I144" s="41" t="str">
        <f>IFERROR(__xludf.DUMMYFUNCTION("""COMPUTED_VALUE"""),"資訊裝置")</f>
        <v>資訊裝置</v>
      </c>
      <c r="J144" s="41" t="str">
        <f>IFERROR(__xludf.DUMMYFUNCTION("""COMPUTED_VALUE"""),"AICHMP02108037")</f>
        <v>AICHMP02108037</v>
      </c>
      <c r="K144" s="41" t="str">
        <f>IFERROR(__xludf.DUMMYFUNCTION("""COMPUTED_VALUE"""),"Macbook Pro")</f>
        <v>Macbook Pro</v>
      </c>
      <c r="L144" s="41" t="str">
        <f>IFERROR(__xludf.DUMMYFUNCTION("""COMPUTED_VALUE"""),"C02G44CGQ05N")</f>
        <v>C02G44CGQ05N</v>
      </c>
      <c r="M144" s="41" t="str">
        <f>IFERROR(__xludf.DUMMYFUNCTION("""COMPUTED_VALUE"""),"陳乙山")</f>
        <v>陳乙山</v>
      </c>
      <c r="N144" s="65">
        <f>IFERROR(__xludf.DUMMYFUNCTION("""COMPUTED_VALUE"""),44414.0)</f>
        <v>44414</v>
      </c>
      <c r="O144" s="45">
        <f>IFERROR(__xludf.DUMMYFUNCTION("""COMPUTED_VALUE"""),4750.0)</f>
        <v>4750</v>
      </c>
      <c r="P144" s="41" t="str">
        <f>IFERROR(__xludf.DUMMYFUNCTION("""COMPUTED_VALUE"""),"資訊裝置")</f>
        <v>資訊裝置</v>
      </c>
      <c r="Q144" s="41">
        <f>IFERROR(__xludf.DUMMYFUNCTION("""COMPUTED_VALUE"""),36.0)</f>
        <v>36</v>
      </c>
      <c r="R144" s="41">
        <f>IFERROR(__xludf.DUMMYFUNCTION("""COMPUTED_VALUE"""),36.0)</f>
        <v>36</v>
      </c>
      <c r="S144" s="41" t="str">
        <f>IFERROR(__xludf.DUMMYFUNCTION("""COMPUTED_VALUE"""),"NT$4,750")</f>
        <v>NT$4,750</v>
      </c>
      <c r="T144" s="41" t="str">
        <f>IFERROR(__xludf.DUMMYFUNCTION("""COMPUTED_VALUE"""),"A2338 MBP13 (2020) M1/16GBRAM/256GBSSD")</f>
        <v>A2338 MBP13 (2020) M1/16GBRAM/256GBSSD</v>
      </c>
      <c r="U144" s="41"/>
      <c r="V144" s="41"/>
      <c r="W144" s="41"/>
      <c r="X144" s="45" t="str">
        <f>IFERROR(__xludf.DUMMYFUNCTION("""COMPUTED_VALUE"""),"")</f>
        <v/>
      </c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</row>
    <row r="145">
      <c r="B145" s="41"/>
      <c r="C145" s="41" t="str">
        <f>IFERROR(__xludf.DUMMYFUNCTION("""COMPUTED_VALUE"""),"滿三年更換")</f>
        <v>滿三年更換</v>
      </c>
      <c r="D145" s="41" t="str">
        <f>IFERROR(__xludf.DUMMYFUNCTION("""COMPUTED_VALUE"""),"TW")</f>
        <v>TW</v>
      </c>
      <c r="E145" s="41"/>
      <c r="F145" s="41"/>
      <c r="G145" s="41"/>
      <c r="H145" s="65" t="str">
        <f>IFERROR(__xludf.DUMMYFUNCTION("""COMPUTED_VALUE"""),"研發中心:軟體工程部:前端團隊")</f>
        <v>研發中心:軟體工程部:前端團隊</v>
      </c>
      <c r="I145" s="41" t="str">
        <f>IFERROR(__xludf.DUMMYFUNCTION("""COMPUTED_VALUE"""),"資訊裝置")</f>
        <v>資訊裝置</v>
      </c>
      <c r="J145" s="41" t="str">
        <f>IFERROR(__xludf.DUMMYFUNCTION("""COMPUTED_VALUE"""),"AICHIP01902012")</f>
        <v>AICHIP01902012</v>
      </c>
      <c r="K145" s="41" t="str">
        <f>IFERROR(__xludf.DUMMYFUNCTION("""COMPUTED_VALUE"""),"iPad")</f>
        <v>iPad</v>
      </c>
      <c r="L145" s="41" t="str">
        <f>IFERROR(__xludf.DUMMYFUNCTION("""COMPUTED_VALUE"""),"DMPXPRTSJMVR")</f>
        <v>DMPXPRTSJMVR</v>
      </c>
      <c r="M145" s="41" t="str">
        <f>IFERROR(__xludf.DUMMYFUNCTION("""COMPUTED_VALUE"""),"陳乙山")</f>
        <v>陳乙山</v>
      </c>
      <c r="N145" s="65">
        <f>IFERROR(__xludf.DUMMYFUNCTION("""COMPUTED_VALUE"""),43523.0)</f>
        <v>43523</v>
      </c>
      <c r="O145" s="45">
        <f>IFERROR(__xludf.DUMMYFUNCTION("""COMPUTED_VALUE"""),9567.0)</f>
        <v>9567</v>
      </c>
      <c r="P145" s="41" t="str">
        <f>IFERROR(__xludf.DUMMYFUNCTION("""COMPUTED_VALUE"""),"資訊裝置")</f>
        <v>資訊裝置</v>
      </c>
      <c r="Q145" s="41">
        <f>IFERROR(__xludf.DUMMYFUNCTION("""COMPUTED_VALUE"""),36.0)</f>
        <v>36</v>
      </c>
      <c r="R145" s="41">
        <f>IFERROR(__xludf.DUMMYFUNCTION("""COMPUTED_VALUE"""),36.0)</f>
        <v>36</v>
      </c>
      <c r="S145" s="41" t="str">
        <f>IFERROR(__xludf.DUMMYFUNCTION("""COMPUTED_VALUE"""),"NT$9,567")</f>
        <v>NT$9,567</v>
      </c>
      <c r="T145" s="41" t="str">
        <f>IFERROR(__xludf.DUMMYFUNCTION("""COMPUTED_VALUE"""),"iPad (第六代) 32GB WIFI(A1893)")</f>
        <v>iPad (第六代) 32GB WIFI(A1893)</v>
      </c>
      <c r="U145" s="41"/>
      <c r="V145" s="41"/>
      <c r="W145" s="41"/>
      <c r="X145" s="45" t="str">
        <f>IFERROR(__xludf.DUMMYFUNCTION("""COMPUTED_VALUE"""),"")</f>
        <v/>
      </c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</row>
    <row r="146">
      <c r="B146" s="41"/>
      <c r="C146" s="41" t="str">
        <f>IFERROR(__xludf.DUMMYFUNCTION("""COMPUTED_VALUE"""),"滿三年更換")</f>
        <v>滿三年更換</v>
      </c>
      <c r="D146" s="41" t="str">
        <f>IFERROR(__xludf.DUMMYFUNCTION("""COMPUTED_VALUE"""),"TW")</f>
        <v>TW</v>
      </c>
      <c r="E146" s="41"/>
      <c r="F146" s="41"/>
      <c r="G146" s="41"/>
      <c r="H146" s="65" t="str">
        <f>IFERROR(__xludf.DUMMYFUNCTION("""COMPUTED_VALUE"""),"研發中心:軟體工程部:前端團隊")</f>
        <v>研發中心:軟體工程部:前端團隊</v>
      </c>
      <c r="I146" s="41" t="str">
        <f>IFERROR(__xludf.DUMMYFUNCTION("""COMPUTED_VALUE"""),"資訊裝置")</f>
        <v>資訊裝置</v>
      </c>
      <c r="J146" s="41" t="str">
        <f>IFERROR(__xludf.DUMMYFUNCTION("""COMPUTED_VALUE"""),"AICHMN01705041")</f>
        <v>AICHMN01705041</v>
      </c>
      <c r="K146" s="41" t="str">
        <f>IFERROR(__xludf.DUMMYFUNCTION("""COMPUTED_VALUE"""),"螢幕")</f>
        <v>螢幕</v>
      </c>
      <c r="L146" s="41" t="str">
        <f>IFERROR(__xludf.DUMMYFUNCTION("""COMPUTED_VALUE"""),"CN-07N2FG-TV100-83M-005S-A07")</f>
        <v>CN-07N2FG-TV100-83M-005S-A07</v>
      </c>
      <c r="M146" s="41" t="str">
        <f>IFERROR(__xludf.DUMMYFUNCTION("""COMPUTED_VALUE"""),"陳乙山")</f>
        <v>陳乙山</v>
      </c>
      <c r="N146" s="65">
        <f>IFERROR(__xludf.DUMMYFUNCTION("""COMPUTED_VALUE"""),43245.0)</f>
        <v>43245</v>
      </c>
      <c r="O146" s="41"/>
      <c r="P146" s="41" t="str">
        <f>IFERROR(__xludf.DUMMYFUNCTION("""COMPUTED_VALUE"""),"資訊裝置")</f>
        <v>資訊裝置</v>
      </c>
      <c r="Q146" s="41">
        <f>IFERROR(__xludf.DUMMYFUNCTION("""COMPUTED_VALUE"""),36.0)</f>
        <v>36</v>
      </c>
      <c r="R146" s="41">
        <f>IFERROR(__xludf.DUMMYFUNCTION("""COMPUTED_VALUE"""),36.0)</f>
        <v>36</v>
      </c>
      <c r="S146" s="41" t="str">
        <f>IFERROR(__xludf.DUMMYFUNCTION("""COMPUTED_VALUE"""),"NT$0")</f>
        <v>NT$0</v>
      </c>
      <c r="T146" s="41" t="str">
        <f>IFERROR(__xludf.DUMMYFUNCTION("""COMPUTED_VALUE"""),"Dell 24吋 U2412Mc")</f>
        <v>Dell 24吋 U2412Mc</v>
      </c>
      <c r="U146" s="41"/>
      <c r="V146" s="41"/>
      <c r="W146" s="41"/>
      <c r="X146" s="45" t="str">
        <f>IFERROR(__xludf.DUMMYFUNCTION("""COMPUTED_VALUE"""),"")</f>
        <v/>
      </c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</row>
    <row r="147">
      <c r="B147" s="41"/>
      <c r="C147" s="41" t="str">
        <f>IFERROR(__xludf.DUMMYFUNCTION("""COMPUTED_VALUE"""),"滿三年更換")</f>
        <v>滿三年更換</v>
      </c>
      <c r="D147" s="41" t="str">
        <f>IFERROR(__xludf.DUMMYFUNCTION("""COMPUTED_VALUE"""),"TW")</f>
        <v>TW</v>
      </c>
      <c r="E147" s="41"/>
      <c r="F147" s="41"/>
      <c r="G147" s="41"/>
      <c r="H147" s="65" t="str">
        <f>IFERROR(__xludf.DUMMYFUNCTION("""COMPUTED_VALUE"""),"研發中心:軟體工程部:QE團隊")</f>
        <v>研發中心:軟體工程部:QE團隊</v>
      </c>
      <c r="I147" s="41" t="str">
        <f>IFERROR(__xludf.DUMMYFUNCTION("""COMPUTED_VALUE"""),"資訊裝置")</f>
        <v>資訊裝置</v>
      </c>
      <c r="J147" s="41" t="str">
        <f>IFERROR(__xludf.DUMMYFUNCTION("""COMPUTED_VALUE"""),"AICHMP02106030")</f>
        <v>AICHMP02106030</v>
      </c>
      <c r="K147" s="41" t="str">
        <f>IFERROR(__xludf.DUMMYFUNCTION("""COMPUTED_VALUE"""),"Macbook Pro")</f>
        <v>Macbook Pro</v>
      </c>
      <c r="L147" s="41" t="str">
        <f>IFERROR(__xludf.DUMMYFUNCTION("""COMPUTED_VALUE"""),"C02FVBMCQ05N")</f>
        <v>C02FVBMCQ05N</v>
      </c>
      <c r="M147" s="41" t="str">
        <f>IFERROR(__xludf.DUMMYFUNCTION("""COMPUTED_VALUE"""),"陳又嘉")</f>
        <v>陳又嘉</v>
      </c>
      <c r="N147" s="65">
        <f>IFERROR(__xludf.DUMMYFUNCTION("""COMPUTED_VALUE"""),44378.0)</f>
        <v>44378</v>
      </c>
      <c r="O147" s="45">
        <f>IFERROR(__xludf.DUMMYFUNCTION("""COMPUTED_VALUE"""),40300.0)</f>
        <v>40300</v>
      </c>
      <c r="P147" s="41" t="str">
        <f>IFERROR(__xludf.DUMMYFUNCTION("""COMPUTED_VALUE"""),"資訊裝置")</f>
        <v>資訊裝置</v>
      </c>
      <c r="Q147" s="41">
        <f>IFERROR(__xludf.DUMMYFUNCTION("""COMPUTED_VALUE"""),36.0)</f>
        <v>36</v>
      </c>
      <c r="R147" s="41">
        <f>IFERROR(__xludf.DUMMYFUNCTION("""COMPUTED_VALUE"""),36.0)</f>
        <v>36</v>
      </c>
      <c r="S147" s="41" t="str">
        <f>IFERROR(__xludf.DUMMYFUNCTION("""COMPUTED_VALUE"""),"NT$40,300")</f>
        <v>NT$40,300</v>
      </c>
      <c r="T147" s="41" t="str">
        <f>IFERROR(__xludf.DUMMYFUNCTION("""COMPUTED_VALUE"""),"A2338 MBP13 (2020) M1/16GBRAM/256GBSSD")</f>
        <v>A2338 MBP13 (2020) M1/16GBRAM/256GBSSD</v>
      </c>
      <c r="U147" s="41"/>
      <c r="V147" s="41"/>
      <c r="W147" s="41"/>
      <c r="X147" s="45" t="str">
        <f>IFERROR(__xludf.DUMMYFUNCTION("""COMPUTED_VALUE"""),"")</f>
        <v/>
      </c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</row>
    <row r="148">
      <c r="B148" s="41"/>
      <c r="C148" s="41" t="str">
        <f>IFERROR(__xludf.DUMMYFUNCTION("""COMPUTED_VALUE"""),"滿三年更換")</f>
        <v>滿三年更換</v>
      </c>
      <c r="D148" s="41" t="str">
        <f>IFERROR(__xludf.DUMMYFUNCTION("""COMPUTED_VALUE"""),"TW")</f>
        <v>TW</v>
      </c>
      <c r="E148" s="41"/>
      <c r="F148" s="41"/>
      <c r="G148" s="41"/>
      <c r="H148" s="65" t="str">
        <f>IFERROR(__xludf.DUMMYFUNCTION("""COMPUTED_VALUE"""),"研發中心:軟體工程部:QE團隊")</f>
        <v>研發中心:軟體工程部:QE團隊</v>
      </c>
      <c r="I148" s="41" t="str">
        <f>IFERROR(__xludf.DUMMYFUNCTION("""COMPUTED_VALUE"""),"資訊裝置")</f>
        <v>資訊裝置</v>
      </c>
      <c r="J148" s="41" t="str">
        <f>IFERROR(__xludf.DUMMYFUNCTION("""COMPUTED_VALUE"""),"AICHIP02105060")</f>
        <v>AICHIP02105060</v>
      </c>
      <c r="K148" s="41" t="str">
        <f>IFERROR(__xludf.DUMMYFUNCTION("""COMPUTED_VALUE"""),"iPad")</f>
        <v>iPad</v>
      </c>
      <c r="L148" s="41" t="str">
        <f>IFERROR(__xludf.DUMMYFUNCTION("""COMPUTED_VALUE"""),"F9FFGBUPQ1GF")</f>
        <v>F9FFGBUPQ1GF</v>
      </c>
      <c r="M148" s="41" t="str">
        <f>IFERROR(__xludf.DUMMYFUNCTION("""COMPUTED_VALUE"""),"陳又嘉")</f>
        <v>陳又嘉</v>
      </c>
      <c r="N148" s="65">
        <f>IFERROR(__xludf.DUMMYFUNCTION("""COMPUTED_VALUE"""),44341.0)</f>
        <v>44341</v>
      </c>
      <c r="O148" s="45">
        <f>IFERROR(__xludf.DUMMYFUNCTION("""COMPUTED_VALUE"""),9450.0)</f>
        <v>9450</v>
      </c>
      <c r="P148" s="41" t="str">
        <f>IFERROR(__xludf.DUMMYFUNCTION("""COMPUTED_VALUE"""),"資訊裝置")</f>
        <v>資訊裝置</v>
      </c>
      <c r="Q148" s="41">
        <f>IFERROR(__xludf.DUMMYFUNCTION("""COMPUTED_VALUE"""),36.0)</f>
        <v>36</v>
      </c>
      <c r="R148" s="41">
        <f>IFERROR(__xludf.DUMMYFUNCTION("""COMPUTED_VALUE"""),36.0)</f>
        <v>36</v>
      </c>
      <c r="S148" s="41" t="str">
        <f>IFERROR(__xludf.DUMMYFUNCTION("""COMPUTED_VALUE"""),"NT$9,450")</f>
        <v>NT$9,450</v>
      </c>
      <c r="T148" s="41" t="str">
        <f>IFERROR(__xludf.DUMMYFUNCTION("""COMPUTED_VALUE"""),"iPad (第八代) 32GB WIFI(MYLC2TA/A)")</f>
        <v>iPad (第八代) 32GB WIFI(MYLC2TA/A)</v>
      </c>
      <c r="U148" s="41"/>
      <c r="V148" s="41"/>
      <c r="W148" s="41"/>
      <c r="X148" s="45" t="str">
        <f>IFERROR(__xludf.DUMMYFUNCTION("""COMPUTED_VALUE"""),"")</f>
        <v/>
      </c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</row>
    <row r="149">
      <c r="B149" s="41"/>
      <c r="C149" s="41" t="str">
        <f>IFERROR(__xludf.DUMMYFUNCTION("""COMPUTED_VALUE"""),"滿三年更換")</f>
        <v>滿三年更換</v>
      </c>
      <c r="D149" s="41" t="str">
        <f>IFERROR(__xludf.DUMMYFUNCTION("""COMPUTED_VALUE"""),"TW")</f>
        <v>TW</v>
      </c>
      <c r="E149" s="41"/>
      <c r="F149" s="41"/>
      <c r="G149" s="41"/>
      <c r="H149" s="65" t="str">
        <f>IFERROR(__xludf.DUMMYFUNCTION("""COMPUTED_VALUE"""),"研發中心:軟體工程部:QE團隊")</f>
        <v>研發中心:軟體工程部:QE團隊</v>
      </c>
      <c r="I149" s="41" t="str">
        <f>IFERROR(__xludf.DUMMYFUNCTION("""COMPUTED_VALUE"""),"資訊裝置")</f>
        <v>資訊裝置</v>
      </c>
      <c r="J149" s="41" t="str">
        <f>IFERROR(__xludf.DUMMYFUNCTION("""COMPUTED_VALUE"""),"AICHIP02302087")</f>
        <v>AICHIP02302087</v>
      </c>
      <c r="K149" s="41" t="str">
        <f>IFERROR(__xludf.DUMMYFUNCTION("""COMPUTED_VALUE"""),"iPad Pro")</f>
        <v>iPad Pro</v>
      </c>
      <c r="L149" s="41" t="str">
        <f>IFERROR(__xludf.DUMMYFUNCTION("""COMPUTED_VALUE"""),"JR27X0QGT9")</f>
        <v>JR27X0QGT9</v>
      </c>
      <c r="M149" s="41" t="str">
        <f>IFERROR(__xludf.DUMMYFUNCTION("""COMPUTED_VALUE"""),"陳又嘉")</f>
        <v>陳又嘉</v>
      </c>
      <c r="N149" s="65">
        <f>IFERROR(__xludf.DUMMYFUNCTION("""COMPUTED_VALUE"""),44959.0)</f>
        <v>44959</v>
      </c>
      <c r="O149" s="45">
        <f>IFERROR(__xludf.DUMMYFUNCTION("""COMPUTED_VALUE"""),33500.0)</f>
        <v>33500</v>
      </c>
      <c r="P149" s="41" t="str">
        <f>IFERROR(__xludf.DUMMYFUNCTION("""COMPUTED_VALUE"""),"資訊裝置")</f>
        <v>資訊裝置</v>
      </c>
      <c r="Q149" s="41">
        <f>IFERROR(__xludf.DUMMYFUNCTION("""COMPUTED_VALUE"""),36.0)</f>
        <v>36</v>
      </c>
      <c r="R149" s="41">
        <f>IFERROR(__xludf.DUMMYFUNCTION("""COMPUTED_VALUE"""),33.0)</f>
        <v>33</v>
      </c>
      <c r="S149" s="41" t="str">
        <f>IFERROR(__xludf.DUMMYFUNCTION("""COMPUTED_VALUE"""),"NT$30,707")</f>
        <v>NT$30,707</v>
      </c>
      <c r="T149" s="41" t="str">
        <f>IFERROR(__xludf.DUMMYFUNCTION("""COMPUTED_VALUE"""),"IPad Pro M2 (12.9吋，第六代) 128GB Wi-Fi (MNXP3TA/A)")</f>
        <v>IPad Pro M2 (12.9吋，第六代) 128GB Wi-Fi (MNXP3TA/A)</v>
      </c>
      <c r="U149" s="41"/>
      <c r="V149" s="41"/>
      <c r="W149" s="41"/>
      <c r="X149" s="45" t="str">
        <f>IFERROR(__xludf.DUMMYFUNCTION("""COMPUTED_VALUE"""),"")</f>
        <v/>
      </c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</row>
    <row r="150">
      <c r="B150" s="41"/>
      <c r="C150" s="41" t="str">
        <f>IFERROR(__xludf.DUMMYFUNCTION("""COMPUTED_VALUE"""),"滿三年更換")</f>
        <v>滿三年更換</v>
      </c>
      <c r="D150" s="41" t="str">
        <f>IFERROR(__xludf.DUMMYFUNCTION("""COMPUTED_VALUE"""),"TW")</f>
        <v>TW</v>
      </c>
      <c r="E150" s="41"/>
      <c r="F150" s="41"/>
      <c r="G150" s="41"/>
      <c r="H150" s="65" t="str">
        <f>IFERROR(__xludf.DUMMYFUNCTION("""COMPUTED_VALUE"""),"研發中心:軟體工程部:QE團隊")</f>
        <v>研發中心:軟體工程部:QE團隊</v>
      </c>
      <c r="I150" s="41" t="str">
        <f>IFERROR(__xludf.DUMMYFUNCTION("""COMPUTED_VALUE"""),"資訊裝置")</f>
        <v>資訊裝置</v>
      </c>
      <c r="J150" s="41" t="str">
        <f>IFERROR(__xludf.DUMMYFUNCTION("""COMPUTED_VALUE"""),"AICHMN02109108")</f>
        <v>AICHMN02109108</v>
      </c>
      <c r="K150" s="41" t="str">
        <f>IFERROR(__xludf.DUMMYFUNCTION("""COMPUTED_VALUE"""),"螢幕")</f>
        <v>螢幕</v>
      </c>
      <c r="L150" s="41" t="str">
        <f>IFERROR(__xludf.DUMMYFUNCTION("""COMPUTED_VALUE"""),"M5LMTF004230")</f>
        <v>M5LMTF004230</v>
      </c>
      <c r="M150" s="41" t="str">
        <f>IFERROR(__xludf.DUMMYFUNCTION("""COMPUTED_VALUE"""),"陳又嘉")</f>
        <v>陳又嘉</v>
      </c>
      <c r="N150" s="65">
        <f>IFERROR(__xludf.DUMMYFUNCTION("""COMPUTED_VALUE"""),44453.0)</f>
        <v>44453</v>
      </c>
      <c r="O150" s="45">
        <f>IFERROR(__xludf.DUMMYFUNCTION("""COMPUTED_VALUE"""),9145.0)</f>
        <v>9145</v>
      </c>
      <c r="P150" s="41" t="str">
        <f>IFERROR(__xludf.DUMMYFUNCTION("""COMPUTED_VALUE"""),"資訊裝置")</f>
        <v>資訊裝置</v>
      </c>
      <c r="Q150" s="41">
        <f>IFERROR(__xludf.DUMMYFUNCTION("""COMPUTED_VALUE"""),36.0)</f>
        <v>36</v>
      </c>
      <c r="R150" s="41">
        <f>IFERROR(__xludf.DUMMYFUNCTION("""COMPUTED_VALUE"""),36.0)</f>
        <v>36</v>
      </c>
      <c r="S150" s="41" t="str">
        <f>IFERROR(__xludf.DUMMYFUNCTION("""COMPUTED_VALUE"""),"NT$9,145")</f>
        <v>NT$9,145</v>
      </c>
      <c r="T150" s="41" t="str">
        <f>IFERROR(__xludf.DUMMYFUNCTION("""COMPUTED_VALUE"""),"ASUS 曲面32吋 VG328H1B")</f>
        <v>ASUS 曲面32吋 VG328H1B</v>
      </c>
      <c r="U150" s="41"/>
      <c r="V150" s="41"/>
      <c r="W150" s="41"/>
      <c r="X150" s="45" t="str">
        <f>IFERROR(__xludf.DUMMYFUNCTION("""COMPUTED_VALUE"""),"")</f>
        <v/>
      </c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</row>
    <row r="151">
      <c r="B151" s="41"/>
      <c r="C151" s="41" t="str">
        <f>IFERROR(__xludf.DUMMYFUNCTION("""COMPUTED_VALUE"""),"滿三年更換")</f>
        <v>滿三年更換</v>
      </c>
      <c r="D151" s="41" t="str">
        <f>IFERROR(__xludf.DUMMYFUNCTION("""COMPUTED_VALUE"""),"TW")</f>
        <v>TW</v>
      </c>
      <c r="E151" s="41"/>
      <c r="F151" s="41"/>
      <c r="G151" s="41"/>
      <c r="H151" s="65" t="str">
        <f>IFERROR(__xludf.DUMMYFUNCTION("""COMPUTED_VALUE"""),"研發中心:產品設計部:產品設計師團隊")</f>
        <v>研發中心:產品設計部:產品設計師團隊</v>
      </c>
      <c r="I151" s="41" t="str">
        <f>IFERROR(__xludf.DUMMYFUNCTION("""COMPUTED_VALUE"""),"資訊裝置")</f>
        <v>資訊裝置</v>
      </c>
      <c r="J151" s="41" t="str">
        <f>IFERROR(__xludf.DUMMYFUNCTION("""COMPUTED_VALUE"""),"AICHMP02108034")</f>
        <v>AICHMP02108034</v>
      </c>
      <c r="K151" s="41" t="str">
        <f>IFERROR(__xludf.DUMMYFUNCTION("""COMPUTED_VALUE"""),"Macbook Pro")</f>
        <v>Macbook Pro</v>
      </c>
      <c r="L151" s="41" t="str">
        <f>IFERROR(__xludf.DUMMYFUNCTION("""COMPUTED_VALUE"""),"C02G459NQ05P")</f>
        <v>C02G459NQ05P</v>
      </c>
      <c r="M151" s="41" t="str">
        <f>IFERROR(__xludf.DUMMYFUNCTION("""COMPUTED_VALUE"""),"陳圻昀")</f>
        <v>陳圻昀</v>
      </c>
      <c r="N151" s="65">
        <f>IFERROR(__xludf.DUMMYFUNCTION("""COMPUTED_VALUE"""),44414.0)</f>
        <v>44414</v>
      </c>
      <c r="O151" s="45">
        <f>IFERROR(__xludf.DUMMYFUNCTION("""COMPUTED_VALUE"""),29200.0)</f>
        <v>29200</v>
      </c>
      <c r="P151" s="41" t="str">
        <f>IFERROR(__xludf.DUMMYFUNCTION("""COMPUTED_VALUE"""),"資訊裝置")</f>
        <v>資訊裝置</v>
      </c>
      <c r="Q151" s="41">
        <f>IFERROR(__xludf.DUMMYFUNCTION("""COMPUTED_VALUE"""),36.0)</f>
        <v>36</v>
      </c>
      <c r="R151" s="41">
        <f>IFERROR(__xludf.DUMMYFUNCTION("""COMPUTED_VALUE"""),36.0)</f>
        <v>36</v>
      </c>
      <c r="S151" s="41" t="str">
        <f>IFERROR(__xludf.DUMMYFUNCTION("""COMPUTED_VALUE"""),"NT$29,200")</f>
        <v>NT$29,200</v>
      </c>
      <c r="T151" s="41" t="str">
        <f>IFERROR(__xludf.DUMMYFUNCTION("""COMPUTED_VALUE"""),"A2338 MBP13 (2020) M1/16GBRAM/512GBSSD")</f>
        <v>A2338 MBP13 (2020) M1/16GBRAM/512GBSSD</v>
      </c>
      <c r="U151" s="41"/>
      <c r="V151" s="41"/>
      <c r="W151" s="41"/>
      <c r="X151" s="45" t="str">
        <f>IFERROR(__xludf.DUMMYFUNCTION("""COMPUTED_VALUE"""),"")</f>
        <v/>
      </c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</row>
    <row r="152">
      <c r="B152" s="41"/>
      <c r="C152" s="41" t="str">
        <f>IFERROR(__xludf.DUMMYFUNCTION("""COMPUTED_VALUE"""),"滿三年更換")</f>
        <v>滿三年更換</v>
      </c>
      <c r="D152" s="41" t="str">
        <f>IFERROR(__xludf.DUMMYFUNCTION("""COMPUTED_VALUE"""),"TW")</f>
        <v>TW</v>
      </c>
      <c r="E152" s="41"/>
      <c r="F152" s="41"/>
      <c r="G152" s="41"/>
      <c r="H152" s="65" t="str">
        <f>IFERROR(__xludf.DUMMYFUNCTION("""COMPUTED_VALUE"""),"研發中心:產品設計部:產品設計師團隊")</f>
        <v>研發中心:產品設計部:產品設計師團隊</v>
      </c>
      <c r="I152" s="41" t="str">
        <f>IFERROR(__xludf.DUMMYFUNCTION("""COMPUTED_VALUE"""),"資訊裝置")</f>
        <v>資訊裝置</v>
      </c>
      <c r="J152" s="41" t="str">
        <f>IFERROR(__xludf.DUMMYFUNCTION("""COMPUTED_VALUE"""),"AICHIP02107067")</f>
        <v>AICHIP02107067</v>
      </c>
      <c r="K152" s="41" t="str">
        <f>IFERROR(__xludf.DUMMYFUNCTION("""COMPUTED_VALUE"""),"iPad")</f>
        <v>iPad</v>
      </c>
      <c r="L152" s="41" t="str">
        <f>IFERROR(__xludf.DUMMYFUNCTION("""COMPUTED_VALUE"""),"F9FFQ31LQ1GD")</f>
        <v>F9FFQ31LQ1GD</v>
      </c>
      <c r="M152" s="41" t="str">
        <f>IFERROR(__xludf.DUMMYFUNCTION("""COMPUTED_VALUE"""),"陳圻昀")</f>
        <v>陳圻昀</v>
      </c>
      <c r="N152" s="65">
        <f>IFERROR(__xludf.DUMMYFUNCTION("""COMPUTED_VALUE"""),44398.0)</f>
        <v>44398</v>
      </c>
      <c r="O152" s="45">
        <f>IFERROR(__xludf.DUMMYFUNCTION("""COMPUTED_VALUE"""),9450.0)</f>
        <v>9450</v>
      </c>
      <c r="P152" s="41" t="str">
        <f>IFERROR(__xludf.DUMMYFUNCTION("""COMPUTED_VALUE"""),"資訊裝置")</f>
        <v>資訊裝置</v>
      </c>
      <c r="Q152" s="41">
        <f>IFERROR(__xludf.DUMMYFUNCTION("""COMPUTED_VALUE"""),36.0)</f>
        <v>36</v>
      </c>
      <c r="R152" s="41">
        <f>IFERROR(__xludf.DUMMYFUNCTION("""COMPUTED_VALUE"""),36.0)</f>
        <v>36</v>
      </c>
      <c r="S152" s="41" t="str">
        <f>IFERROR(__xludf.DUMMYFUNCTION("""COMPUTED_VALUE"""),"NT$9,450")</f>
        <v>NT$9,450</v>
      </c>
      <c r="T152" s="41" t="str">
        <f>IFERROR(__xludf.DUMMYFUNCTION("""COMPUTED_VALUE"""),"iPad (第八代) WI-FI 32GB(MYLA2TA/A)")</f>
        <v>iPad (第八代) WI-FI 32GB(MYLA2TA/A)</v>
      </c>
      <c r="U152" s="41"/>
      <c r="V152" s="41"/>
      <c r="W152" s="41"/>
      <c r="X152" s="45" t="str">
        <f>IFERROR(__xludf.DUMMYFUNCTION("""COMPUTED_VALUE"""),"")</f>
        <v/>
      </c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</row>
    <row r="153">
      <c r="B153" s="41"/>
      <c r="C153" s="41" t="str">
        <f>IFERROR(__xludf.DUMMYFUNCTION("""COMPUTED_VALUE"""),"滿三年更換")</f>
        <v>滿三年更換</v>
      </c>
      <c r="D153" s="41" t="str">
        <f>IFERROR(__xludf.DUMMYFUNCTION("""COMPUTED_VALUE"""),"TW")</f>
        <v>TW</v>
      </c>
      <c r="E153" s="41"/>
      <c r="F153" s="41"/>
      <c r="G153" s="41"/>
      <c r="H153" s="65" t="str">
        <f>IFERROR(__xludf.DUMMYFUNCTION("""COMPUTED_VALUE"""),"研發中心:產品設計部:產品設計師團隊")</f>
        <v>研發中心:產品設計部:產品設計師團隊</v>
      </c>
      <c r="I153" s="41" t="str">
        <f>IFERROR(__xludf.DUMMYFUNCTION("""COMPUTED_VALUE"""),"資訊裝置")</f>
        <v>資訊裝置</v>
      </c>
      <c r="J153" s="41" t="str">
        <f>IFERROR(__xludf.DUMMYFUNCTION("""COMPUTED_VALUE"""),"AICHMN02108103")</f>
        <v>AICHMN02108103</v>
      </c>
      <c r="K153" s="41" t="str">
        <f>IFERROR(__xludf.DUMMYFUNCTION("""COMPUTED_VALUE"""),"螢幕")</f>
        <v>螢幕</v>
      </c>
      <c r="L153" s="41" t="str">
        <f>IFERROR(__xludf.DUMMYFUNCTION("""COMPUTED_VALUE"""),"CN-0458FC-WSL00-163-024B-A04")</f>
        <v>CN-0458FC-WSL00-163-024B-A04</v>
      </c>
      <c r="M153" s="41" t="str">
        <f>IFERROR(__xludf.DUMMYFUNCTION("""COMPUTED_VALUE"""),"陳圻昀")</f>
        <v>陳圻昀</v>
      </c>
      <c r="N153" s="65">
        <f>IFERROR(__xludf.DUMMYFUNCTION("""COMPUTED_VALUE"""),44418.0)</f>
        <v>44418</v>
      </c>
      <c r="O153" s="45">
        <f>IFERROR(__xludf.DUMMYFUNCTION("""COMPUTED_VALUE"""),51834.0)</f>
        <v>51834</v>
      </c>
      <c r="P153" s="41" t="str">
        <f>IFERROR(__xludf.DUMMYFUNCTION("""COMPUTED_VALUE"""),"資訊裝置")</f>
        <v>資訊裝置</v>
      </c>
      <c r="Q153" s="41">
        <f>IFERROR(__xludf.DUMMYFUNCTION("""COMPUTED_VALUE"""),36.0)</f>
        <v>36</v>
      </c>
      <c r="R153" s="41">
        <f>IFERROR(__xludf.DUMMYFUNCTION("""COMPUTED_VALUE"""),36.0)</f>
        <v>36</v>
      </c>
      <c r="S153" s="41" t="str">
        <f>IFERROR(__xludf.DUMMYFUNCTION("""COMPUTED_VALUE"""),"NT$51,834")</f>
        <v>NT$51,834</v>
      </c>
      <c r="T153" s="41" t="str">
        <f>IFERROR(__xludf.DUMMYFUNCTION("""COMPUTED_VALUE"""),"Dell 24吋 S2421HSX")</f>
        <v>Dell 24吋 S2421HSX</v>
      </c>
      <c r="U153" s="41"/>
      <c r="V153" s="41"/>
      <c r="W153" s="41"/>
      <c r="X153" s="45" t="str">
        <f>IFERROR(__xludf.DUMMYFUNCTION("""COMPUTED_VALUE"""),"")</f>
        <v/>
      </c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</row>
    <row r="154">
      <c r="B154" s="41"/>
      <c r="C154" s="41" t="str">
        <f>IFERROR(__xludf.DUMMYFUNCTION("""COMPUTED_VALUE"""),"滿三年更換")</f>
        <v>滿三年更換</v>
      </c>
      <c r="D154" s="41" t="str">
        <f>IFERROR(__xludf.DUMMYFUNCTION("""COMPUTED_VALUE"""),"TW")</f>
        <v>TW</v>
      </c>
      <c r="E154" s="41"/>
      <c r="F154" s="41"/>
      <c r="G154" s="41"/>
      <c r="H154" s="65" t="str">
        <f>IFERROR(__xludf.DUMMYFUNCTION("""COMPUTED_VALUE"""),"客戶價值中心:客戶關係管理部:客服團隊 ")</f>
        <v>客戶價值中心:客戶關係管理部:客服團隊 </v>
      </c>
      <c r="I154" s="41" t="str">
        <f>IFERROR(__xludf.DUMMYFUNCTION("""COMPUTED_VALUE"""),"資訊裝置")</f>
        <v>資訊裝置</v>
      </c>
      <c r="J154" s="41" t="str">
        <f>IFERROR(__xludf.DUMMYFUNCTION("""COMPUTED_VALUE"""),"AICHMA02106023")</f>
        <v>AICHMA02106023</v>
      </c>
      <c r="K154" s="41" t="str">
        <f>IFERROR(__xludf.DUMMYFUNCTION("""COMPUTED_VALUE"""),"Macbook Air")</f>
        <v>Macbook Air</v>
      </c>
      <c r="L154" s="41" t="str">
        <f>IFERROR(__xludf.DUMMYFUNCTION("""COMPUTED_VALUE"""),"FVFFML3NQ6L4")</f>
        <v>FVFFML3NQ6L4</v>
      </c>
      <c r="M154" s="41" t="str">
        <f>IFERROR(__xludf.DUMMYFUNCTION("""COMPUTED_VALUE"""),"陳怡婷")</f>
        <v>陳怡婷</v>
      </c>
      <c r="N154" s="65">
        <f>IFERROR(__xludf.DUMMYFUNCTION("""COMPUTED_VALUE"""),44348.0)</f>
        <v>44348</v>
      </c>
      <c r="O154" s="45">
        <f>IFERROR(__xludf.DUMMYFUNCTION("""COMPUTED_VALUE"""),9450.0)</f>
        <v>9450</v>
      </c>
      <c r="P154" s="41" t="str">
        <f>IFERROR(__xludf.DUMMYFUNCTION("""COMPUTED_VALUE"""),"資訊裝置")</f>
        <v>資訊裝置</v>
      </c>
      <c r="Q154" s="41">
        <f>IFERROR(__xludf.DUMMYFUNCTION("""COMPUTED_VALUE"""),36.0)</f>
        <v>36</v>
      </c>
      <c r="R154" s="41">
        <f>IFERROR(__xludf.DUMMYFUNCTION("""COMPUTED_VALUE"""),36.0)</f>
        <v>36</v>
      </c>
      <c r="S154" s="41" t="str">
        <f>IFERROR(__xludf.DUMMYFUNCTION("""COMPUTED_VALUE"""),"NT$9,450")</f>
        <v>NT$9,450</v>
      </c>
      <c r="T154" s="41" t="str">
        <f>IFERROR(__xludf.DUMMYFUNCTION("""COMPUTED_VALUE"""),"MBA13 (2020) M1/8GBRAM/256GBSSD")</f>
        <v>MBA13 (2020) M1/8GBRAM/256GBSSD</v>
      </c>
      <c r="U154" s="41"/>
      <c r="V154" s="41"/>
      <c r="W154" s="41"/>
      <c r="X154" s="45" t="str">
        <f>IFERROR(__xludf.DUMMYFUNCTION("""COMPUTED_VALUE"""),"")</f>
        <v/>
      </c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</row>
    <row r="155">
      <c r="B155" s="41"/>
      <c r="C155" s="41" t="str">
        <f>IFERROR(__xludf.DUMMYFUNCTION("""COMPUTED_VALUE"""),"滿三年更換")</f>
        <v>滿三年更換</v>
      </c>
      <c r="D155" s="41" t="str">
        <f>IFERROR(__xludf.DUMMYFUNCTION("""COMPUTED_VALUE"""),"TW")</f>
        <v>TW</v>
      </c>
      <c r="E155" s="41"/>
      <c r="F155" s="41"/>
      <c r="G155" s="41"/>
      <c r="H155" s="65" t="str">
        <f>IFERROR(__xludf.DUMMYFUNCTION("""COMPUTED_VALUE"""),"行銷營運中心:社群關係部:餐廳社群團隊")</f>
        <v>行銷營運中心:社群關係部:餐廳社群團隊</v>
      </c>
      <c r="I155" s="41" t="str">
        <f>IFERROR(__xludf.DUMMYFUNCTION("""COMPUTED_VALUE"""),"資訊裝置")</f>
        <v>資訊裝置</v>
      </c>
      <c r="J155" s="41" t="str">
        <f>IFERROR(__xludf.DUMMYFUNCTION("""COMPUTED_VALUE"""),"AICHIP02112082")</f>
        <v>AICHIP02112082</v>
      </c>
      <c r="K155" s="41" t="str">
        <f>IFERROR(__xludf.DUMMYFUNCTION("""COMPUTED_VALUE"""),"iPad")</f>
        <v>iPad</v>
      </c>
      <c r="L155" s="41" t="str">
        <f>IFERROR(__xludf.DUMMYFUNCTION("""COMPUTED_VALUE"""),"DMPRT42NG5VV")</f>
        <v>DMPRT42NG5VV</v>
      </c>
      <c r="M155" s="41" t="str">
        <f>IFERROR(__xludf.DUMMYFUNCTION("""COMPUTED_VALUE"""),"陳品宏")</f>
        <v>陳品宏</v>
      </c>
      <c r="N155" s="65">
        <f>IFERROR(__xludf.DUMMYFUNCTION("""COMPUTED_VALUE"""),42983.0)</f>
        <v>42983</v>
      </c>
      <c r="O155" s="41"/>
      <c r="P155" s="41" t="str">
        <f>IFERROR(__xludf.DUMMYFUNCTION("""COMPUTED_VALUE"""),"資訊裝置")</f>
        <v>資訊裝置</v>
      </c>
      <c r="Q155" s="41">
        <f>IFERROR(__xludf.DUMMYFUNCTION("""COMPUTED_VALUE"""),36.0)</f>
        <v>36</v>
      </c>
      <c r="R155" s="41">
        <f>IFERROR(__xludf.DUMMYFUNCTION("""COMPUTED_VALUE"""),36.0)</f>
        <v>36</v>
      </c>
      <c r="S155" s="41" t="str">
        <f>IFERROR(__xludf.DUMMYFUNCTION("""COMPUTED_VALUE"""),"NT$0")</f>
        <v>NT$0</v>
      </c>
      <c r="T155" s="41" t="str">
        <f>IFERROR(__xludf.DUMMYFUNCTION("""COMPUTED_VALUE"""),"iPad Air2 16GB Wifi (MH0W2TA/A)")</f>
        <v>iPad Air2 16GB Wifi (MH0W2TA/A)</v>
      </c>
      <c r="U155" s="41"/>
      <c r="V155" s="41"/>
      <c r="W155" s="41"/>
      <c r="X155" s="45" t="str">
        <f>IFERROR(__xludf.DUMMYFUNCTION("""COMPUTED_VALUE"""),"")</f>
        <v/>
      </c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</row>
    <row r="156">
      <c r="B156" s="41"/>
      <c r="C156" s="41" t="str">
        <f>IFERROR(__xludf.DUMMYFUNCTION("""COMPUTED_VALUE"""),"滿三年更換")</f>
        <v>滿三年更換</v>
      </c>
      <c r="D156" s="41" t="str">
        <f>IFERROR(__xludf.DUMMYFUNCTION("""COMPUTED_VALUE"""),"TW")</f>
        <v>TW</v>
      </c>
      <c r="E156" s="41"/>
      <c r="F156" s="41"/>
      <c r="G156" s="41"/>
      <c r="H156" s="65" t="str">
        <f>IFERROR(__xludf.DUMMYFUNCTION("""COMPUTED_VALUE"""),"研發中心:軟體工程部:QE團隊")</f>
        <v>研發中心:軟體工程部:QE團隊</v>
      </c>
      <c r="I156" s="41" t="str">
        <f>IFERROR(__xludf.DUMMYFUNCTION("""COMPUTED_VALUE"""),"資訊裝置")</f>
        <v>資訊裝置</v>
      </c>
      <c r="J156" s="41" t="str">
        <f>IFERROR(__xludf.DUMMYFUNCTION("""COMPUTED_VALUE"""),"AICHMP02206048")</f>
        <v>AICHMP02206048</v>
      </c>
      <c r="K156" s="41" t="str">
        <f>IFERROR(__xludf.DUMMYFUNCTION("""COMPUTED_VALUE"""),"Macbook Pro")</f>
        <v>Macbook Pro</v>
      </c>
      <c r="L156" s="41" t="str">
        <f>IFERROR(__xludf.DUMMYFUNCTION("""COMPUTED_VALUE"""),"XY14MWG6XW")</f>
        <v>XY14MWG6XW</v>
      </c>
      <c r="M156" s="41" t="str">
        <f>IFERROR(__xludf.DUMMYFUNCTION("""COMPUTED_VALUE"""),"陳妍臻")</f>
        <v>陳妍臻</v>
      </c>
      <c r="N156" s="65">
        <f>IFERROR(__xludf.DUMMYFUNCTION("""COMPUTED_VALUE"""),44720.0)</f>
        <v>44720</v>
      </c>
      <c r="O156" s="45">
        <f>IFERROR(__xludf.DUMMYFUNCTION("""COMPUTED_VALUE"""),81450.0)</f>
        <v>81450</v>
      </c>
      <c r="P156" s="41" t="str">
        <f>IFERROR(__xludf.DUMMYFUNCTION("""COMPUTED_VALUE"""),"資訊裝置")</f>
        <v>資訊裝置</v>
      </c>
      <c r="Q156" s="41">
        <f>IFERROR(__xludf.DUMMYFUNCTION("""COMPUTED_VALUE"""),36.0)</f>
        <v>36</v>
      </c>
      <c r="R156" s="41">
        <f>IFERROR(__xludf.DUMMYFUNCTION("""COMPUTED_VALUE"""),36.0)</f>
        <v>36</v>
      </c>
      <c r="S156" s="41" t="str">
        <f>IFERROR(__xludf.DUMMYFUNCTION("""COMPUTED_VALUE"""),"NT$81,450")</f>
        <v>NT$81,450</v>
      </c>
      <c r="T156" s="41" t="str">
        <f>IFERROR(__xludf.DUMMYFUNCTION("""COMPUTED_VALUE"""),"A2442 MBP14 (2021) M1 Max/32GBRAM/1TBSSD")</f>
        <v>A2442 MBP14 (2021) M1 Max/32GBRAM/1TBSSD</v>
      </c>
      <c r="U156" s="41"/>
      <c r="V156" s="41"/>
      <c r="W156" s="41"/>
      <c r="X156" s="45" t="str">
        <f>IFERROR(__xludf.DUMMYFUNCTION("""COMPUTED_VALUE"""),"")</f>
        <v/>
      </c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</row>
    <row r="157">
      <c r="B157" s="41"/>
      <c r="C157" s="41" t="str">
        <f>IFERROR(__xludf.DUMMYFUNCTION("""COMPUTED_VALUE"""),"滿三年更換")</f>
        <v>滿三年更換</v>
      </c>
      <c r="D157" s="41" t="str">
        <f>IFERROR(__xludf.DUMMYFUNCTION("""COMPUTED_VALUE"""),"TW")</f>
        <v>TW</v>
      </c>
      <c r="E157" s="41"/>
      <c r="F157" s="41"/>
      <c r="G157" s="41"/>
      <c r="H157" s="65" t="str">
        <f>IFERROR(__xludf.DUMMYFUNCTION("""COMPUTED_VALUE"""),"研發中心:軟體工程部:QE團隊")</f>
        <v>研發中心:軟體工程部:QE團隊</v>
      </c>
      <c r="I157" s="41" t="str">
        <f>IFERROR(__xludf.DUMMYFUNCTION("""COMPUTED_VALUE"""),"資訊裝置")</f>
        <v>資訊裝置</v>
      </c>
      <c r="J157" s="41" t="str">
        <f>IFERROR(__xludf.DUMMYFUNCTION("""COMPUTED_VALUE"""),"AICHIP02111079")</f>
        <v>AICHIP02111079</v>
      </c>
      <c r="K157" s="41" t="str">
        <f>IFERROR(__xludf.DUMMYFUNCTION("""COMPUTED_VALUE"""),"iPad 9")</f>
        <v>iPad 9</v>
      </c>
      <c r="L157" s="41" t="str">
        <f>IFERROR(__xludf.DUMMYFUNCTION("""COMPUTED_VALUE"""),"Q6KCD7GJ30")</f>
        <v>Q6KCD7GJ30</v>
      </c>
      <c r="M157" s="41" t="str">
        <f>IFERROR(__xludf.DUMMYFUNCTION("""COMPUTED_VALUE"""),"陳妍臻")</f>
        <v>陳妍臻</v>
      </c>
      <c r="N157" s="65">
        <f>IFERROR(__xludf.DUMMYFUNCTION("""COMPUTED_VALUE"""),44516.0)</f>
        <v>44516</v>
      </c>
      <c r="O157" s="45">
        <f>IFERROR(__xludf.DUMMYFUNCTION("""COMPUTED_VALUE"""),9450.0)</f>
        <v>9450</v>
      </c>
      <c r="P157" s="41" t="str">
        <f>IFERROR(__xludf.DUMMYFUNCTION("""COMPUTED_VALUE"""),"資訊裝置")</f>
        <v>資訊裝置</v>
      </c>
      <c r="Q157" s="41">
        <f>IFERROR(__xludf.DUMMYFUNCTION("""COMPUTED_VALUE"""),36.0)</f>
        <v>36</v>
      </c>
      <c r="R157" s="41">
        <f>IFERROR(__xludf.DUMMYFUNCTION("""COMPUTED_VALUE"""),36.0)</f>
        <v>36</v>
      </c>
      <c r="S157" s="41" t="str">
        <f>IFERROR(__xludf.DUMMYFUNCTION("""COMPUTED_VALUE"""),"NT$9,450")</f>
        <v>NT$9,450</v>
      </c>
      <c r="T157" s="41" t="str">
        <f>IFERROR(__xludf.DUMMYFUNCTION("""COMPUTED_VALUE"""),"iPad (第九代) 64GB WIFI (MK2L3TA/A)(A2602)")</f>
        <v>iPad (第九代) 64GB WIFI (MK2L3TA/A)(A2602)</v>
      </c>
      <c r="U157" s="41"/>
      <c r="V157" s="41"/>
      <c r="W157" s="41"/>
      <c r="X157" s="45" t="str">
        <f>IFERROR(__xludf.DUMMYFUNCTION("""COMPUTED_VALUE"""),"")</f>
        <v/>
      </c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</row>
    <row r="158">
      <c r="B158" s="41"/>
      <c r="C158" s="41" t="str">
        <f>IFERROR(__xludf.DUMMYFUNCTION("""COMPUTED_VALUE"""),"滿三年更換")</f>
        <v>滿三年更換</v>
      </c>
      <c r="D158" s="41" t="str">
        <f>IFERROR(__xludf.DUMMYFUNCTION("""COMPUTED_VALUE"""),"TW")</f>
        <v>TW</v>
      </c>
      <c r="E158" s="41"/>
      <c r="F158" s="41"/>
      <c r="G158" s="41"/>
      <c r="H158" s="65" t="str">
        <f>IFERROR(__xludf.DUMMYFUNCTION("""COMPUTED_VALUE"""),"研發中心:軟體工程部:QE團隊")</f>
        <v>研發中心:軟體工程部:QE團隊</v>
      </c>
      <c r="I158" s="41" t="str">
        <f>IFERROR(__xludf.DUMMYFUNCTION("""COMPUTED_VALUE"""),"資訊裝置")</f>
        <v>資訊裝置</v>
      </c>
      <c r="J158" s="41" t="str">
        <f>IFERROR(__xludf.DUMMYFUNCTION("""COMPUTED_VALUE"""),"AICHMN01604024")</f>
        <v>AICHMN01604024</v>
      </c>
      <c r="K158" s="41" t="str">
        <f>IFERROR(__xludf.DUMMYFUNCTION("""COMPUTED_VALUE"""),"螢幕")</f>
        <v>螢幕</v>
      </c>
      <c r="L158" s="41" t="str">
        <f>IFERROR(__xludf.DUMMYFUNCTION("""COMPUTED_VALUE"""),"CN-0MTYGK-64180-61T-04KL-A02")</f>
        <v>CN-0MTYGK-64180-61T-04KL-A02</v>
      </c>
      <c r="M158" s="41" t="str">
        <f>IFERROR(__xludf.DUMMYFUNCTION("""COMPUTED_VALUE"""),"陳妍臻")</f>
        <v>陳妍臻</v>
      </c>
      <c r="N158" s="65">
        <f>IFERROR(__xludf.DUMMYFUNCTION("""COMPUTED_VALUE"""),42468.0)</f>
        <v>42468</v>
      </c>
      <c r="O158" s="45">
        <f>IFERROR(__xludf.DUMMYFUNCTION("""COMPUTED_VALUE"""),81450.0)</f>
        <v>81450</v>
      </c>
      <c r="P158" s="41" t="str">
        <f>IFERROR(__xludf.DUMMYFUNCTION("""COMPUTED_VALUE"""),"資訊裝置")</f>
        <v>資訊裝置</v>
      </c>
      <c r="Q158" s="41">
        <f>IFERROR(__xludf.DUMMYFUNCTION("""COMPUTED_VALUE"""),36.0)</f>
        <v>36</v>
      </c>
      <c r="R158" s="41">
        <f>IFERROR(__xludf.DUMMYFUNCTION("""COMPUTED_VALUE"""),36.0)</f>
        <v>36</v>
      </c>
      <c r="S158" s="41" t="str">
        <f>IFERROR(__xludf.DUMMYFUNCTION("""COMPUTED_VALUE"""),"NT$81,450")</f>
        <v>NT$81,450</v>
      </c>
      <c r="T158" s="41" t="str">
        <f>IFERROR(__xludf.DUMMYFUNCTION("""COMPUTED_VALUE"""),"Dell 24吋 U2412Mc")</f>
        <v>Dell 24吋 U2412Mc</v>
      </c>
      <c r="U158" s="41"/>
      <c r="V158" s="41"/>
      <c r="W158" s="41"/>
      <c r="X158" s="45" t="str">
        <f>IFERROR(__xludf.DUMMYFUNCTION("""COMPUTED_VALUE"""),"")</f>
        <v/>
      </c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</row>
    <row r="159">
      <c r="B159" s="41"/>
      <c r="C159" s="41" t="str">
        <f>IFERROR(__xludf.DUMMYFUNCTION("""COMPUTED_VALUE"""),"滿三年更換")</f>
        <v>滿三年更換</v>
      </c>
      <c r="D159" s="41" t="str">
        <f>IFERROR(__xludf.DUMMYFUNCTION("""COMPUTED_VALUE"""),"TW")</f>
        <v>TW</v>
      </c>
      <c r="E159" s="41"/>
      <c r="F159" s="41"/>
      <c r="G159" s="41"/>
      <c r="H159" s="65" t="str">
        <f>IFERROR(__xludf.DUMMYFUNCTION("""COMPUTED_VALUE"""),"研發中心:軟體工程部:QE團隊")</f>
        <v>研發中心:軟體工程部:QE團隊</v>
      </c>
      <c r="I159" s="41" t="str">
        <f>IFERROR(__xludf.DUMMYFUNCTION("""COMPUTED_VALUE"""),"資訊裝置")</f>
        <v>資訊裝置</v>
      </c>
      <c r="J159" s="41" t="str">
        <f>IFERROR(__xludf.DUMMYFUNCTION("""COMPUTED_VALUE"""),"AICHMN02209118")</f>
        <v>AICHMN02209118</v>
      </c>
      <c r="K159" s="41" t="str">
        <f>IFERROR(__xludf.DUMMYFUNCTION("""COMPUTED_VALUE"""),"螢幕")</f>
        <v>螢幕</v>
      </c>
      <c r="L159" s="41" t="str">
        <f>IFERROR(__xludf.DUMMYFUNCTION("""COMPUTED_VALUE"""),"N6LMTF092419")</f>
        <v>N6LMTF092419</v>
      </c>
      <c r="M159" s="41" t="str">
        <f>IFERROR(__xludf.DUMMYFUNCTION("""COMPUTED_VALUE"""),"陳妍臻")</f>
        <v>陳妍臻</v>
      </c>
      <c r="N159" s="65">
        <f>IFERROR(__xludf.DUMMYFUNCTION("""COMPUTED_VALUE"""),44818.0)</f>
        <v>44818</v>
      </c>
      <c r="O159" s="45">
        <f>IFERROR(__xludf.DUMMYFUNCTION("""COMPUTED_VALUE"""),13190.0)</f>
        <v>13190</v>
      </c>
      <c r="P159" s="41" t="str">
        <f>IFERROR(__xludf.DUMMYFUNCTION("""COMPUTED_VALUE"""),"資訊裝置")</f>
        <v>資訊裝置</v>
      </c>
      <c r="Q159" s="41">
        <f>IFERROR(__xludf.DUMMYFUNCTION("""COMPUTED_VALUE"""),36.0)</f>
        <v>36</v>
      </c>
      <c r="R159" s="41">
        <f>IFERROR(__xludf.DUMMYFUNCTION("""COMPUTED_VALUE"""),37.0)</f>
        <v>37</v>
      </c>
      <c r="S159" s="41" t="str">
        <f>IFERROR(__xludf.DUMMYFUNCTION("""COMPUTED_VALUE"""),"NT$13,556")</f>
        <v>NT$13,556</v>
      </c>
      <c r="T159" s="41" t="str">
        <f>IFERROR(__xludf.DUMMYFUNCTION("""COMPUTED_VALUE"""),"ASUS 27吋 VG277")</f>
        <v>ASUS 27吋 VG277</v>
      </c>
      <c r="U159" s="41"/>
      <c r="V159" s="41"/>
      <c r="W159" s="41"/>
      <c r="X159" s="45" t="str">
        <f>IFERROR(__xludf.DUMMYFUNCTION("""COMPUTED_VALUE"""),"")</f>
        <v/>
      </c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</row>
    <row r="160">
      <c r="B160" s="41"/>
      <c r="C160" s="41" t="str">
        <f>IFERROR(__xludf.DUMMYFUNCTION("""COMPUTED_VALUE"""),"滿三年更換")</f>
        <v>滿三年更換</v>
      </c>
      <c r="D160" s="41" t="str">
        <f>IFERROR(__xludf.DUMMYFUNCTION("""COMPUTED_VALUE"""),"TW")</f>
        <v>TW</v>
      </c>
      <c r="E160" s="41"/>
      <c r="F160" s="41"/>
      <c r="G160" s="41"/>
      <c r="H160" s="65" t="str">
        <f>IFERROR(__xludf.DUMMYFUNCTION("""COMPUTED_VALUE"""),"研發中心:產品設計部:產品經理團隊")</f>
        <v>研發中心:產品設計部:產品經理團隊</v>
      </c>
      <c r="I160" s="41" t="str">
        <f>IFERROR(__xludf.DUMMYFUNCTION("""COMPUTED_VALUE"""),"資訊裝置")</f>
        <v>資訊裝置</v>
      </c>
      <c r="J160" s="41" t="str">
        <f>IFERROR(__xludf.DUMMYFUNCTION("""COMPUTED_VALUE"""),"AICHMC01605004")</f>
        <v>AICHMC01605004</v>
      </c>
      <c r="K160" s="41" t="str">
        <f>IFERROR(__xludf.DUMMYFUNCTION("""COMPUTED_VALUE"""),"Mac mini")</f>
        <v>Mac mini</v>
      </c>
      <c r="L160" s="41" t="str">
        <f>IFERROR(__xludf.DUMMYFUNCTION("""COMPUTED_VALUE"""),"C07RJ0WKG1J2")</f>
        <v>C07RJ0WKG1J2</v>
      </c>
      <c r="M160" s="41" t="str">
        <f>IFERROR(__xludf.DUMMYFUNCTION("""COMPUTED_VALUE"""),"陳彥廷")</f>
        <v>陳彥廷</v>
      </c>
      <c r="N160" s="65">
        <f>IFERROR(__xludf.DUMMYFUNCTION("""COMPUTED_VALUE"""),42509.0)</f>
        <v>42509</v>
      </c>
      <c r="O160" s="45">
        <f>IFERROR(__xludf.DUMMYFUNCTION("""COMPUTED_VALUE"""),52500.0)</f>
        <v>52500</v>
      </c>
      <c r="P160" s="41" t="str">
        <f>IFERROR(__xludf.DUMMYFUNCTION("""COMPUTED_VALUE"""),"資訊裝置")</f>
        <v>資訊裝置</v>
      </c>
      <c r="Q160" s="41">
        <f>IFERROR(__xludf.DUMMYFUNCTION("""COMPUTED_VALUE"""),36.0)</f>
        <v>36</v>
      </c>
      <c r="R160" s="41">
        <f>IFERROR(__xludf.DUMMYFUNCTION("""COMPUTED_VALUE"""),36.0)</f>
        <v>36</v>
      </c>
      <c r="S160" s="41" t="str">
        <f>IFERROR(__xludf.DUMMYFUNCTION("""COMPUTED_VALUE"""),"NT$52,500")</f>
        <v>NT$52,500</v>
      </c>
      <c r="T160" s="41" t="str">
        <f>IFERROR(__xludf.DUMMYFUNCTION("""COMPUTED_VALUE"""),"等保管人回報設備規格")</f>
        <v>等保管人回報設備規格</v>
      </c>
      <c r="U160" s="41"/>
      <c r="V160" s="41"/>
      <c r="W160" s="41"/>
      <c r="X160" s="45" t="str">
        <f>IFERROR(__xludf.DUMMYFUNCTION("""COMPUTED_VALUE"""),"")</f>
        <v/>
      </c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</row>
    <row r="161">
      <c r="B161" s="41"/>
      <c r="C161" s="41" t="str">
        <f>IFERROR(__xludf.DUMMYFUNCTION("""COMPUTED_VALUE"""),"滿三年更換")</f>
        <v>滿三年更換</v>
      </c>
      <c r="D161" s="41" t="str">
        <f>IFERROR(__xludf.DUMMYFUNCTION("""COMPUTED_VALUE"""),"TW")</f>
        <v>TW</v>
      </c>
      <c r="E161" s="41"/>
      <c r="F161" s="41"/>
      <c r="G161" s="41"/>
      <c r="H161" s="65" t="str">
        <f>IFERROR(__xludf.DUMMYFUNCTION("""COMPUTED_VALUE"""),"研發中心:產品設計部:產品經理團隊")</f>
        <v>研發中心:產品設計部:產品經理團隊</v>
      </c>
      <c r="I161" s="41" t="str">
        <f>IFERROR(__xludf.DUMMYFUNCTION("""COMPUTED_VALUE"""),"資訊裝置")</f>
        <v>資訊裝置</v>
      </c>
      <c r="J161" s="41" t="str">
        <f>IFERROR(__xludf.DUMMYFUNCTION("""COMPUTED_VALUE"""),"AICHMP02302057")</f>
        <v>AICHMP02302057</v>
      </c>
      <c r="K161" s="41" t="str">
        <f>IFERROR(__xludf.DUMMYFUNCTION("""COMPUTED_VALUE"""),"Macbook Pro")</f>
        <v>Macbook Pro</v>
      </c>
      <c r="L161" s="41" t="str">
        <f>IFERROR(__xludf.DUMMYFUNCTION("""COMPUTED_VALUE"""),"JJ3CX1TFMP")</f>
        <v>JJ3CX1TFMP</v>
      </c>
      <c r="M161" s="41" t="str">
        <f>IFERROR(__xludf.DUMMYFUNCTION("""COMPUTED_VALUE"""),"陳彥廷")</f>
        <v>陳彥廷</v>
      </c>
      <c r="N161" s="65">
        <f>IFERROR(__xludf.DUMMYFUNCTION("""COMPUTED_VALUE"""),44959.0)</f>
        <v>44959</v>
      </c>
      <c r="O161" s="45">
        <f>IFERROR(__xludf.DUMMYFUNCTION("""COMPUTED_VALUE"""),76200.0)</f>
        <v>76200</v>
      </c>
      <c r="P161" s="41" t="str">
        <f>IFERROR(__xludf.DUMMYFUNCTION("""COMPUTED_VALUE"""),"資訊裝置")</f>
        <v>資訊裝置</v>
      </c>
      <c r="Q161" s="41">
        <f>IFERROR(__xludf.DUMMYFUNCTION("""COMPUTED_VALUE"""),36.0)</f>
        <v>36</v>
      </c>
      <c r="R161" s="41">
        <f>IFERROR(__xludf.DUMMYFUNCTION("""COMPUTED_VALUE"""),33.0)</f>
        <v>33</v>
      </c>
      <c r="S161" s="41" t="str">
        <f>IFERROR(__xludf.DUMMYFUNCTION("""COMPUTED_VALUE"""),"NT$69,849")</f>
        <v>NT$69,849</v>
      </c>
      <c r="T161" s="41" t="str">
        <f>IFERROR(__xludf.DUMMYFUNCTION("""COMPUTED_VALUE"""),"MBP14 (2021) M1Max/32GBRAM/512GBSSD")</f>
        <v>MBP14 (2021) M1Max/32GBRAM/512GBSSD</v>
      </c>
      <c r="U161" s="41"/>
      <c r="V161" s="41"/>
      <c r="W161" s="41"/>
      <c r="X161" s="45" t="str">
        <f>IFERROR(__xludf.DUMMYFUNCTION("""COMPUTED_VALUE"""),"")</f>
        <v/>
      </c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</row>
    <row r="162">
      <c r="B162" s="41"/>
      <c r="C162" s="41" t="str">
        <f>IFERROR(__xludf.DUMMYFUNCTION("""COMPUTED_VALUE"""),"滿三年更換")</f>
        <v>滿三年更換</v>
      </c>
      <c r="D162" s="41" t="str">
        <f>IFERROR(__xludf.DUMMYFUNCTION("""COMPUTED_VALUE"""),"TW")</f>
        <v>TW</v>
      </c>
      <c r="E162" s="41"/>
      <c r="F162" s="41"/>
      <c r="G162" s="41"/>
      <c r="H162" s="65" t="str">
        <f>IFERROR(__xludf.DUMMYFUNCTION("""COMPUTED_VALUE"""),"研發中心:產品設計部:產品經理團隊")</f>
        <v>研發中心:產品設計部:產品經理團隊</v>
      </c>
      <c r="I162" s="41" t="str">
        <f>IFERROR(__xludf.DUMMYFUNCTION("""COMPUTED_VALUE"""),"資訊裝置")</f>
        <v>資訊裝置</v>
      </c>
      <c r="J162" s="41" t="str">
        <f>IFERROR(__xludf.DUMMYFUNCTION("""COMPUTED_VALUE"""),"AICHIP01907014")</f>
        <v>AICHIP01907014</v>
      </c>
      <c r="K162" s="41" t="str">
        <f>IFERROR(__xludf.DUMMYFUNCTION("""COMPUTED_VALUE"""),"iPad Air")</f>
        <v>iPad Air</v>
      </c>
      <c r="L162" s="41" t="str">
        <f>IFERROR(__xludf.DUMMYFUNCTION("""COMPUTED_VALUE"""),"DMPXVW7RJMVR")</f>
        <v>DMPXVW7RJMVR</v>
      </c>
      <c r="M162" s="41" t="str">
        <f>IFERROR(__xludf.DUMMYFUNCTION("""COMPUTED_VALUE"""),"陳彥廷")</f>
        <v>陳彥廷</v>
      </c>
      <c r="N162" s="65">
        <f>IFERROR(__xludf.DUMMYFUNCTION("""COMPUTED_VALUE"""),43646.0)</f>
        <v>43646</v>
      </c>
      <c r="O162" s="45">
        <f>IFERROR(__xludf.DUMMYFUNCTION("""COMPUTED_VALUE"""),9446.0)</f>
        <v>9446</v>
      </c>
      <c r="P162" s="41" t="str">
        <f>IFERROR(__xludf.DUMMYFUNCTION("""COMPUTED_VALUE"""),"資訊裝置")</f>
        <v>資訊裝置</v>
      </c>
      <c r="Q162" s="41">
        <f>IFERROR(__xludf.DUMMYFUNCTION("""COMPUTED_VALUE"""),36.0)</f>
        <v>36</v>
      </c>
      <c r="R162" s="41">
        <f>IFERROR(__xludf.DUMMYFUNCTION("""COMPUTED_VALUE"""),36.0)</f>
        <v>36</v>
      </c>
      <c r="S162" s="41" t="str">
        <f>IFERROR(__xludf.DUMMYFUNCTION("""COMPUTED_VALUE"""),"NT$9,446")</f>
        <v>NT$9,446</v>
      </c>
      <c r="T162" s="41" t="str">
        <f>IFERROR(__xludf.DUMMYFUNCTION("""COMPUTED_VALUE"""),"iPad (第六代) WI-FI 32GB(MRJN2TA/A)")</f>
        <v>iPad (第六代) WI-FI 32GB(MRJN2TA/A)</v>
      </c>
      <c r="U162" s="41"/>
      <c r="V162" s="41"/>
      <c r="W162" s="41"/>
      <c r="X162" s="45" t="str">
        <f>IFERROR(__xludf.DUMMYFUNCTION("""COMPUTED_VALUE"""),"")</f>
        <v/>
      </c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</row>
    <row r="163">
      <c r="B163" s="41"/>
      <c r="C163" s="41" t="str">
        <f>IFERROR(__xludf.DUMMYFUNCTION("""COMPUTED_VALUE"""),"滿三年更換")</f>
        <v>滿三年更換</v>
      </c>
      <c r="D163" s="41" t="str">
        <f>IFERROR(__xludf.DUMMYFUNCTION("""COMPUTED_VALUE"""),"TW")</f>
        <v>TW</v>
      </c>
      <c r="E163" s="41"/>
      <c r="F163" s="41"/>
      <c r="G163" s="41"/>
      <c r="H163" s="65" t="str">
        <f>IFERROR(__xludf.DUMMYFUNCTION("""COMPUTED_VALUE"""),"研發中心:產品設計部:產品經理團隊")</f>
        <v>研發中心:產品設計部:產品經理團隊</v>
      </c>
      <c r="I163" s="41" t="str">
        <f>IFERROR(__xludf.DUMMYFUNCTION("""COMPUTED_VALUE"""),"資訊裝置")</f>
        <v>資訊裝置</v>
      </c>
      <c r="J163" s="41" t="str">
        <f>IFERROR(__xludf.DUMMYFUNCTION("""COMPUTED_VALUE"""),"AICHMN02103097")</f>
        <v>AICHMN02103097</v>
      </c>
      <c r="K163" s="41" t="str">
        <f>IFERROR(__xludf.DUMMYFUNCTION("""COMPUTED_VALUE"""),"螢幕")</f>
        <v>螢幕</v>
      </c>
      <c r="L163" s="41" t="str">
        <f>IFERROR(__xludf.DUMMYFUNCTION("""COMPUTED_VALUE"""),"M1LMTF097085")</f>
        <v>M1LMTF097085</v>
      </c>
      <c r="M163" s="41" t="str">
        <f>IFERROR(__xludf.DUMMYFUNCTION("""COMPUTED_VALUE"""),"陳彥廷")</f>
        <v>陳彥廷</v>
      </c>
      <c r="N163" s="65">
        <f>IFERROR(__xludf.DUMMYFUNCTION("""COMPUTED_VALUE"""),44266.0)</f>
        <v>44266</v>
      </c>
      <c r="O163" s="41"/>
      <c r="P163" s="41" t="str">
        <f>IFERROR(__xludf.DUMMYFUNCTION("""COMPUTED_VALUE"""),"資訊裝置")</f>
        <v>資訊裝置</v>
      </c>
      <c r="Q163" s="41">
        <f>IFERROR(__xludf.DUMMYFUNCTION("""COMPUTED_VALUE"""),36.0)</f>
        <v>36</v>
      </c>
      <c r="R163" s="41">
        <f>IFERROR(__xludf.DUMMYFUNCTION("""COMPUTED_VALUE"""),36.0)</f>
        <v>36</v>
      </c>
      <c r="S163" s="41" t="str">
        <f>IFERROR(__xludf.DUMMYFUNCTION("""COMPUTED_VALUE"""),"NT$0")</f>
        <v>NT$0</v>
      </c>
      <c r="T163" s="41" t="str">
        <f>IFERROR(__xludf.DUMMYFUNCTION("""COMPUTED_VALUE"""),"ASUS 32吋 VQ32V")</f>
        <v>ASUS 32吋 VQ32V</v>
      </c>
      <c r="U163" s="41"/>
      <c r="V163" s="41"/>
      <c r="W163" s="41"/>
      <c r="X163" s="45" t="str">
        <f>IFERROR(__xludf.DUMMYFUNCTION("""COMPUTED_VALUE"""),"")</f>
        <v/>
      </c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</row>
    <row r="164">
      <c r="B164" s="41"/>
      <c r="C164" s="41" t="str">
        <f>IFERROR(__xludf.DUMMYFUNCTION("""COMPUTED_VALUE"""),"滿三年更換")</f>
        <v>滿三年更換</v>
      </c>
      <c r="D164" s="41" t="str">
        <f>IFERROR(__xludf.DUMMYFUNCTION("""COMPUTED_VALUE"""),"TW")</f>
        <v>TW</v>
      </c>
      <c r="E164" s="41"/>
      <c r="F164" s="41"/>
      <c r="G164" s="41"/>
      <c r="H164" s="65" t="str">
        <f>IFERROR(__xludf.DUMMYFUNCTION("""COMPUTED_VALUE"""),"研發中心:產品設計部:產品設計師團隊")</f>
        <v>研發中心:產品設計部:產品設計師團隊</v>
      </c>
      <c r="I164" s="41" t="str">
        <f>IFERROR(__xludf.DUMMYFUNCTION("""COMPUTED_VALUE"""),"資訊裝置")</f>
        <v>資訊裝置</v>
      </c>
      <c r="J164" s="41" t="str">
        <f>IFERROR(__xludf.DUMMYFUNCTION("""COMPUTED_VALUE"""),"AICHIP02002019")</f>
        <v>AICHIP02002019</v>
      </c>
      <c r="K164" s="41" t="str">
        <f>IFERROR(__xludf.DUMMYFUNCTION("""COMPUTED_VALUE"""),"iPad Air")</f>
        <v>iPad Air</v>
      </c>
      <c r="L164" s="41" t="str">
        <f>IFERROR(__xludf.DUMMYFUNCTION("""COMPUTED_VALUE"""),"DMPYW0SBJMVR")</f>
        <v>DMPYW0SBJMVR</v>
      </c>
      <c r="M164" s="41" t="str">
        <f>IFERROR(__xludf.DUMMYFUNCTION("""COMPUTED_VALUE"""),"陳彥豪")</f>
        <v>陳彥豪</v>
      </c>
      <c r="N164" s="65">
        <f>IFERROR(__xludf.DUMMYFUNCTION("""COMPUTED_VALUE"""),43888.0)</f>
        <v>43888</v>
      </c>
      <c r="O164" s="45">
        <f>IFERROR(__xludf.DUMMYFUNCTION("""COMPUTED_VALUE"""),9374.0)</f>
        <v>9374</v>
      </c>
      <c r="P164" s="41" t="str">
        <f>IFERROR(__xludf.DUMMYFUNCTION("""COMPUTED_VALUE"""),"資訊裝置")</f>
        <v>資訊裝置</v>
      </c>
      <c r="Q164" s="41">
        <f>IFERROR(__xludf.DUMMYFUNCTION("""COMPUTED_VALUE"""),36.0)</f>
        <v>36</v>
      </c>
      <c r="R164" s="41">
        <f>IFERROR(__xludf.DUMMYFUNCTION("""COMPUTED_VALUE"""),36.0)</f>
        <v>36</v>
      </c>
      <c r="S164" s="41" t="str">
        <f>IFERROR(__xludf.DUMMYFUNCTION("""COMPUTED_VALUE"""),"NT$9,374")</f>
        <v>NT$9,374</v>
      </c>
      <c r="T164" s="41" t="str">
        <f>IFERROR(__xludf.DUMMYFUNCTION("""COMPUTED_VALUE"""),"iPad (第六代) 32GB WiFi(A1893)")</f>
        <v>iPad (第六代) 32GB WiFi(A1893)</v>
      </c>
      <c r="U164" s="41"/>
      <c r="V164" s="41"/>
      <c r="W164" s="41"/>
      <c r="X164" s="45" t="str">
        <f>IFERROR(__xludf.DUMMYFUNCTION("""COMPUTED_VALUE"""),"")</f>
        <v/>
      </c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</row>
    <row r="165">
      <c r="B165" s="41"/>
      <c r="C165" s="41" t="str">
        <f>IFERROR(__xludf.DUMMYFUNCTION("""COMPUTED_VALUE"""),"滿三年更換")</f>
        <v>滿三年更換</v>
      </c>
      <c r="D165" s="41" t="str">
        <f>IFERROR(__xludf.DUMMYFUNCTION("""COMPUTED_VALUE"""),"TW")</f>
        <v>TW</v>
      </c>
      <c r="E165" s="41"/>
      <c r="F165" s="41"/>
      <c r="G165" s="41"/>
      <c r="H165" s="65" t="str">
        <f>IFERROR(__xludf.DUMMYFUNCTION("""COMPUTED_VALUE"""),"研發中心:產品設計部:產品設計師團隊")</f>
        <v>研發中心:產品設計部:產品設計師團隊</v>
      </c>
      <c r="I165" s="41" t="str">
        <f>IFERROR(__xludf.DUMMYFUNCTION("""COMPUTED_VALUE"""),"資訊裝置")</f>
        <v>資訊裝置</v>
      </c>
      <c r="J165" s="41" t="str">
        <f>IFERROR(__xludf.DUMMYFUNCTION("""COMPUTED_VALUE"""),"AICHMN01811051")</f>
        <v>AICHMN01811051</v>
      </c>
      <c r="K165" s="41" t="str">
        <f>IFERROR(__xludf.DUMMYFUNCTION("""COMPUTED_VALUE"""),"螢幕")</f>
        <v>螢幕</v>
      </c>
      <c r="L165" s="41" t="str">
        <f>IFERROR(__xludf.DUMMYFUNCTION("""COMPUTED_VALUE"""),"CN-07N2FG-TV100-85M-029U-A07")</f>
        <v>CN-07N2FG-TV100-85M-029U-A07</v>
      </c>
      <c r="M165" s="41" t="str">
        <f>IFERROR(__xludf.DUMMYFUNCTION("""COMPUTED_VALUE"""),"陳彥豪")</f>
        <v>陳彥豪</v>
      </c>
      <c r="N165" s="66">
        <f>IFERROR(__xludf.DUMMYFUNCTION("""COMPUTED_VALUE"""),43389.0)</f>
        <v>43389</v>
      </c>
      <c r="O165" s="41"/>
      <c r="P165" s="41" t="str">
        <f>IFERROR(__xludf.DUMMYFUNCTION("""COMPUTED_VALUE"""),"資訊裝置")</f>
        <v>資訊裝置</v>
      </c>
      <c r="Q165" s="41">
        <f>IFERROR(__xludf.DUMMYFUNCTION("""COMPUTED_VALUE"""),36.0)</f>
        <v>36</v>
      </c>
      <c r="R165" s="41">
        <f>IFERROR(__xludf.DUMMYFUNCTION("""COMPUTED_VALUE"""),36.0)</f>
        <v>36</v>
      </c>
      <c r="S165" s="41" t="str">
        <f>IFERROR(__xludf.DUMMYFUNCTION("""COMPUTED_VALUE"""),"NT$0")</f>
        <v>NT$0</v>
      </c>
      <c r="T165" s="41" t="str">
        <f>IFERROR(__xludf.DUMMYFUNCTION("""COMPUTED_VALUE"""),"Dell 24吋 U2412Mc")</f>
        <v>Dell 24吋 U2412Mc</v>
      </c>
      <c r="U165" s="41"/>
      <c r="V165" s="41"/>
      <c r="W165" s="41"/>
      <c r="X165" s="45" t="str">
        <f>IFERROR(__xludf.DUMMYFUNCTION("""COMPUTED_VALUE"""),"")</f>
        <v/>
      </c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</row>
    <row r="166">
      <c r="B166" s="41"/>
      <c r="C166" s="41" t="str">
        <f>IFERROR(__xludf.DUMMYFUNCTION("""COMPUTED_VALUE"""),"滿三年更換")</f>
        <v>滿三年更換</v>
      </c>
      <c r="D166" s="41" t="str">
        <f>IFERROR(__xludf.DUMMYFUNCTION("""COMPUTED_VALUE"""),"TW")</f>
        <v>TW</v>
      </c>
      <c r="E166" s="41"/>
      <c r="F166" s="41"/>
      <c r="G166" s="41"/>
      <c r="H166" s="41" t="str">
        <f>IFERROR(__xludf.DUMMYFUNCTION("""COMPUTED_VALUE"""),"管理中心:行政總務部")</f>
        <v>管理中心:行政總務部</v>
      </c>
      <c r="I166" s="41" t="str">
        <f>IFERROR(__xludf.DUMMYFUNCTION("""COMPUTED_VALUE"""),"資訊裝置")</f>
        <v>資訊裝置</v>
      </c>
      <c r="J166" s="41" t="str">
        <f>IFERROR(__xludf.DUMMYFUNCTION("""COMPUTED_VALUE"""),"AICHPC01504001")</f>
        <v>AICHPC01504001</v>
      </c>
      <c r="K166" s="41" t="str">
        <f>IFERROR(__xludf.DUMMYFUNCTION("""COMPUTED_VALUE"""),"桌上型主機")</f>
        <v>桌上型主機</v>
      </c>
      <c r="L166" s="41"/>
      <c r="M166" s="41" t="str">
        <f>IFERROR(__xludf.DUMMYFUNCTION("""COMPUTED_VALUE"""),"陳韋如")</f>
        <v>陳韋如</v>
      </c>
      <c r="N166" s="66">
        <f>IFERROR(__xludf.DUMMYFUNCTION("""COMPUTED_VALUE"""),44484.0)</f>
        <v>44484</v>
      </c>
      <c r="O166" s="45">
        <f>IFERROR(__xludf.DUMMYFUNCTION("""COMPUTED_VALUE"""),0.0)</f>
        <v>0</v>
      </c>
      <c r="P166" s="41" t="str">
        <f>IFERROR(__xludf.DUMMYFUNCTION("""COMPUTED_VALUE"""),"資訊裝置")</f>
        <v>資訊裝置</v>
      </c>
      <c r="Q166" s="41">
        <f>IFERROR(__xludf.DUMMYFUNCTION("""COMPUTED_VALUE"""),36.0)</f>
        <v>36</v>
      </c>
      <c r="R166" s="41">
        <f>IFERROR(__xludf.DUMMYFUNCTION("""COMPUTED_VALUE"""),36.0)</f>
        <v>36</v>
      </c>
      <c r="S166" s="41" t="str">
        <f>IFERROR(__xludf.DUMMYFUNCTION("""COMPUTED_VALUE"""),"NT$0")</f>
        <v>NT$0</v>
      </c>
      <c r="T166" s="41" t="str">
        <f>IFERROR(__xludf.DUMMYFUNCTION("""COMPUTED_VALUE"""),"HP ElliteDesk 800G1 SFF")</f>
        <v>HP ElliteDesk 800G1 SFF</v>
      </c>
      <c r="U166" s="41"/>
      <c r="V166" s="41"/>
      <c r="W166" s="41"/>
      <c r="X166" s="45" t="str">
        <f>IFERROR(__xludf.DUMMYFUNCTION("""COMPUTED_VALUE"""),"")</f>
        <v/>
      </c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</row>
    <row r="167">
      <c r="B167" s="41"/>
      <c r="C167" s="41" t="str">
        <f>IFERROR(__xludf.DUMMYFUNCTION("""COMPUTED_VALUE"""),"滿三年更換")</f>
        <v>滿三年更換</v>
      </c>
      <c r="D167" s="41" t="str">
        <f>IFERROR(__xludf.DUMMYFUNCTION("""COMPUTED_VALUE"""),"TW")</f>
        <v>TW</v>
      </c>
      <c r="E167" s="41"/>
      <c r="F167" s="41"/>
      <c r="G167" s="41"/>
      <c r="H167" s="65" t="str">
        <f>IFERROR(__xludf.DUMMYFUNCTION("""COMPUTED_VALUE"""),"行銷營運中心:銷售營運部:銷售顧問團隊")</f>
        <v>行銷營運中心:銷售營運部:銷售顧問團隊</v>
      </c>
      <c r="I167" s="41" t="str">
        <f>IFERROR(__xludf.DUMMYFUNCTION("""COMPUTED_VALUE"""),"資訊裝置")</f>
        <v>資訊裝置</v>
      </c>
      <c r="J167" s="41" t="str">
        <f>IFERROR(__xludf.DUMMYFUNCTION("""COMPUTED_VALUE"""),"AICHMA02104017")</f>
        <v>AICHMA02104017</v>
      </c>
      <c r="K167" s="41" t="str">
        <f>IFERROR(__xludf.DUMMYFUNCTION("""COMPUTED_VALUE"""),"Macbook Air")</f>
        <v>Macbook Air</v>
      </c>
      <c r="L167" s="41" t="str">
        <f>IFERROR(__xludf.DUMMYFUNCTION("""COMPUTED_VALUE"""),"FVFFDHFZQ6LC")</f>
        <v>FVFFDHFZQ6LC</v>
      </c>
      <c r="M167" s="41" t="str">
        <f>IFERROR(__xludf.DUMMYFUNCTION("""COMPUTED_VALUE"""),"陳晉廷")</f>
        <v>陳晉廷</v>
      </c>
      <c r="N167" s="65">
        <f>IFERROR(__xludf.DUMMYFUNCTION("""COMPUTED_VALUE"""),44294.0)</f>
        <v>44294</v>
      </c>
      <c r="O167" s="45">
        <f>IFERROR(__xludf.DUMMYFUNCTION("""COMPUTED_VALUE"""),27075.0)</f>
        <v>27075</v>
      </c>
      <c r="P167" s="41" t="str">
        <f>IFERROR(__xludf.DUMMYFUNCTION("""COMPUTED_VALUE"""),"資訊裝置")</f>
        <v>資訊裝置</v>
      </c>
      <c r="Q167" s="41">
        <f>IFERROR(__xludf.DUMMYFUNCTION("""COMPUTED_VALUE"""),36.0)</f>
        <v>36</v>
      </c>
      <c r="R167" s="41">
        <f>IFERROR(__xludf.DUMMYFUNCTION("""COMPUTED_VALUE"""),36.0)</f>
        <v>36</v>
      </c>
      <c r="S167" s="41" t="str">
        <f>IFERROR(__xludf.DUMMYFUNCTION("""COMPUTED_VALUE"""),"NT$27,075")</f>
        <v>NT$27,075</v>
      </c>
      <c r="T167" s="41" t="str">
        <f>IFERROR(__xludf.DUMMYFUNCTION("""COMPUTED_VALUE"""),"MBA13 (2020) M1/8GBRAM/256GBSSD")</f>
        <v>MBA13 (2020) M1/8GBRAM/256GBSSD</v>
      </c>
      <c r="U167" s="41"/>
      <c r="V167" s="41"/>
      <c r="W167" s="41"/>
      <c r="X167" s="45" t="str">
        <f>IFERROR(__xludf.DUMMYFUNCTION("""COMPUTED_VALUE"""),"")</f>
        <v/>
      </c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</row>
    <row r="168">
      <c r="B168" s="41"/>
      <c r="C168" s="41" t="str">
        <f>IFERROR(__xludf.DUMMYFUNCTION("""COMPUTED_VALUE"""),"滿三年更換")</f>
        <v>滿三年更換</v>
      </c>
      <c r="D168" s="41" t="str">
        <f>IFERROR(__xludf.DUMMYFUNCTION("""COMPUTED_VALUE"""),"TW")</f>
        <v>TW</v>
      </c>
      <c r="E168" s="41"/>
      <c r="F168" s="41"/>
      <c r="G168" s="41"/>
      <c r="H168" s="65" t="str">
        <f>IFERROR(__xludf.DUMMYFUNCTION("""COMPUTED_VALUE"""),"行銷營運中心:銷售營運部:銷售顧問團隊")</f>
        <v>行銷營運中心:銷售營運部:銷售顧問團隊</v>
      </c>
      <c r="I168" s="41" t="str">
        <f>IFERROR(__xludf.DUMMYFUNCTION("""COMPUTED_VALUE"""),"資訊裝置")</f>
        <v>資訊裝置</v>
      </c>
      <c r="J168" s="41" t="str">
        <f>IFERROR(__xludf.DUMMYFUNCTION("""COMPUTED_VALUE"""),"AICHIP02106061")</f>
        <v>AICHIP02106061</v>
      </c>
      <c r="K168" s="41" t="str">
        <f>IFERROR(__xludf.DUMMYFUNCTION("""COMPUTED_VALUE"""),"iPad")</f>
        <v>iPad</v>
      </c>
      <c r="L168" s="41" t="str">
        <f>IFERROR(__xludf.DUMMYFUNCTION("""COMPUTED_VALUE"""),"F9FFGFGHQ1GF")</f>
        <v>F9FFGFGHQ1GF</v>
      </c>
      <c r="M168" s="41" t="str">
        <f>IFERROR(__xludf.DUMMYFUNCTION("""COMPUTED_VALUE"""),"陳晉廷")</f>
        <v>陳晉廷</v>
      </c>
      <c r="N168" s="65">
        <f>IFERROR(__xludf.DUMMYFUNCTION("""COMPUTED_VALUE"""),44348.0)</f>
        <v>44348</v>
      </c>
      <c r="O168" s="45">
        <f>IFERROR(__xludf.DUMMYFUNCTION("""COMPUTED_VALUE"""),9450.0)</f>
        <v>9450</v>
      </c>
      <c r="P168" s="41" t="str">
        <f>IFERROR(__xludf.DUMMYFUNCTION("""COMPUTED_VALUE"""),"資訊裝置")</f>
        <v>資訊裝置</v>
      </c>
      <c r="Q168" s="41">
        <f>IFERROR(__xludf.DUMMYFUNCTION("""COMPUTED_VALUE"""),36.0)</f>
        <v>36</v>
      </c>
      <c r="R168" s="41">
        <f>IFERROR(__xludf.DUMMYFUNCTION("""COMPUTED_VALUE"""),36.0)</f>
        <v>36</v>
      </c>
      <c r="S168" s="41" t="str">
        <f>IFERROR(__xludf.DUMMYFUNCTION("""COMPUTED_VALUE"""),"NT$9,450")</f>
        <v>NT$9,450</v>
      </c>
      <c r="T168" s="41" t="str">
        <f>IFERROR(__xludf.DUMMYFUNCTION("""COMPUTED_VALUE"""),"iPad (第八代) 32GB WIFI(MYLC2TA/A)")</f>
        <v>iPad (第八代) 32GB WIFI(MYLC2TA/A)</v>
      </c>
      <c r="U168" s="41"/>
      <c r="V168" s="41"/>
      <c r="W168" s="41"/>
      <c r="X168" s="45" t="str">
        <f>IFERROR(__xludf.DUMMYFUNCTION("""COMPUTED_VALUE"""),"")</f>
        <v/>
      </c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</row>
    <row r="169">
      <c r="B169" s="41"/>
      <c r="C169" s="41" t="str">
        <f>IFERROR(__xludf.DUMMYFUNCTION("""COMPUTED_VALUE"""),"滿三年更換")</f>
        <v>滿三年更換</v>
      </c>
      <c r="D169" s="41" t="str">
        <f>IFERROR(__xludf.DUMMYFUNCTION("""COMPUTED_VALUE"""),"TW")</f>
        <v>TW</v>
      </c>
      <c r="E169" s="41"/>
      <c r="F169" s="41"/>
      <c r="G169" s="41"/>
      <c r="H169" s="65" t="str">
        <f>IFERROR(__xludf.DUMMYFUNCTION("""COMPUTED_VALUE"""),"行銷營運中心:銷售營運部:銷售顧問團隊")</f>
        <v>行銷營運中心:銷售營運部:銷售顧問團隊</v>
      </c>
      <c r="I169" s="41" t="str">
        <f>IFERROR(__xludf.DUMMYFUNCTION("""COMPUTED_VALUE"""),"資訊裝置")</f>
        <v>資訊裝置</v>
      </c>
      <c r="J169" s="41" t="str">
        <f>IFERROR(__xludf.DUMMYFUNCTION("""COMPUTED_VALUE"""),"AICHMN02010087")</f>
        <v>AICHMN02010087</v>
      </c>
      <c r="K169" s="41" t="str">
        <f>IFERROR(__xludf.DUMMYFUNCTION("""COMPUTED_VALUE"""),"螢幕")</f>
        <v>螢幕</v>
      </c>
      <c r="L169" s="41" t="str">
        <f>IFERROR(__xludf.DUMMYFUNCTION("""COMPUTED_VALUE"""),"CN-0CYKT7-WSL00-09F-DCEW-A09")</f>
        <v>CN-0CYKT7-WSL00-09F-DCEW-A09</v>
      </c>
      <c r="M169" s="41" t="str">
        <f>IFERROR(__xludf.DUMMYFUNCTION("""COMPUTED_VALUE"""),"陳晉廷")</f>
        <v>陳晉廷</v>
      </c>
      <c r="N169" s="66">
        <f>IFERROR(__xludf.DUMMYFUNCTION("""COMPUTED_VALUE"""),44180.0)</f>
        <v>44180</v>
      </c>
      <c r="O169" s="41"/>
      <c r="P169" s="41" t="str">
        <f>IFERROR(__xludf.DUMMYFUNCTION("""COMPUTED_VALUE"""),"資訊裝置")</f>
        <v>資訊裝置</v>
      </c>
      <c r="Q169" s="41">
        <f>IFERROR(__xludf.DUMMYFUNCTION("""COMPUTED_VALUE"""),36.0)</f>
        <v>36</v>
      </c>
      <c r="R169" s="41">
        <f>IFERROR(__xludf.DUMMYFUNCTION("""COMPUTED_VALUE"""),36.0)</f>
        <v>36</v>
      </c>
      <c r="S169" s="41" t="str">
        <f>IFERROR(__xludf.DUMMYFUNCTION("""COMPUTED_VALUE"""),"NT$0")</f>
        <v>NT$0</v>
      </c>
      <c r="T169" s="41" t="str">
        <f>IFERROR(__xludf.DUMMYFUNCTION("""COMPUTED_VALUE"""),"Dell 24吋 U2419H")</f>
        <v>Dell 24吋 U2419H</v>
      </c>
      <c r="U169" s="41"/>
      <c r="V169" s="41"/>
      <c r="W169" s="41"/>
      <c r="X169" s="45" t="str">
        <f>IFERROR(__xludf.DUMMYFUNCTION("""COMPUTED_VALUE"""),"")</f>
        <v/>
      </c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</row>
    <row r="170">
      <c r="B170" s="41"/>
      <c r="C170" s="41" t="str">
        <f>IFERROR(__xludf.DUMMYFUNCTION("""COMPUTED_VALUE"""),"滿三年更換")</f>
        <v>滿三年更換</v>
      </c>
      <c r="D170" s="41" t="str">
        <f>IFERROR(__xludf.DUMMYFUNCTION("""COMPUTED_VALUE"""),"TW")</f>
        <v>TW</v>
      </c>
      <c r="E170" s="41"/>
      <c r="F170" s="41"/>
      <c r="G170" s="41"/>
      <c r="H170" s="41" t="str">
        <f>IFERROR(__xludf.DUMMYFUNCTION("""COMPUTED_VALUE"""),"財務中心:財務部")</f>
        <v>財務中心:財務部</v>
      </c>
      <c r="I170" s="41" t="str">
        <f>IFERROR(__xludf.DUMMYFUNCTION("""COMPUTED_VALUE"""),"資訊裝置")</f>
        <v>資訊裝置</v>
      </c>
      <c r="J170" s="41" t="str">
        <f>IFERROR(__xludf.DUMMYFUNCTION("""COMPUTED_VALUE"""),"AICHMN01604002")</f>
        <v>AICHMN01604002</v>
      </c>
      <c r="K170" s="41" t="str">
        <f>IFERROR(__xludf.DUMMYFUNCTION("""COMPUTED_VALUE"""),"螢幕")</f>
        <v>螢幕</v>
      </c>
      <c r="L170" s="41" t="str">
        <f>IFERROR(__xludf.DUMMYFUNCTION("""COMPUTED_VALUE"""),"CN-03W9XD-74261-45M-373L")</f>
        <v>CN-03W9XD-74261-45M-373L</v>
      </c>
      <c r="M170" s="41" t="str">
        <f>IFERROR(__xludf.DUMMYFUNCTION("""COMPUTED_VALUE"""),"陳紫芸")</f>
        <v>陳紫芸</v>
      </c>
      <c r="N170" s="65">
        <f>IFERROR(__xludf.DUMMYFUNCTION("""COMPUTED_VALUE"""),42468.0)</f>
        <v>42468</v>
      </c>
      <c r="O170" s="41"/>
      <c r="P170" s="41" t="str">
        <f>IFERROR(__xludf.DUMMYFUNCTION("""COMPUTED_VALUE"""),"資訊裝置")</f>
        <v>資訊裝置</v>
      </c>
      <c r="Q170" s="41">
        <f>IFERROR(__xludf.DUMMYFUNCTION("""COMPUTED_VALUE"""),36.0)</f>
        <v>36</v>
      </c>
      <c r="R170" s="41">
        <f>IFERROR(__xludf.DUMMYFUNCTION("""COMPUTED_VALUE"""),36.0)</f>
        <v>36</v>
      </c>
      <c r="S170" s="41" t="str">
        <f>IFERROR(__xludf.DUMMYFUNCTION("""COMPUTED_VALUE"""),"NT$0")</f>
        <v>NT$0</v>
      </c>
      <c r="T170" s="41" t="str">
        <f>IFERROR(__xludf.DUMMYFUNCTION("""COMPUTED_VALUE"""),"Dell 24吋 U2412Mb")</f>
        <v>Dell 24吋 U2412Mb</v>
      </c>
      <c r="U170" s="41"/>
      <c r="V170" s="41"/>
      <c r="W170" s="41"/>
      <c r="X170" s="45" t="str">
        <f>IFERROR(__xludf.DUMMYFUNCTION("""COMPUTED_VALUE"""),"")</f>
        <v/>
      </c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</row>
    <row r="171">
      <c r="B171" s="41"/>
      <c r="C171" s="41" t="str">
        <f>IFERROR(__xludf.DUMMYFUNCTION("""COMPUTED_VALUE"""),"滿三年更換")</f>
        <v>滿三年更換</v>
      </c>
      <c r="D171" s="41" t="str">
        <f>IFERROR(__xludf.DUMMYFUNCTION("""COMPUTED_VALUE"""),"TW")</f>
        <v>TW</v>
      </c>
      <c r="E171" s="41"/>
      <c r="F171" s="41"/>
      <c r="G171" s="41"/>
      <c r="H171" s="65" t="str">
        <f>IFERROR(__xludf.DUMMYFUNCTION("""COMPUTED_VALUE"""),"客戶價值中心:客戶成功管理部:客戶成功團隊 AM")</f>
        <v>客戶價值中心:客戶成功管理部:客戶成功團隊 AM</v>
      </c>
      <c r="I171" s="41" t="str">
        <f>IFERROR(__xludf.DUMMYFUNCTION("""COMPUTED_VALUE"""),"資訊裝置")</f>
        <v>資訊裝置</v>
      </c>
      <c r="J171" s="41" t="str">
        <f>IFERROR(__xludf.DUMMYFUNCTION("""COMPUTED_VALUE"""),"AICHMA02108033")</f>
        <v>AICHMA02108033</v>
      </c>
      <c r="K171" s="41" t="str">
        <f>IFERROR(__xludf.DUMMYFUNCTION("""COMPUTED_VALUE"""),"Macbook Air")</f>
        <v>Macbook Air</v>
      </c>
      <c r="L171" s="41" t="str">
        <f>IFERROR(__xludf.DUMMYFUNCTION("""COMPUTED_VALUE"""),"FVHG4KJXQ6L4")</f>
        <v>FVHG4KJXQ6L4</v>
      </c>
      <c r="M171" s="41" t="str">
        <f>IFERROR(__xludf.DUMMYFUNCTION("""COMPUTED_VALUE"""),"陳嘉汶")</f>
        <v>陳嘉汶</v>
      </c>
      <c r="N171" s="65">
        <f>IFERROR(__xludf.DUMMYFUNCTION("""COMPUTED_VALUE"""),44424.0)</f>
        <v>44424</v>
      </c>
      <c r="O171" s="45">
        <f>IFERROR(__xludf.DUMMYFUNCTION("""COMPUTED_VALUE"""),27075.0)</f>
        <v>27075</v>
      </c>
      <c r="P171" s="41" t="str">
        <f>IFERROR(__xludf.DUMMYFUNCTION("""COMPUTED_VALUE"""),"資訊裝置")</f>
        <v>資訊裝置</v>
      </c>
      <c r="Q171" s="41">
        <f>IFERROR(__xludf.DUMMYFUNCTION("""COMPUTED_VALUE"""),36.0)</f>
        <v>36</v>
      </c>
      <c r="R171" s="41">
        <f>IFERROR(__xludf.DUMMYFUNCTION("""COMPUTED_VALUE"""),36.0)</f>
        <v>36</v>
      </c>
      <c r="S171" s="41" t="str">
        <f>IFERROR(__xludf.DUMMYFUNCTION("""COMPUTED_VALUE"""),"NT$27,075")</f>
        <v>NT$27,075</v>
      </c>
      <c r="T171" s="41" t="str">
        <f>IFERROR(__xludf.DUMMYFUNCTION("""COMPUTED_VALUE"""),"MBA13 (2020) M1/8GBRAM/256GBSSD")</f>
        <v>MBA13 (2020) M1/8GBRAM/256GBSSD</v>
      </c>
      <c r="U171" s="41"/>
      <c r="V171" s="41"/>
      <c r="W171" s="41"/>
      <c r="X171" s="45" t="str">
        <f>IFERROR(__xludf.DUMMYFUNCTION("""COMPUTED_VALUE"""),"")</f>
        <v/>
      </c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</row>
    <row r="172">
      <c r="B172" s="41"/>
      <c r="C172" s="41" t="str">
        <f>IFERROR(__xludf.DUMMYFUNCTION("""COMPUTED_VALUE"""),"滿三年更換")</f>
        <v>滿三年更換</v>
      </c>
      <c r="D172" s="41" t="str">
        <f>IFERROR(__xludf.DUMMYFUNCTION("""COMPUTED_VALUE"""),"TW")</f>
        <v>TW</v>
      </c>
      <c r="E172" s="41"/>
      <c r="F172" s="41"/>
      <c r="G172" s="41"/>
      <c r="H172" s="41" t="str">
        <f>IFERROR(__xludf.DUMMYFUNCTION("""COMPUTED_VALUE"""),"客戶價值中心:客戶關係管理部")</f>
        <v>客戶價值中心:客戶關係管理部</v>
      </c>
      <c r="I172" s="41" t="str">
        <f>IFERROR(__xludf.DUMMYFUNCTION("""COMPUTED_VALUE"""),"資訊裝置")</f>
        <v>資訊裝置</v>
      </c>
      <c r="J172" s="41" t="str">
        <f>IFERROR(__xludf.DUMMYFUNCTION("""COMPUTED_VALUE"""),"AICHMP02201040")</f>
        <v>AICHMP02201040</v>
      </c>
      <c r="K172" s="41" t="str">
        <f>IFERROR(__xludf.DUMMYFUNCTION("""COMPUTED_VALUE"""),"Macbook Pro")</f>
        <v>Macbook Pro</v>
      </c>
      <c r="L172" s="41" t="str">
        <f>IFERROR(__xludf.DUMMYFUNCTION("""COMPUTED_VALUE"""),"J2VR4XGKFK")</f>
        <v>J2VR4XGKFK</v>
      </c>
      <c r="M172" s="41" t="str">
        <f>IFERROR(__xludf.DUMMYFUNCTION("""COMPUTED_VALUE"""),"陳繼訓")</f>
        <v>陳繼訓</v>
      </c>
      <c r="N172" s="65">
        <f>IFERROR(__xludf.DUMMYFUNCTION("""COMPUTED_VALUE"""),44566.0)</f>
        <v>44566</v>
      </c>
      <c r="O172" s="45">
        <f>IFERROR(__xludf.DUMMYFUNCTION("""COMPUTED_VALUE"""),76150.0)</f>
        <v>76150</v>
      </c>
      <c r="P172" s="41" t="str">
        <f>IFERROR(__xludf.DUMMYFUNCTION("""COMPUTED_VALUE"""),"資訊裝置")</f>
        <v>資訊裝置</v>
      </c>
      <c r="Q172" s="41">
        <f>IFERROR(__xludf.DUMMYFUNCTION("""COMPUTED_VALUE"""),36.0)</f>
        <v>36</v>
      </c>
      <c r="R172" s="41">
        <f>IFERROR(__xludf.DUMMYFUNCTION("""COMPUTED_VALUE"""),36.0)</f>
        <v>36</v>
      </c>
      <c r="S172" s="41" t="str">
        <f>IFERROR(__xludf.DUMMYFUNCTION("""COMPUTED_VALUE"""),"NT$76,150")</f>
        <v>NT$76,150</v>
      </c>
      <c r="T172" s="41" t="str">
        <f>IFERROR(__xludf.DUMMYFUNCTION("""COMPUTED_VALUE"""),"MBP16 (2021) M1Pro/32GBRAM/512GBSSD")</f>
        <v>MBP16 (2021) M1Pro/32GBRAM/512GBSSD</v>
      </c>
      <c r="U172" s="41"/>
      <c r="V172" s="41"/>
      <c r="W172" s="41"/>
      <c r="X172" s="45" t="str">
        <f>IFERROR(__xludf.DUMMYFUNCTION("""COMPUTED_VALUE"""),"")</f>
        <v/>
      </c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</row>
    <row r="173">
      <c r="B173" s="41"/>
      <c r="C173" s="41" t="str">
        <f>IFERROR(__xludf.DUMMYFUNCTION("""COMPUTED_VALUE"""),"滿三年更換")</f>
        <v>滿三年更換</v>
      </c>
      <c r="D173" s="41" t="str">
        <f>IFERROR(__xludf.DUMMYFUNCTION("""COMPUTED_VALUE"""),"TW")</f>
        <v>TW</v>
      </c>
      <c r="E173" s="41"/>
      <c r="F173" s="41"/>
      <c r="G173" s="41"/>
      <c r="H173" s="41" t="str">
        <f>IFERROR(__xludf.DUMMYFUNCTION("""COMPUTED_VALUE"""),"客戶價值中心:客戶關係管理部")</f>
        <v>客戶價值中心:客戶關係管理部</v>
      </c>
      <c r="I173" s="41" t="str">
        <f>IFERROR(__xludf.DUMMYFUNCTION("""COMPUTED_VALUE"""),"資訊裝置")</f>
        <v>資訊裝置</v>
      </c>
      <c r="J173" s="41" t="str">
        <f>IFERROR(__xludf.DUMMYFUNCTION("""COMPUTED_VALUE"""),"AICHIP02102048")</f>
        <v>AICHIP02102048</v>
      </c>
      <c r="K173" s="41" t="str">
        <f>IFERROR(__xludf.DUMMYFUNCTION("""COMPUTED_VALUE"""),"iPad mini")</f>
        <v>iPad mini</v>
      </c>
      <c r="L173" s="41" t="str">
        <f>IFERROR(__xludf.DUMMYFUNCTION("""COMPUTED_VALUE"""),"DMPF3EKNLM93")</f>
        <v>DMPF3EKNLM93</v>
      </c>
      <c r="M173" s="41" t="str">
        <f>IFERROR(__xludf.DUMMYFUNCTION("""COMPUTED_VALUE"""),"陳繼訓")</f>
        <v>陳繼訓</v>
      </c>
      <c r="N173" s="65">
        <f>IFERROR(__xludf.DUMMYFUNCTION("""COMPUTED_VALUE"""),44230.0)</f>
        <v>44230</v>
      </c>
      <c r="O173" s="45">
        <f>IFERROR(__xludf.DUMMYFUNCTION("""COMPUTED_VALUE"""),11550.0)</f>
        <v>11550</v>
      </c>
      <c r="P173" s="41" t="str">
        <f>IFERROR(__xludf.DUMMYFUNCTION("""COMPUTED_VALUE"""),"資訊裝置")</f>
        <v>資訊裝置</v>
      </c>
      <c r="Q173" s="41">
        <f>IFERROR(__xludf.DUMMYFUNCTION("""COMPUTED_VALUE"""),36.0)</f>
        <v>36</v>
      </c>
      <c r="R173" s="41">
        <f>IFERROR(__xludf.DUMMYFUNCTION("""COMPUTED_VALUE"""),36.0)</f>
        <v>36</v>
      </c>
      <c r="S173" s="41" t="str">
        <f>IFERROR(__xludf.DUMMYFUNCTION("""COMPUTED_VALUE"""),"NT$11,550")</f>
        <v>NT$11,550</v>
      </c>
      <c r="T173" s="41" t="str">
        <f>IFERROR(__xludf.DUMMYFUNCTION("""COMPUTED_VALUE"""),"iPad mini (第五代) 64GB WIFI(MUQW2TA/A)")</f>
        <v>iPad mini (第五代) 64GB WIFI(MUQW2TA/A)</v>
      </c>
      <c r="U173" s="41"/>
      <c r="V173" s="41"/>
      <c r="W173" s="41"/>
      <c r="X173" s="45" t="str">
        <f>IFERROR(__xludf.DUMMYFUNCTION("""COMPUTED_VALUE"""),"")</f>
        <v/>
      </c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</row>
    <row r="174">
      <c r="B174" s="41"/>
      <c r="C174" s="41" t="str">
        <f>IFERROR(__xludf.DUMMYFUNCTION("""COMPUTED_VALUE"""),"滿三年更換")</f>
        <v>滿三年更換</v>
      </c>
      <c r="D174" s="41" t="str">
        <f>IFERROR(__xludf.DUMMYFUNCTION("""COMPUTED_VALUE"""),"TW")</f>
        <v>TW</v>
      </c>
      <c r="E174" s="41"/>
      <c r="F174" s="41"/>
      <c r="G174" s="41"/>
      <c r="H174" s="41" t="str">
        <f>IFERROR(__xludf.DUMMYFUNCTION("""COMPUTED_VALUE"""),"客戶價值中心:客戶關係管理部")</f>
        <v>客戶價值中心:客戶關係管理部</v>
      </c>
      <c r="I174" s="41" t="str">
        <f>IFERROR(__xludf.DUMMYFUNCTION("""COMPUTED_VALUE"""),"資訊裝置")</f>
        <v>資訊裝置</v>
      </c>
      <c r="J174" s="41" t="str">
        <f>IFERROR(__xludf.DUMMYFUNCTION("""COMPUTED_VALUE"""),"AICHMN01604026")</f>
        <v>AICHMN01604026</v>
      </c>
      <c r="K174" s="41" t="str">
        <f>IFERROR(__xludf.DUMMYFUNCTION("""COMPUTED_VALUE"""),"螢幕")</f>
        <v>螢幕</v>
      </c>
      <c r="L174" s="41" t="str">
        <f>IFERROR(__xludf.DUMMYFUNCTION("""COMPUTED_VALUE"""),"CN-03W9XD-74261-45M-372L")</f>
        <v>CN-03W9XD-74261-45M-372L</v>
      </c>
      <c r="M174" s="41" t="str">
        <f>IFERROR(__xludf.DUMMYFUNCTION("""COMPUTED_VALUE"""),"陳繼訓")</f>
        <v>陳繼訓</v>
      </c>
      <c r="N174" s="65">
        <f>IFERROR(__xludf.DUMMYFUNCTION("""COMPUTED_VALUE"""),42468.0)</f>
        <v>42468</v>
      </c>
      <c r="O174" s="41"/>
      <c r="P174" s="41" t="str">
        <f>IFERROR(__xludf.DUMMYFUNCTION("""COMPUTED_VALUE"""),"資訊裝置")</f>
        <v>資訊裝置</v>
      </c>
      <c r="Q174" s="41">
        <f>IFERROR(__xludf.DUMMYFUNCTION("""COMPUTED_VALUE"""),36.0)</f>
        <v>36</v>
      </c>
      <c r="R174" s="41">
        <f>IFERROR(__xludf.DUMMYFUNCTION("""COMPUTED_VALUE"""),36.0)</f>
        <v>36</v>
      </c>
      <c r="S174" s="41" t="str">
        <f>IFERROR(__xludf.DUMMYFUNCTION("""COMPUTED_VALUE"""),"NT$0")</f>
        <v>NT$0</v>
      </c>
      <c r="T174" s="41" t="str">
        <f>IFERROR(__xludf.DUMMYFUNCTION("""COMPUTED_VALUE"""),"Dell 24吋 U2412Mb")</f>
        <v>Dell 24吋 U2412Mb</v>
      </c>
      <c r="U174" s="41"/>
      <c r="V174" s="41"/>
      <c r="W174" s="41"/>
      <c r="X174" s="45" t="str">
        <f>IFERROR(__xludf.DUMMYFUNCTION("""COMPUTED_VALUE"""),"")</f>
        <v/>
      </c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</row>
    <row r="175">
      <c r="B175" s="41"/>
      <c r="C175" s="41" t="str">
        <f>IFERROR(__xludf.DUMMYFUNCTION("""COMPUTED_VALUE"""),"滿三年更換")</f>
        <v>滿三年更換</v>
      </c>
      <c r="D175" s="41" t="str">
        <f>IFERROR(__xludf.DUMMYFUNCTION("""COMPUTED_VALUE"""),"TW")</f>
        <v>TW</v>
      </c>
      <c r="E175" s="41"/>
      <c r="F175" s="41"/>
      <c r="G175" s="41"/>
      <c r="H175" s="41" t="str">
        <f>IFERROR(__xludf.DUMMYFUNCTION("""COMPUTED_VALUE"""),"客戶價值中心:客戶關係管理部")</f>
        <v>客戶價值中心:客戶關係管理部</v>
      </c>
      <c r="I175" s="41" t="str">
        <f>IFERROR(__xludf.DUMMYFUNCTION("""COMPUTED_VALUE"""),"資訊裝置")</f>
        <v>資訊裝置</v>
      </c>
      <c r="J175" s="41" t="str">
        <f>IFERROR(__xludf.DUMMYFUNCTION("""COMPUTED_VALUE"""),"AICHMN01607037")</f>
        <v>AICHMN01607037</v>
      </c>
      <c r="K175" s="41" t="str">
        <f>IFERROR(__xludf.DUMMYFUNCTION("""COMPUTED_VALUE"""),"螢幕")</f>
        <v>螢幕</v>
      </c>
      <c r="L175" s="41" t="str">
        <f>IFERROR(__xludf.DUMMYFUNCTION("""COMPUTED_VALUE"""),"CN-07N2FG-TV100-88G-088AU-A08")</f>
        <v>CN-07N2FG-TV100-88G-088AU-A08</v>
      </c>
      <c r="M175" s="41" t="str">
        <f>IFERROR(__xludf.DUMMYFUNCTION("""COMPUTED_VALUE"""),"陳繼訓")</f>
        <v>陳繼訓</v>
      </c>
      <c r="N175" s="65">
        <f>IFERROR(__xludf.DUMMYFUNCTION("""COMPUTED_VALUE"""),42555.0)</f>
        <v>42555</v>
      </c>
      <c r="O175" s="45">
        <f>IFERROR(__xludf.DUMMYFUNCTION("""COMPUTED_VALUE"""),8400.0)</f>
        <v>8400</v>
      </c>
      <c r="P175" s="41" t="str">
        <f>IFERROR(__xludf.DUMMYFUNCTION("""COMPUTED_VALUE"""),"資訊裝置")</f>
        <v>資訊裝置</v>
      </c>
      <c r="Q175" s="41">
        <f>IFERROR(__xludf.DUMMYFUNCTION("""COMPUTED_VALUE"""),36.0)</f>
        <v>36</v>
      </c>
      <c r="R175" s="41">
        <f>IFERROR(__xludf.DUMMYFUNCTION("""COMPUTED_VALUE"""),36.0)</f>
        <v>36</v>
      </c>
      <c r="S175" s="41" t="str">
        <f>IFERROR(__xludf.DUMMYFUNCTION("""COMPUTED_VALUE"""),"NT$8,400")</f>
        <v>NT$8,400</v>
      </c>
      <c r="T175" s="41" t="str">
        <f>IFERROR(__xludf.DUMMYFUNCTION("""COMPUTED_VALUE"""),"Dell 24吋 U2412Mc")</f>
        <v>Dell 24吋 U2412Mc</v>
      </c>
      <c r="U175" s="41"/>
      <c r="V175" s="41"/>
      <c r="W175" s="41"/>
      <c r="X175" s="45" t="str">
        <f>IFERROR(__xludf.DUMMYFUNCTION("""COMPUTED_VALUE"""),"")</f>
        <v/>
      </c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</row>
    <row r="176">
      <c r="B176" s="41"/>
      <c r="C176" s="41" t="str">
        <f>IFERROR(__xludf.DUMMYFUNCTION("""COMPUTED_VALUE"""),"滿三年更換")</f>
        <v>滿三年更換</v>
      </c>
      <c r="D176" s="41" t="str">
        <f>IFERROR(__xludf.DUMMYFUNCTION("""COMPUTED_VALUE"""),"TW")</f>
        <v>TW</v>
      </c>
      <c r="E176" s="41"/>
      <c r="F176" s="41"/>
      <c r="G176" s="41"/>
      <c r="H176" s="65" t="str">
        <f>IFERROR(__xludf.DUMMYFUNCTION("""COMPUTED_VALUE"""),"客戶價值中心:客戶成功管理部:客戶成功團隊 MS 總部/POS/OMO")</f>
        <v>客戶價值中心:客戶成功管理部:客戶成功團隊 MS 總部/POS/OMO</v>
      </c>
      <c r="I176" s="41" t="str">
        <f>IFERROR(__xludf.DUMMYFUNCTION("""COMPUTED_VALUE"""),"資訊裝置")</f>
        <v>資訊裝置</v>
      </c>
      <c r="J176" s="41" t="str">
        <f>IFERROR(__xludf.DUMMYFUNCTION("""COMPUTED_VALUE"""),"AICHMA02112045")</f>
        <v>AICHMA02112045</v>
      </c>
      <c r="K176" s="41" t="str">
        <f>IFERROR(__xludf.DUMMYFUNCTION("""COMPUTED_VALUE"""),"Macbook Air")</f>
        <v>Macbook Air</v>
      </c>
      <c r="L176" s="41" t="str">
        <f>IFERROR(__xludf.DUMMYFUNCTION("""COMPUTED_VALUE"""),"FVFGKM7MQ6LC")</f>
        <v>FVFGKM7MQ6LC</v>
      </c>
      <c r="M176" s="41" t="str">
        <f>IFERROR(__xludf.DUMMYFUNCTION("""COMPUTED_VALUE"""),"陳馨如")</f>
        <v>陳馨如</v>
      </c>
      <c r="N176" s="66">
        <f>IFERROR(__xludf.DUMMYFUNCTION("""COMPUTED_VALUE"""),44557.0)</f>
        <v>44557</v>
      </c>
      <c r="O176" s="45">
        <f>IFERROR(__xludf.DUMMYFUNCTION("""COMPUTED_VALUE"""),27075.0)</f>
        <v>27075</v>
      </c>
      <c r="P176" s="41" t="str">
        <f>IFERROR(__xludf.DUMMYFUNCTION("""COMPUTED_VALUE"""),"資訊裝置")</f>
        <v>資訊裝置</v>
      </c>
      <c r="Q176" s="41">
        <f>IFERROR(__xludf.DUMMYFUNCTION("""COMPUTED_VALUE"""),36.0)</f>
        <v>36</v>
      </c>
      <c r="R176" s="41">
        <f>IFERROR(__xludf.DUMMYFUNCTION("""COMPUTED_VALUE"""),36.0)</f>
        <v>36</v>
      </c>
      <c r="S176" s="41" t="str">
        <f>IFERROR(__xludf.DUMMYFUNCTION("""COMPUTED_VALUE"""),"NT$27,075")</f>
        <v>NT$27,075</v>
      </c>
      <c r="T176" s="41" t="str">
        <f>IFERROR(__xludf.DUMMYFUNCTION("""COMPUTED_VALUE"""),"A2337 MBA13 (2020) M1/8GBRAM/256GBSSD")</f>
        <v>A2337 MBA13 (2020) M1/8GBRAM/256GBSSD</v>
      </c>
      <c r="U176" s="41"/>
      <c r="V176" s="41"/>
      <c r="W176" s="41"/>
      <c r="X176" s="45" t="str">
        <f>IFERROR(__xludf.DUMMYFUNCTION("""COMPUTED_VALUE"""),"")</f>
        <v/>
      </c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</row>
    <row r="177">
      <c r="B177" s="41"/>
      <c r="C177" s="41" t="str">
        <f>IFERROR(__xludf.DUMMYFUNCTION("""COMPUTED_VALUE"""),"滿三年更換")</f>
        <v>滿三年更換</v>
      </c>
      <c r="D177" s="41" t="str">
        <f>IFERROR(__xludf.DUMMYFUNCTION("""COMPUTED_VALUE"""),"TW")</f>
        <v>TW</v>
      </c>
      <c r="E177" s="41"/>
      <c r="F177" s="41"/>
      <c r="G177" s="41"/>
      <c r="H177" s="65" t="str">
        <f>IFERROR(__xludf.DUMMYFUNCTION("""COMPUTED_VALUE"""),"研發中心:軟體工程部:前端團隊")</f>
        <v>研發中心:軟體工程部:前端團隊</v>
      </c>
      <c r="I177" s="41" t="str">
        <f>IFERROR(__xludf.DUMMYFUNCTION("""COMPUTED_VALUE"""),"資訊裝置")</f>
        <v>資訊裝置</v>
      </c>
      <c r="J177" s="41" t="str">
        <f>IFERROR(__xludf.DUMMYFUNCTION("""COMPUTED_VALUE"""),"AICHMP02209049")</f>
        <v>AICHMP02209049</v>
      </c>
      <c r="K177" s="41" t="str">
        <f>IFERROR(__xludf.DUMMYFUNCTION("""COMPUTED_VALUE"""),"Macbook Pro")</f>
        <v>Macbook Pro</v>
      </c>
      <c r="L177" s="41" t="str">
        <f>IFERROR(__xludf.DUMMYFUNCTION("""COMPUTED_VALUE"""),"G3YC7DVJM6")</f>
        <v>G3YC7DVJM6</v>
      </c>
      <c r="M177" s="41" t="str">
        <f>IFERROR(__xludf.DUMMYFUNCTION("""COMPUTED_VALUE"""),"傅典洋")</f>
        <v>傅典洋</v>
      </c>
      <c r="N177" s="65">
        <f>IFERROR(__xludf.DUMMYFUNCTION("""COMPUTED_VALUE"""),44810.0)</f>
        <v>44810</v>
      </c>
      <c r="O177" s="45">
        <f>IFERROR(__xludf.DUMMYFUNCTION("""COMPUTED_VALUE"""),52500.0)</f>
        <v>52500</v>
      </c>
      <c r="P177" s="41" t="str">
        <f>IFERROR(__xludf.DUMMYFUNCTION("""COMPUTED_VALUE"""),"資訊裝置")</f>
        <v>資訊裝置</v>
      </c>
      <c r="Q177" s="41">
        <f>IFERROR(__xludf.DUMMYFUNCTION("""COMPUTED_VALUE"""),36.0)</f>
        <v>36</v>
      </c>
      <c r="R177" s="41">
        <f>IFERROR(__xludf.DUMMYFUNCTION("""COMPUTED_VALUE"""),36.0)</f>
        <v>36</v>
      </c>
      <c r="S177" s="41" t="str">
        <f>IFERROR(__xludf.DUMMYFUNCTION("""COMPUTED_VALUE"""),"NT$52,500")</f>
        <v>NT$52,500</v>
      </c>
      <c r="T177" s="41" t="str">
        <f>IFERROR(__xludf.DUMMYFUNCTION("""COMPUTED_VALUE"""),"A2442 MBP14 (2021) M1Pro/16GBRAM/512GBSSD")</f>
        <v>A2442 MBP14 (2021) M1Pro/16GBRAM/512GBSSD</v>
      </c>
      <c r="U177" s="41"/>
      <c r="V177" s="41"/>
      <c r="W177" s="41"/>
      <c r="X177" s="45" t="str">
        <f>IFERROR(__xludf.DUMMYFUNCTION("""COMPUTED_VALUE"""),"")</f>
        <v/>
      </c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</row>
    <row r="178">
      <c r="B178" s="41"/>
      <c r="C178" s="41" t="str">
        <f>IFERROR(__xludf.DUMMYFUNCTION("""COMPUTED_VALUE"""),"滿三年更換")</f>
        <v>滿三年更換</v>
      </c>
      <c r="D178" s="41" t="str">
        <f>IFERROR(__xludf.DUMMYFUNCTION("""COMPUTED_VALUE"""),"TW")</f>
        <v>TW</v>
      </c>
      <c r="E178" s="41"/>
      <c r="F178" s="41"/>
      <c r="G178" s="41"/>
      <c r="H178" s="65" t="str">
        <f>IFERROR(__xludf.DUMMYFUNCTION("""COMPUTED_VALUE"""),"研發中心:軟體工程部:前端團隊")</f>
        <v>研發中心:軟體工程部:前端團隊</v>
      </c>
      <c r="I178" s="41" t="str">
        <f>IFERROR(__xludf.DUMMYFUNCTION("""COMPUTED_VALUE"""),"資訊裝置")</f>
        <v>資訊裝置</v>
      </c>
      <c r="J178" s="41" t="str">
        <f>IFERROR(__xludf.DUMMYFUNCTION("""COMPUTED_VALUE"""),"AICHMN02009072")</f>
        <v>AICHMN02009072</v>
      </c>
      <c r="K178" s="41" t="str">
        <f>IFERROR(__xludf.DUMMYFUNCTION("""COMPUTED_VALUE"""),"螢幕")</f>
        <v>螢幕</v>
      </c>
      <c r="L178" s="41" t="str">
        <f>IFERROR(__xludf.DUMMYFUNCTION("""COMPUTED_VALUE"""),"CN-0Y2YF1-QDC00-083-067L-A16")</f>
        <v>CN-0Y2YF1-QDC00-083-067L-A16</v>
      </c>
      <c r="M178" s="41" t="str">
        <f>IFERROR(__xludf.DUMMYFUNCTION("""COMPUTED_VALUE"""),"傅典洋")</f>
        <v>傅典洋</v>
      </c>
      <c r="N178" s="65">
        <f>IFERROR(__xludf.DUMMYFUNCTION("""COMPUTED_VALUE"""),44097.0)</f>
        <v>44097</v>
      </c>
      <c r="O178" s="45">
        <f>IFERROR(__xludf.DUMMYFUNCTION("""COMPUTED_VALUE"""),69739.0)</f>
        <v>69739</v>
      </c>
      <c r="P178" s="41" t="str">
        <f>IFERROR(__xludf.DUMMYFUNCTION("""COMPUTED_VALUE"""),"資訊裝置")</f>
        <v>資訊裝置</v>
      </c>
      <c r="Q178" s="41">
        <f>IFERROR(__xludf.DUMMYFUNCTION("""COMPUTED_VALUE"""),36.0)</f>
        <v>36</v>
      </c>
      <c r="R178" s="41">
        <f>IFERROR(__xludf.DUMMYFUNCTION("""COMPUTED_VALUE"""),36.0)</f>
        <v>36</v>
      </c>
      <c r="S178" s="41" t="str">
        <f>IFERROR(__xludf.DUMMYFUNCTION("""COMPUTED_VALUE"""),"NT$69,739")</f>
        <v>NT$69,739</v>
      </c>
      <c r="T178" s="41" t="str">
        <f>IFERROR(__xludf.DUMMYFUNCTION("""COMPUTED_VALUE"""),"Dell 24吋 U2415")</f>
        <v>Dell 24吋 U2415</v>
      </c>
      <c r="U178" s="41"/>
      <c r="V178" s="41"/>
      <c r="W178" s="41"/>
      <c r="X178" s="45" t="str">
        <f>IFERROR(__xludf.DUMMYFUNCTION("""COMPUTED_VALUE"""),"")</f>
        <v/>
      </c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</row>
    <row r="179">
      <c r="B179" s="41"/>
      <c r="C179" s="41" t="str">
        <f>IFERROR(__xludf.DUMMYFUNCTION("""COMPUTED_VALUE"""),"滿三年更換")</f>
        <v>滿三年更換</v>
      </c>
      <c r="D179" s="41" t="str">
        <f>IFERROR(__xludf.DUMMYFUNCTION("""COMPUTED_VALUE"""),"TW")</f>
        <v>TW</v>
      </c>
      <c r="E179" s="41"/>
      <c r="F179" s="41"/>
      <c r="G179" s="41"/>
      <c r="H179" s="65" t="str">
        <f>IFERROR(__xludf.DUMMYFUNCTION("""COMPUTED_VALUE"""),"研發中心:軟體工程部:IOS團隊")</f>
        <v>研發中心:軟體工程部:IOS團隊</v>
      </c>
      <c r="I179" s="41" t="str">
        <f>IFERROR(__xludf.DUMMYFUNCTION("""COMPUTED_VALUE"""),"資訊裝置")</f>
        <v>資訊裝置</v>
      </c>
      <c r="J179" s="41" t="str">
        <f>IFERROR(__xludf.DUMMYFUNCTION("""COMPUTED_VALUE"""),"AICHIP02006027")</f>
        <v>AICHIP02006027</v>
      </c>
      <c r="K179" s="41" t="str">
        <f>IFERROR(__xludf.DUMMYFUNCTION("""COMPUTED_VALUE"""),"iPad")</f>
        <v>iPad</v>
      </c>
      <c r="L179" s="41" t="str">
        <f>IFERROR(__xludf.DUMMYFUNCTION("""COMPUTED_VALUE"""),"DMPZPK5YMF3P")</f>
        <v>DMPZPK5YMF3P</v>
      </c>
      <c r="M179" s="41" t="str">
        <f>IFERROR(__xludf.DUMMYFUNCTION("""COMPUTED_VALUE"""),"彭成瑋")</f>
        <v>彭成瑋</v>
      </c>
      <c r="N179" s="65">
        <f>IFERROR(__xludf.DUMMYFUNCTION("""COMPUTED_VALUE"""),43985.0)</f>
        <v>43985</v>
      </c>
      <c r="O179" s="45">
        <f>IFERROR(__xludf.DUMMYFUNCTION("""COMPUTED_VALUE"""),9375.0)</f>
        <v>9375</v>
      </c>
      <c r="P179" s="41" t="str">
        <f>IFERROR(__xludf.DUMMYFUNCTION("""COMPUTED_VALUE"""),"資訊裝置")</f>
        <v>資訊裝置</v>
      </c>
      <c r="Q179" s="41">
        <f>IFERROR(__xludf.DUMMYFUNCTION("""COMPUTED_VALUE"""),36.0)</f>
        <v>36</v>
      </c>
      <c r="R179" s="41">
        <f>IFERROR(__xludf.DUMMYFUNCTION("""COMPUTED_VALUE"""),36.0)</f>
        <v>36</v>
      </c>
      <c r="S179" s="41" t="str">
        <f>IFERROR(__xludf.DUMMYFUNCTION("""COMPUTED_VALUE"""),"NT$9,375")</f>
        <v>NT$9,375</v>
      </c>
      <c r="T179" s="41" t="str">
        <f>IFERROR(__xludf.DUMMYFUNCTION("""COMPUTED_VALUE"""),"iPad (第七代) 32GB WIFI(A2192)")</f>
        <v>iPad (第七代) 32GB WIFI(A2192)</v>
      </c>
      <c r="U179" s="41"/>
      <c r="V179" s="41"/>
      <c r="W179" s="41"/>
      <c r="X179" s="45" t="str">
        <f>IFERROR(__xludf.DUMMYFUNCTION("""COMPUTED_VALUE"""),"")</f>
        <v/>
      </c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</row>
    <row r="180">
      <c r="B180" s="41"/>
      <c r="C180" s="41" t="str">
        <f>IFERROR(__xludf.DUMMYFUNCTION("""COMPUTED_VALUE"""),"滿三年更換")</f>
        <v>滿三年更換</v>
      </c>
      <c r="D180" s="41" t="str">
        <f>IFERROR(__xludf.DUMMYFUNCTION("""COMPUTED_VALUE"""),"TW")</f>
        <v>TW</v>
      </c>
      <c r="E180" s="41"/>
      <c r="F180" s="41"/>
      <c r="G180" s="41"/>
      <c r="H180" s="65" t="str">
        <f>IFERROR(__xludf.DUMMYFUNCTION("""COMPUTED_VALUE"""),"研發中心:軟體工程部:IOS團隊")</f>
        <v>研發中心:軟體工程部:IOS團隊</v>
      </c>
      <c r="I180" s="41" t="str">
        <f>IFERROR(__xludf.DUMMYFUNCTION("""COMPUTED_VALUE"""),"資訊裝置")</f>
        <v>資訊裝置</v>
      </c>
      <c r="J180" s="41" t="str">
        <f>IFERROR(__xludf.DUMMYFUNCTION("""COMPUTED_VALUE"""),"AICHMN02211119")</f>
        <v>AICHMN02211119</v>
      </c>
      <c r="K180" s="41" t="str">
        <f>IFERROR(__xludf.DUMMYFUNCTION("""COMPUTED_VALUE"""),"螢幕")</f>
        <v>螢幕</v>
      </c>
      <c r="L180" s="41" t="str">
        <f>IFERROR(__xludf.DUMMYFUNCTION("""COMPUTED_VALUE"""),"N9LMQS031411")</f>
        <v>N9LMQS031411</v>
      </c>
      <c r="M180" s="41" t="str">
        <f>IFERROR(__xludf.DUMMYFUNCTION("""COMPUTED_VALUE"""),"彭成瑋")</f>
        <v>彭成瑋</v>
      </c>
      <c r="N180" s="65">
        <f>IFERROR(__xludf.DUMMYFUNCTION("""COMPUTED_VALUE"""),44893.0)</f>
        <v>44893</v>
      </c>
      <c r="O180" s="45">
        <f>IFERROR(__xludf.DUMMYFUNCTION("""COMPUTED_VALUE"""),9818.0)</f>
        <v>9818</v>
      </c>
      <c r="P180" s="41" t="str">
        <f>IFERROR(__xludf.DUMMYFUNCTION("""COMPUTED_VALUE"""),"資訊裝置")</f>
        <v>資訊裝置</v>
      </c>
      <c r="Q180" s="41">
        <f>IFERROR(__xludf.DUMMYFUNCTION("""COMPUTED_VALUE"""),36.0)</f>
        <v>36</v>
      </c>
      <c r="R180" s="41">
        <f>IFERROR(__xludf.DUMMYFUNCTION("""COMPUTED_VALUE"""),35.0)</f>
        <v>35</v>
      </c>
      <c r="S180" s="41" t="str">
        <f>IFERROR(__xludf.DUMMYFUNCTION("""COMPUTED_VALUE"""),"NT$9,545")</f>
        <v>NT$9,545</v>
      </c>
      <c r="T180" s="41" t="str">
        <f>IFERROR(__xludf.DUMMYFUNCTION("""COMPUTED_VALUE"""),"ASUS 27吋 VG27AQL1A")</f>
        <v>ASUS 27吋 VG27AQL1A</v>
      </c>
      <c r="U180" s="41"/>
      <c r="V180" s="41"/>
      <c r="W180" s="41"/>
      <c r="X180" s="45" t="str">
        <f>IFERROR(__xludf.DUMMYFUNCTION("""COMPUTED_VALUE"""),"")</f>
        <v/>
      </c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</row>
    <row r="181">
      <c r="B181" s="41"/>
      <c r="C181" s="41" t="str">
        <f>IFERROR(__xludf.DUMMYFUNCTION("""COMPUTED_VALUE"""),"滿三年更換")</f>
        <v>滿三年更換</v>
      </c>
      <c r="D181" s="41" t="str">
        <f>IFERROR(__xludf.DUMMYFUNCTION("""COMPUTED_VALUE"""),"TW")</f>
        <v>TW</v>
      </c>
      <c r="E181" s="41"/>
      <c r="F181" s="41"/>
      <c r="G181" s="41"/>
      <c r="H181" s="65" t="str">
        <f>IFERROR(__xludf.DUMMYFUNCTION("""COMPUTED_VALUE"""),"研發中心:軟體工程部:後端團隊")</f>
        <v>研發中心:軟體工程部:後端團隊</v>
      </c>
      <c r="I181" s="41" t="str">
        <f>IFERROR(__xludf.DUMMYFUNCTION("""COMPUTED_VALUE"""),"資訊裝置")</f>
        <v>資訊裝置</v>
      </c>
      <c r="J181" s="41" t="str">
        <f>IFERROR(__xludf.DUMMYFUNCTION("""COMPUTED_VALUE"""),"AICHMP02009017")</f>
        <v>AICHMP02009017</v>
      </c>
      <c r="K181" s="41" t="str">
        <f>IFERROR(__xludf.DUMMYFUNCTION("""COMPUTED_VALUE"""),"Macbook Pro")</f>
        <v>Macbook Pro</v>
      </c>
      <c r="L181" s="41" t="str">
        <f>IFERROR(__xludf.DUMMYFUNCTION("""COMPUTED_VALUE"""),"C02D42BEMD6P")</f>
        <v>C02D42BEMD6P</v>
      </c>
      <c r="M181" s="41" t="str">
        <f>IFERROR(__xludf.DUMMYFUNCTION("""COMPUTED_VALUE"""),"曾大瑋")</f>
        <v>曾大瑋</v>
      </c>
      <c r="N181" s="65">
        <f>IFERROR(__xludf.DUMMYFUNCTION("""COMPUTED_VALUE"""),44084.0)</f>
        <v>44084</v>
      </c>
      <c r="O181" s="45">
        <f>IFERROR(__xludf.DUMMYFUNCTION("""COMPUTED_VALUE"""),69739.0)</f>
        <v>69739</v>
      </c>
      <c r="P181" s="41" t="str">
        <f>IFERROR(__xludf.DUMMYFUNCTION("""COMPUTED_VALUE"""),"資訊裝置")</f>
        <v>資訊裝置</v>
      </c>
      <c r="Q181" s="41">
        <f>IFERROR(__xludf.DUMMYFUNCTION("""COMPUTED_VALUE"""),36.0)</f>
        <v>36</v>
      </c>
      <c r="R181" s="41">
        <f>IFERROR(__xludf.DUMMYFUNCTION("""COMPUTED_VALUE"""),36.0)</f>
        <v>36</v>
      </c>
      <c r="S181" s="41" t="str">
        <f>IFERROR(__xludf.DUMMYFUNCTION("""COMPUTED_VALUE"""),"NT$69,739")</f>
        <v>NT$69,739</v>
      </c>
      <c r="T181" s="41" t="str">
        <f>IFERROR(__xludf.DUMMYFUNCTION("""COMPUTED_VALUE"""),"MBP16 (2019) I7/16GBRAM/512GBSSD")</f>
        <v>MBP16 (2019) I7/16GBRAM/512GBSSD</v>
      </c>
      <c r="U181" s="41"/>
      <c r="V181" s="41"/>
      <c r="W181" s="41"/>
      <c r="X181" s="45" t="str">
        <f>IFERROR(__xludf.DUMMYFUNCTION("""COMPUTED_VALUE"""),"")</f>
        <v/>
      </c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</row>
    <row r="182">
      <c r="B182" s="41"/>
      <c r="C182" s="41" t="str">
        <f>IFERROR(__xludf.DUMMYFUNCTION("""COMPUTED_VALUE"""),"滿三年更換")</f>
        <v>滿三年更換</v>
      </c>
      <c r="D182" s="41" t="str">
        <f>IFERROR(__xludf.DUMMYFUNCTION("""COMPUTED_VALUE"""),"TW")</f>
        <v>TW</v>
      </c>
      <c r="E182" s="41"/>
      <c r="F182" s="41"/>
      <c r="G182" s="41"/>
      <c r="H182" s="65" t="str">
        <f>IFERROR(__xludf.DUMMYFUNCTION("""COMPUTED_VALUE"""),"研發中心:軟體工程部:後端團隊")</f>
        <v>研發中心:軟體工程部:後端團隊</v>
      </c>
      <c r="I182" s="41" t="str">
        <f>IFERROR(__xludf.DUMMYFUNCTION("""COMPUTED_VALUE"""),"資訊裝置")</f>
        <v>資訊裝置</v>
      </c>
      <c r="J182" s="41" t="str">
        <f>IFERROR(__xludf.DUMMYFUNCTION("""COMPUTED_VALUE"""),"AICHMN01604015")</f>
        <v>AICHMN01604015</v>
      </c>
      <c r="K182" s="41" t="str">
        <f>IFERROR(__xludf.DUMMYFUNCTION("""COMPUTED_VALUE"""),"螢幕")</f>
        <v>螢幕</v>
      </c>
      <c r="L182" s="41" t="str">
        <f>IFERROR(__xludf.DUMMYFUNCTION("""COMPUTED_VALUE"""),"CN-03W9XD-74261-3A5-2HWL")</f>
        <v>CN-03W9XD-74261-3A5-2HWL</v>
      </c>
      <c r="M182" s="41" t="str">
        <f>IFERROR(__xludf.DUMMYFUNCTION("""COMPUTED_VALUE"""),"曾大瑋")</f>
        <v>曾大瑋</v>
      </c>
      <c r="N182" s="65">
        <f>IFERROR(__xludf.DUMMYFUNCTION("""COMPUTED_VALUE"""),42468.0)</f>
        <v>42468</v>
      </c>
      <c r="O182" s="41"/>
      <c r="P182" s="41" t="str">
        <f>IFERROR(__xludf.DUMMYFUNCTION("""COMPUTED_VALUE"""),"資訊裝置")</f>
        <v>資訊裝置</v>
      </c>
      <c r="Q182" s="41">
        <f>IFERROR(__xludf.DUMMYFUNCTION("""COMPUTED_VALUE"""),36.0)</f>
        <v>36</v>
      </c>
      <c r="R182" s="41">
        <f>IFERROR(__xludf.DUMMYFUNCTION("""COMPUTED_VALUE"""),36.0)</f>
        <v>36</v>
      </c>
      <c r="S182" s="41" t="str">
        <f>IFERROR(__xludf.DUMMYFUNCTION("""COMPUTED_VALUE"""),"NT$0")</f>
        <v>NT$0</v>
      </c>
      <c r="T182" s="41" t="str">
        <f>IFERROR(__xludf.DUMMYFUNCTION("""COMPUTED_VALUE"""),"Dell 24吋 U2412Mb")</f>
        <v>Dell 24吋 U2412Mb</v>
      </c>
      <c r="U182" s="41"/>
      <c r="V182" s="41"/>
      <c r="W182" s="41"/>
      <c r="X182" s="45" t="str">
        <f>IFERROR(__xludf.DUMMYFUNCTION("""COMPUTED_VALUE"""),"")</f>
        <v/>
      </c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</row>
    <row r="183">
      <c r="B183" s="41"/>
      <c r="C183" s="41" t="str">
        <f>IFERROR(__xludf.DUMMYFUNCTION("""COMPUTED_VALUE"""),"滿三年更換")</f>
        <v>滿三年更換</v>
      </c>
      <c r="D183" s="41" t="str">
        <f>IFERROR(__xludf.DUMMYFUNCTION("""COMPUTED_VALUE"""),"TW")</f>
        <v>TW</v>
      </c>
      <c r="E183" s="41"/>
      <c r="F183" s="41"/>
      <c r="G183" s="41"/>
      <c r="H183" s="65" t="str">
        <f>IFERROR(__xludf.DUMMYFUNCTION("""COMPUTED_VALUE"""),"研發中心:軟體工程部:後端團隊")</f>
        <v>研發中心:軟體工程部:後端團隊</v>
      </c>
      <c r="I183" s="41" t="str">
        <f>IFERROR(__xludf.DUMMYFUNCTION("""COMPUTED_VALUE"""),"資訊裝置")</f>
        <v>資訊裝置</v>
      </c>
      <c r="J183" s="41" t="str">
        <f>IFERROR(__xludf.DUMMYFUNCTION("""COMPUTED_VALUE"""),"AICHMN02101090")</f>
        <v>AICHMN02101090</v>
      </c>
      <c r="K183" s="41" t="str">
        <f>IFERROR(__xludf.DUMMYFUNCTION("""COMPUTED_VALUE"""),"螢幕")</f>
        <v>螢幕</v>
      </c>
      <c r="L183" s="41" t="str">
        <f>IFERROR(__xludf.DUMMYFUNCTION("""COMPUTED_VALUE"""),"CN-0941GG-QDC00-08N-4YIS-A09")</f>
        <v>CN-0941GG-QDC00-08N-4YIS-A09</v>
      </c>
      <c r="M183" s="41" t="str">
        <f>IFERROR(__xludf.DUMMYFUNCTION("""COMPUTED_VALUE"""),"曾大瑋")</f>
        <v>曾大瑋</v>
      </c>
      <c r="N183" s="65">
        <f>IFERROR(__xludf.DUMMYFUNCTION("""COMPUTED_VALUE"""),44215.0)</f>
        <v>44215</v>
      </c>
      <c r="O183" s="45">
        <f>IFERROR(__xludf.DUMMYFUNCTION("""COMPUTED_VALUE"""),13200.0)</f>
        <v>13200</v>
      </c>
      <c r="P183" s="41" t="str">
        <f>IFERROR(__xludf.DUMMYFUNCTION("""COMPUTED_VALUE"""),"資訊裝置")</f>
        <v>資訊裝置</v>
      </c>
      <c r="Q183" s="41">
        <f>IFERROR(__xludf.DUMMYFUNCTION("""COMPUTED_VALUE"""),36.0)</f>
        <v>36</v>
      </c>
      <c r="R183" s="41">
        <f>IFERROR(__xludf.DUMMYFUNCTION("""COMPUTED_VALUE"""),36.0)</f>
        <v>36</v>
      </c>
      <c r="S183" s="41" t="str">
        <f>IFERROR(__xludf.DUMMYFUNCTION("""COMPUTED_VALUE"""),"NT$13,200")</f>
        <v>NT$13,200</v>
      </c>
      <c r="T183" s="41" t="str">
        <f>IFERROR(__xludf.DUMMYFUNCTION("""COMPUTED_VALUE"""),"Dell 24吋 P2419H")</f>
        <v>Dell 24吋 P2419H</v>
      </c>
      <c r="U183" s="41"/>
      <c r="V183" s="41"/>
      <c r="W183" s="41"/>
      <c r="X183" s="45" t="str">
        <f>IFERROR(__xludf.DUMMYFUNCTION("""COMPUTED_VALUE"""),"")</f>
        <v/>
      </c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</row>
    <row r="184">
      <c r="B184" s="41"/>
      <c r="C184" s="41" t="str">
        <f>IFERROR(__xludf.DUMMYFUNCTION("""COMPUTED_VALUE"""),"滿三年更換")</f>
        <v>滿三年更換</v>
      </c>
      <c r="D184" s="41" t="str">
        <f>IFERROR(__xludf.DUMMYFUNCTION("""COMPUTED_VALUE"""),"TW")</f>
        <v>TW</v>
      </c>
      <c r="E184" s="41"/>
      <c r="F184" s="41"/>
      <c r="G184" s="41"/>
      <c r="H184" s="65" t="str">
        <f>IFERROR(__xludf.DUMMYFUNCTION("""COMPUTED_VALUE"""),"管理中心:人資部:人資團隊")</f>
        <v>管理中心:人資部:人資團隊</v>
      </c>
      <c r="I184" s="41" t="str">
        <f>IFERROR(__xludf.DUMMYFUNCTION("""COMPUTED_VALUE"""),"資訊裝置")</f>
        <v>資訊裝置</v>
      </c>
      <c r="J184" s="41" t="str">
        <f>IFERROR(__xludf.DUMMYFUNCTION("""COMPUTED_VALUE"""),"AICHMA02103012")</f>
        <v>AICHMA02103012</v>
      </c>
      <c r="K184" s="41" t="str">
        <f>IFERROR(__xludf.DUMMYFUNCTION("""COMPUTED_VALUE"""),"Macbook Air")</f>
        <v>Macbook Air</v>
      </c>
      <c r="L184" s="41" t="str">
        <f>IFERROR(__xludf.DUMMYFUNCTION("""COMPUTED_VALUE"""),"FVFF6C67Q6LC")</f>
        <v>FVFF6C67Q6LC</v>
      </c>
      <c r="M184" s="41" t="str">
        <f>IFERROR(__xludf.DUMMYFUNCTION("""COMPUTED_VALUE"""),"曾詩芸")</f>
        <v>曾詩芸</v>
      </c>
      <c r="N184" s="65">
        <f>IFERROR(__xludf.DUMMYFUNCTION("""COMPUTED_VALUE"""),44258.0)</f>
        <v>44258</v>
      </c>
      <c r="O184" s="45">
        <f>IFERROR(__xludf.DUMMYFUNCTION("""COMPUTED_VALUE"""),27075.0)</f>
        <v>27075</v>
      </c>
      <c r="P184" s="41" t="str">
        <f>IFERROR(__xludf.DUMMYFUNCTION("""COMPUTED_VALUE"""),"資訊裝置")</f>
        <v>資訊裝置</v>
      </c>
      <c r="Q184" s="41">
        <f>IFERROR(__xludf.DUMMYFUNCTION("""COMPUTED_VALUE"""),36.0)</f>
        <v>36</v>
      </c>
      <c r="R184" s="41">
        <f>IFERROR(__xludf.DUMMYFUNCTION("""COMPUTED_VALUE"""),36.0)</f>
        <v>36</v>
      </c>
      <c r="S184" s="41" t="str">
        <f>IFERROR(__xludf.DUMMYFUNCTION("""COMPUTED_VALUE"""),"NT$27,075")</f>
        <v>NT$27,075</v>
      </c>
      <c r="T184" s="41" t="str">
        <f>IFERROR(__xludf.DUMMYFUNCTION("""COMPUTED_VALUE"""),"MBA13 (2020) M1/8GBRAM/256GBSSD")</f>
        <v>MBA13 (2020) M1/8GBRAM/256GBSSD</v>
      </c>
      <c r="U184" s="41"/>
      <c r="V184" s="41"/>
      <c r="W184" s="41"/>
      <c r="X184" s="45" t="str">
        <f>IFERROR(__xludf.DUMMYFUNCTION("""COMPUTED_VALUE"""),"")</f>
        <v/>
      </c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</row>
    <row r="185">
      <c r="B185" s="41"/>
      <c r="C185" s="41" t="str">
        <f>IFERROR(__xludf.DUMMYFUNCTION("""COMPUTED_VALUE"""),"滿三年更換")</f>
        <v>滿三年更換</v>
      </c>
      <c r="D185" s="41" t="str">
        <f>IFERROR(__xludf.DUMMYFUNCTION("""COMPUTED_VALUE"""),"TW")</f>
        <v>TW</v>
      </c>
      <c r="E185" s="41"/>
      <c r="F185" s="41"/>
      <c r="G185" s="41"/>
      <c r="H185" s="65" t="str">
        <f>IFERROR(__xludf.DUMMYFUNCTION("""COMPUTED_VALUE"""),"管理中心:人資部:人資團隊")</f>
        <v>管理中心:人資部:人資團隊</v>
      </c>
      <c r="I185" s="41" t="str">
        <f>IFERROR(__xludf.DUMMYFUNCTION("""COMPUTED_VALUE"""),"資訊裝置")</f>
        <v>資訊裝置</v>
      </c>
      <c r="J185" s="41" t="str">
        <f>IFERROR(__xludf.DUMMYFUNCTION("""COMPUTED_VALUE"""),"AICHMA02104014")</f>
        <v>AICHMA02104014</v>
      </c>
      <c r="K185" s="41" t="str">
        <f>IFERROR(__xludf.DUMMYFUNCTION("""COMPUTED_VALUE"""),"Macbook Air")</f>
        <v>Macbook Air</v>
      </c>
      <c r="L185" s="41" t="str">
        <f>IFERROR(__xludf.DUMMYFUNCTION("""COMPUTED_VALUE"""),"FVFFC6PMQ6L7")</f>
        <v>FVFFC6PMQ6L7</v>
      </c>
      <c r="M185" s="41" t="str">
        <f>IFERROR(__xludf.DUMMYFUNCTION("""COMPUTED_VALUE"""),"曾詩芸")</f>
        <v>曾詩芸</v>
      </c>
      <c r="N185" s="65">
        <f>IFERROR(__xludf.DUMMYFUNCTION("""COMPUTED_VALUE"""),44294.0)</f>
        <v>44294</v>
      </c>
      <c r="O185" s="45">
        <f>IFERROR(__xludf.DUMMYFUNCTION("""COMPUTED_VALUE"""),27663.0)</f>
        <v>27663</v>
      </c>
      <c r="P185" s="41" t="str">
        <f>IFERROR(__xludf.DUMMYFUNCTION("""COMPUTED_VALUE"""),"資訊裝置")</f>
        <v>資訊裝置</v>
      </c>
      <c r="Q185" s="41">
        <f>IFERROR(__xludf.DUMMYFUNCTION("""COMPUTED_VALUE"""),36.0)</f>
        <v>36</v>
      </c>
      <c r="R185" s="41">
        <f>IFERROR(__xludf.DUMMYFUNCTION("""COMPUTED_VALUE"""),36.0)</f>
        <v>36</v>
      </c>
      <c r="S185" s="41" t="str">
        <f>IFERROR(__xludf.DUMMYFUNCTION("""COMPUTED_VALUE"""),"NT$27,663")</f>
        <v>NT$27,663</v>
      </c>
      <c r="T185" s="41" t="str">
        <f>IFERROR(__xludf.DUMMYFUNCTION("""COMPUTED_VALUE"""),"A2337 MBA13 (2020) M1/8GBRAM/256GBSSD(MGN93TA/A)/電源284正常")</f>
        <v>A2337 MBA13 (2020) M1/8GBRAM/256GBSSD(MGN93TA/A)/電源284正常</v>
      </c>
      <c r="U185" s="41"/>
      <c r="V185" s="41"/>
      <c r="W185" s="41"/>
      <c r="X185" s="45" t="str">
        <f>IFERROR(__xludf.DUMMYFUNCTION("""COMPUTED_VALUE"""),"")</f>
        <v/>
      </c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</row>
    <row r="186">
      <c r="B186" s="41"/>
      <c r="C186" s="41" t="str">
        <f>IFERROR(__xludf.DUMMYFUNCTION("""COMPUTED_VALUE"""),"滿三年更換")</f>
        <v>滿三年更換</v>
      </c>
      <c r="D186" s="41" t="str">
        <f>IFERROR(__xludf.DUMMYFUNCTION("""COMPUTED_VALUE"""),"TW")</f>
        <v>TW</v>
      </c>
      <c r="E186" s="41"/>
      <c r="F186" s="41"/>
      <c r="G186" s="41"/>
      <c r="H186" s="41" t="str">
        <f>IFERROR(__xludf.DUMMYFUNCTION("""COMPUTED_VALUE"""),"行銷營運中心")</f>
        <v>行銷營運中心</v>
      </c>
      <c r="I186" s="41" t="str">
        <f>IFERROR(__xludf.DUMMYFUNCTION("""COMPUTED_VALUE"""),"資訊裝置")</f>
        <v>資訊裝置</v>
      </c>
      <c r="J186" s="41" t="str">
        <f>IFERROR(__xludf.DUMMYFUNCTION("""COMPUTED_VALUE"""),"AICHMA02210050")</f>
        <v>AICHMA02210050</v>
      </c>
      <c r="K186" s="41" t="str">
        <f>IFERROR(__xludf.DUMMYFUNCTION("""COMPUTED_VALUE"""),"Macbook Air")</f>
        <v>Macbook Air</v>
      </c>
      <c r="L186" s="41" t="str">
        <f>IFERROR(__xludf.DUMMYFUNCTION("""COMPUTED_VALUE"""),"FVFJJ8AJQ6L4")</f>
        <v>FVFJJ8AJQ6L4</v>
      </c>
      <c r="M186" s="41" t="str">
        <f>IFERROR(__xludf.DUMMYFUNCTION("""COMPUTED_VALUE"""),"程開佑")</f>
        <v>程開佑</v>
      </c>
      <c r="N186" s="66">
        <f>IFERROR(__xludf.DUMMYFUNCTION("""COMPUTED_VALUE"""),44859.0)</f>
        <v>44859</v>
      </c>
      <c r="O186" s="45">
        <f>IFERROR(__xludf.DUMMYFUNCTION("""COMPUTED_VALUE"""),27075.0)</f>
        <v>27075</v>
      </c>
      <c r="P186" s="41" t="str">
        <f>IFERROR(__xludf.DUMMYFUNCTION("""COMPUTED_VALUE"""),"資訊裝置")</f>
        <v>資訊裝置</v>
      </c>
      <c r="Q186" s="41">
        <f>IFERROR(__xludf.DUMMYFUNCTION("""COMPUTED_VALUE"""),36.0)</f>
        <v>36</v>
      </c>
      <c r="R186" s="41">
        <f>IFERROR(__xludf.DUMMYFUNCTION("""COMPUTED_VALUE"""),36.0)</f>
        <v>36</v>
      </c>
      <c r="S186" s="41" t="str">
        <f>IFERROR(__xludf.DUMMYFUNCTION("""COMPUTED_VALUE"""),"NT$27,075")</f>
        <v>NT$27,075</v>
      </c>
      <c r="T186" s="41" t="str">
        <f>IFERROR(__xludf.DUMMYFUNCTION("""COMPUTED_VALUE"""),"MBA13 (2020) M1/8GBRAM/256GBSSD")</f>
        <v>MBA13 (2020) M1/8GBRAM/256GBSSD</v>
      </c>
      <c r="U186" s="41"/>
      <c r="V186" s="41"/>
      <c r="W186" s="41"/>
      <c r="X186" s="45" t="str">
        <f>IFERROR(__xludf.DUMMYFUNCTION("""COMPUTED_VALUE"""),"")</f>
        <v/>
      </c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</row>
    <row r="187">
      <c r="B187" s="41"/>
      <c r="C187" s="41" t="str">
        <f>IFERROR(__xludf.DUMMYFUNCTION("""COMPUTED_VALUE"""),"滿三年更換")</f>
        <v>滿三年更換</v>
      </c>
      <c r="D187" s="41" t="str">
        <f>IFERROR(__xludf.DUMMYFUNCTION("""COMPUTED_VALUE"""),"TW")</f>
        <v>TW</v>
      </c>
      <c r="E187" s="41"/>
      <c r="F187" s="41"/>
      <c r="G187" s="41"/>
      <c r="H187" s="41" t="str">
        <f>IFERROR(__xludf.DUMMYFUNCTION("""COMPUTED_VALUE"""),"行銷營運中心")</f>
        <v>行銷營運中心</v>
      </c>
      <c r="I187" s="41" t="str">
        <f>IFERROR(__xludf.DUMMYFUNCTION("""COMPUTED_VALUE"""),"資訊裝置")</f>
        <v>資訊裝置</v>
      </c>
      <c r="J187" s="41" t="str">
        <f>IFERROR(__xludf.DUMMYFUNCTION("""COMPUTED_VALUE"""),"AICHIP02006026")</f>
        <v>AICHIP02006026</v>
      </c>
      <c r="K187" s="41" t="str">
        <f>IFERROR(__xludf.DUMMYFUNCTION("""COMPUTED_VALUE"""),"iPad")</f>
        <v>iPad</v>
      </c>
      <c r="L187" s="41" t="str">
        <f>IFERROR(__xludf.DUMMYFUNCTION("""COMPUTED_VALUE"""),"DMPZPXBLMF3P")</f>
        <v>DMPZPXBLMF3P</v>
      </c>
      <c r="M187" s="41" t="str">
        <f>IFERROR(__xludf.DUMMYFUNCTION("""COMPUTED_VALUE"""),"程開佑")</f>
        <v>程開佑</v>
      </c>
      <c r="N187" s="65">
        <f>IFERROR(__xludf.DUMMYFUNCTION("""COMPUTED_VALUE"""),43985.0)</f>
        <v>43985</v>
      </c>
      <c r="O187" s="45">
        <f>IFERROR(__xludf.DUMMYFUNCTION("""COMPUTED_VALUE"""),9374.0)</f>
        <v>9374</v>
      </c>
      <c r="P187" s="41" t="str">
        <f>IFERROR(__xludf.DUMMYFUNCTION("""COMPUTED_VALUE"""),"資訊裝置")</f>
        <v>資訊裝置</v>
      </c>
      <c r="Q187" s="41">
        <f>IFERROR(__xludf.DUMMYFUNCTION("""COMPUTED_VALUE"""),36.0)</f>
        <v>36</v>
      </c>
      <c r="R187" s="41">
        <f>IFERROR(__xludf.DUMMYFUNCTION("""COMPUTED_VALUE"""),36.0)</f>
        <v>36</v>
      </c>
      <c r="S187" s="41" t="str">
        <f>IFERROR(__xludf.DUMMYFUNCTION("""COMPUTED_VALUE"""),"NT$9,374")</f>
        <v>NT$9,374</v>
      </c>
      <c r="T187" s="41" t="str">
        <f>IFERROR(__xludf.DUMMYFUNCTION("""COMPUTED_VALUE"""),"iPad (第七代) 32GB WIFI(MW762TA/A)")</f>
        <v>iPad (第七代) 32GB WIFI(MW762TA/A)</v>
      </c>
      <c r="U187" s="41"/>
      <c r="V187" s="41"/>
      <c r="W187" s="41"/>
      <c r="X187" s="45" t="str">
        <f>IFERROR(__xludf.DUMMYFUNCTION("""COMPUTED_VALUE"""),"")</f>
        <v/>
      </c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</row>
    <row r="188">
      <c r="B188" s="41"/>
      <c r="C188" s="41" t="str">
        <f>IFERROR(__xludf.DUMMYFUNCTION("""COMPUTED_VALUE"""),"滿三年更換")</f>
        <v>滿三年更換</v>
      </c>
      <c r="D188" s="41" t="str">
        <f>IFERROR(__xludf.DUMMYFUNCTION("""COMPUTED_VALUE"""),"TW")</f>
        <v>TW</v>
      </c>
      <c r="E188" s="41"/>
      <c r="F188" s="41"/>
      <c r="G188" s="41"/>
      <c r="H188" s="41" t="str">
        <f>IFERROR(__xludf.DUMMYFUNCTION("""COMPUTED_VALUE"""),"行銷營運中心")</f>
        <v>行銷營運中心</v>
      </c>
      <c r="I188" s="41" t="str">
        <f>IFERROR(__xludf.DUMMYFUNCTION("""COMPUTED_VALUE"""),"資訊裝置")</f>
        <v>資訊裝置</v>
      </c>
      <c r="J188" s="41" t="str">
        <f>IFERROR(__xludf.DUMMYFUNCTION("""COMPUTED_VALUE"""),"AICHMN01604018")</f>
        <v>AICHMN01604018</v>
      </c>
      <c r="K188" s="41" t="str">
        <f>IFERROR(__xludf.DUMMYFUNCTION("""COMPUTED_VALUE"""),"螢幕")</f>
        <v>螢幕</v>
      </c>
      <c r="L188" s="41" t="str">
        <f>IFERROR(__xludf.DUMMYFUNCTION("""COMPUTED_VALUE"""),"CN-03W9XD-74261-45M-36NL")</f>
        <v>CN-03W9XD-74261-45M-36NL</v>
      </c>
      <c r="M188" s="41" t="str">
        <f>IFERROR(__xludf.DUMMYFUNCTION("""COMPUTED_VALUE"""),"程開佑")</f>
        <v>程開佑</v>
      </c>
      <c r="N188" s="65">
        <f>IFERROR(__xludf.DUMMYFUNCTION("""COMPUTED_VALUE"""),42468.0)</f>
        <v>42468</v>
      </c>
      <c r="O188" s="41"/>
      <c r="P188" s="41" t="str">
        <f>IFERROR(__xludf.DUMMYFUNCTION("""COMPUTED_VALUE"""),"資訊裝置")</f>
        <v>資訊裝置</v>
      </c>
      <c r="Q188" s="41">
        <f>IFERROR(__xludf.DUMMYFUNCTION("""COMPUTED_VALUE"""),36.0)</f>
        <v>36</v>
      </c>
      <c r="R188" s="41">
        <f>IFERROR(__xludf.DUMMYFUNCTION("""COMPUTED_VALUE"""),36.0)</f>
        <v>36</v>
      </c>
      <c r="S188" s="41" t="str">
        <f>IFERROR(__xludf.DUMMYFUNCTION("""COMPUTED_VALUE"""),"NT$0")</f>
        <v>NT$0</v>
      </c>
      <c r="T188" s="41" t="str">
        <f>IFERROR(__xludf.DUMMYFUNCTION("""COMPUTED_VALUE"""),"Dell 24吋 U2412Mb")</f>
        <v>Dell 24吋 U2412Mb</v>
      </c>
      <c r="U188" s="41"/>
      <c r="V188" s="41"/>
      <c r="W188" s="41"/>
      <c r="X188" s="45" t="str">
        <f>IFERROR(__xludf.DUMMYFUNCTION("""COMPUTED_VALUE"""),"")</f>
        <v/>
      </c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</row>
    <row r="189">
      <c r="B189" s="41"/>
      <c r="C189" s="41" t="str">
        <f>IFERROR(__xludf.DUMMYFUNCTION("""COMPUTED_VALUE"""),"滿三年更換")</f>
        <v>滿三年更換</v>
      </c>
      <c r="D189" s="41" t="str">
        <f>IFERROR(__xludf.DUMMYFUNCTION("""COMPUTED_VALUE"""),"TW")</f>
        <v>TW</v>
      </c>
      <c r="E189" s="41"/>
      <c r="F189" s="41"/>
      <c r="G189" s="41"/>
      <c r="H189" s="65" t="str">
        <f>IFERROR(__xludf.DUMMYFUNCTION("""COMPUTED_VALUE"""),"研發中心:產品設計部:產品設計師團隊")</f>
        <v>研發中心:產品設計部:產品設計師團隊</v>
      </c>
      <c r="I189" s="41" t="str">
        <f>IFERROR(__xludf.DUMMYFUNCTION("""COMPUTED_VALUE"""),"資訊裝置")</f>
        <v>資訊裝置</v>
      </c>
      <c r="J189" s="41" t="str">
        <f>IFERROR(__xludf.DUMMYFUNCTION("""COMPUTED_VALUE"""),"AICHMN02009070")</f>
        <v>AICHMN02009070</v>
      </c>
      <c r="K189" s="41" t="str">
        <f>IFERROR(__xludf.DUMMYFUNCTION("""COMPUTED_VALUE"""),"螢幕")</f>
        <v>螢幕</v>
      </c>
      <c r="L189" s="41" t="str">
        <f>IFERROR(__xludf.DUMMYFUNCTION("""COMPUTED_VALUE"""),"L8LMTF166726")</f>
        <v>L8LMTF166726</v>
      </c>
      <c r="M189" s="41" t="str">
        <f>IFERROR(__xludf.DUMMYFUNCTION("""COMPUTED_VALUE"""),"馮荺琪")</f>
        <v>馮荺琪</v>
      </c>
      <c r="N189" s="65">
        <f>IFERROR(__xludf.DUMMYFUNCTION("""COMPUTED_VALUE"""),44084.0)</f>
        <v>44084</v>
      </c>
      <c r="O189" s="45">
        <f>IFERROR(__xludf.DUMMYFUNCTION("""COMPUTED_VALUE"""),58086.0)</f>
        <v>58086</v>
      </c>
      <c r="P189" s="41" t="str">
        <f>IFERROR(__xludf.DUMMYFUNCTION("""COMPUTED_VALUE"""),"資訊裝置")</f>
        <v>資訊裝置</v>
      </c>
      <c r="Q189" s="41">
        <f>IFERROR(__xludf.DUMMYFUNCTION("""COMPUTED_VALUE"""),36.0)</f>
        <v>36</v>
      </c>
      <c r="R189" s="41">
        <f>IFERROR(__xludf.DUMMYFUNCTION("""COMPUTED_VALUE"""),36.0)</f>
        <v>36</v>
      </c>
      <c r="S189" s="41" t="str">
        <f>IFERROR(__xludf.DUMMYFUNCTION("""COMPUTED_VALUE"""),"NT$58,086")</f>
        <v>NT$58,086</v>
      </c>
      <c r="T189" s="41" t="str">
        <f>IFERROR(__xludf.DUMMYFUNCTION("""COMPUTED_VALUE"""),"ASUS 28吋 VG289")</f>
        <v>ASUS 28吋 VG289</v>
      </c>
      <c r="U189" s="41"/>
      <c r="V189" s="41"/>
      <c r="W189" s="41"/>
      <c r="X189" s="45" t="str">
        <f>IFERROR(__xludf.DUMMYFUNCTION("""COMPUTED_VALUE"""),"")</f>
        <v/>
      </c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</row>
    <row r="190">
      <c r="B190" s="41"/>
      <c r="C190" s="41" t="str">
        <f>IFERROR(__xludf.DUMMYFUNCTION("""COMPUTED_VALUE"""),"滿三年更換")</f>
        <v>滿三年更換</v>
      </c>
      <c r="D190" s="41" t="str">
        <f>IFERROR(__xludf.DUMMYFUNCTION("""COMPUTED_VALUE"""),"TW")</f>
        <v>TW</v>
      </c>
      <c r="E190" s="41"/>
      <c r="F190" s="41"/>
      <c r="G190" s="41"/>
      <c r="H190" s="65" t="str">
        <f>IFERROR(__xludf.DUMMYFUNCTION("""COMPUTED_VALUE"""),"行銷營運中心:銷售營運部:線上開發團隊")</f>
        <v>行銷營運中心:銷售營運部:線上開發團隊</v>
      </c>
      <c r="I190" s="41" t="str">
        <f>IFERROR(__xludf.DUMMYFUNCTION("""COMPUTED_VALUE"""),"資訊裝置")</f>
        <v>資訊裝置</v>
      </c>
      <c r="J190" s="41" t="str">
        <f>IFERROR(__xludf.DUMMYFUNCTION("""COMPUTED_VALUE"""),"AICHMA02108035")</f>
        <v>AICHMA02108035</v>
      </c>
      <c r="K190" s="41" t="str">
        <f>IFERROR(__xludf.DUMMYFUNCTION("""COMPUTED_VALUE"""),"Macbook Air")</f>
        <v>Macbook Air</v>
      </c>
      <c r="L190" s="41" t="str">
        <f>IFERROR(__xludf.DUMMYFUNCTION("""COMPUTED_VALUE"""),"FVHG4KVUQ6L4")</f>
        <v>FVHG4KVUQ6L4</v>
      </c>
      <c r="M190" s="41" t="str">
        <f>IFERROR(__xludf.DUMMYFUNCTION("""COMPUTED_VALUE"""),"馮麗娟")</f>
        <v>馮麗娟</v>
      </c>
      <c r="N190" s="65">
        <f>IFERROR(__xludf.DUMMYFUNCTION("""COMPUTED_VALUE"""),44424.0)</f>
        <v>44424</v>
      </c>
      <c r="O190" s="45">
        <f>IFERROR(__xludf.DUMMYFUNCTION("""COMPUTED_VALUE"""),27075.0)</f>
        <v>27075</v>
      </c>
      <c r="P190" s="41" t="str">
        <f>IFERROR(__xludf.DUMMYFUNCTION("""COMPUTED_VALUE"""),"資訊裝置")</f>
        <v>資訊裝置</v>
      </c>
      <c r="Q190" s="41">
        <f>IFERROR(__xludf.DUMMYFUNCTION("""COMPUTED_VALUE"""),36.0)</f>
        <v>36</v>
      </c>
      <c r="R190" s="41">
        <f>IFERROR(__xludf.DUMMYFUNCTION("""COMPUTED_VALUE"""),36.0)</f>
        <v>36</v>
      </c>
      <c r="S190" s="41" t="str">
        <f>IFERROR(__xludf.DUMMYFUNCTION("""COMPUTED_VALUE"""),"NT$27,075")</f>
        <v>NT$27,075</v>
      </c>
      <c r="T190" s="41" t="str">
        <f>IFERROR(__xludf.DUMMYFUNCTION("""COMPUTED_VALUE"""),"A2337 MBA13 (2020) M1/8GBRAM/256GBSSD")</f>
        <v>A2337 MBA13 (2020) M1/8GBRAM/256GBSSD</v>
      </c>
      <c r="U190" s="41"/>
      <c r="V190" s="41"/>
      <c r="W190" s="41"/>
      <c r="X190" s="45" t="str">
        <f>IFERROR(__xludf.DUMMYFUNCTION("""COMPUTED_VALUE"""),"")</f>
        <v/>
      </c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</row>
    <row r="191">
      <c r="B191" s="41"/>
      <c r="C191" s="41" t="str">
        <f>IFERROR(__xludf.DUMMYFUNCTION("""COMPUTED_VALUE"""),"滿三年更換")</f>
        <v>滿三年更換</v>
      </c>
      <c r="D191" s="41" t="str">
        <f>IFERROR(__xludf.DUMMYFUNCTION("""COMPUTED_VALUE"""),"TW")</f>
        <v>TW</v>
      </c>
      <c r="E191" s="41"/>
      <c r="F191" s="41"/>
      <c r="G191" s="41"/>
      <c r="H191" s="65" t="str">
        <f>IFERROR(__xludf.DUMMYFUNCTION("""COMPUTED_VALUE"""),"行銷營運中心:銷售營運部:線上開發團隊")</f>
        <v>行銷營運中心:銷售營運部:線上開發團隊</v>
      </c>
      <c r="I191" s="41" t="str">
        <f>IFERROR(__xludf.DUMMYFUNCTION("""COMPUTED_VALUE"""),"資訊裝置")</f>
        <v>資訊裝置</v>
      </c>
      <c r="J191" s="41" t="str">
        <f>IFERROR(__xludf.DUMMYFUNCTION("""COMPUTED_VALUE"""),"AICHMN02101091")</f>
        <v>AICHMN02101091</v>
      </c>
      <c r="K191" s="41" t="str">
        <f>IFERROR(__xludf.DUMMYFUNCTION("""COMPUTED_VALUE"""),"螢幕")</f>
        <v>螢幕</v>
      </c>
      <c r="L191" s="41" t="str">
        <f>IFERROR(__xludf.DUMMYFUNCTION("""COMPUTED_VALUE"""),"CN-0941GG-QDC00-08H-12LB-A09")</f>
        <v>CN-0941GG-QDC00-08H-12LB-A09</v>
      </c>
      <c r="M191" s="41" t="str">
        <f>IFERROR(__xludf.DUMMYFUNCTION("""COMPUTED_VALUE"""),"馮麗娟")</f>
        <v>馮麗娟</v>
      </c>
      <c r="N191" s="65">
        <f>IFERROR(__xludf.DUMMYFUNCTION("""COMPUTED_VALUE"""),44215.0)</f>
        <v>44215</v>
      </c>
      <c r="O191" s="41"/>
      <c r="P191" s="41" t="str">
        <f>IFERROR(__xludf.DUMMYFUNCTION("""COMPUTED_VALUE"""),"資訊裝置")</f>
        <v>資訊裝置</v>
      </c>
      <c r="Q191" s="41">
        <f>IFERROR(__xludf.DUMMYFUNCTION("""COMPUTED_VALUE"""),36.0)</f>
        <v>36</v>
      </c>
      <c r="R191" s="41">
        <f>IFERROR(__xludf.DUMMYFUNCTION("""COMPUTED_VALUE"""),36.0)</f>
        <v>36</v>
      </c>
      <c r="S191" s="41" t="str">
        <f>IFERROR(__xludf.DUMMYFUNCTION("""COMPUTED_VALUE"""),"NT$0")</f>
        <v>NT$0</v>
      </c>
      <c r="T191" s="41" t="str">
        <f>IFERROR(__xludf.DUMMYFUNCTION("""COMPUTED_VALUE"""),"Dell 24吋 P2419H")</f>
        <v>Dell 24吋 P2419H</v>
      </c>
      <c r="U191" s="41"/>
      <c r="V191" s="41"/>
      <c r="W191" s="41"/>
      <c r="X191" s="45" t="str">
        <f>IFERROR(__xludf.DUMMYFUNCTION("""COMPUTED_VALUE"""),"")</f>
        <v/>
      </c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</row>
    <row r="192">
      <c r="B192" s="41"/>
      <c r="C192" s="41" t="str">
        <f>IFERROR(__xludf.DUMMYFUNCTION("""COMPUTED_VALUE"""),"滿三年更換")</f>
        <v>滿三年更換</v>
      </c>
      <c r="D192" s="41" t="str">
        <f>IFERROR(__xludf.DUMMYFUNCTION("""COMPUTED_VALUE"""),"TW")</f>
        <v>TW</v>
      </c>
      <c r="E192" s="41"/>
      <c r="F192" s="41"/>
      <c r="G192" s="41"/>
      <c r="H192" s="65" t="str">
        <f>IFERROR(__xludf.DUMMYFUNCTION("""COMPUTED_VALUE"""),"客戶價值中心:客戶關係管理部:續約管理團隊")</f>
        <v>客戶價值中心:客戶關係管理部:續約管理團隊</v>
      </c>
      <c r="I192" s="41" t="str">
        <f>IFERROR(__xludf.DUMMYFUNCTION("""COMPUTED_VALUE"""),"資訊裝置")</f>
        <v>資訊裝置</v>
      </c>
      <c r="J192" s="41" t="str">
        <f>IFERROR(__xludf.DUMMYFUNCTION("""COMPUTED_VALUE"""),"AICHMN01604008")</f>
        <v>AICHMN01604008</v>
      </c>
      <c r="K192" s="41" t="str">
        <f>IFERROR(__xludf.DUMMYFUNCTION("""COMPUTED_VALUE"""),"螢幕")</f>
        <v>螢幕</v>
      </c>
      <c r="L192" s="41" t="str">
        <f>IFERROR(__xludf.DUMMYFUNCTION("""COMPUTED_VALUE"""),"CN-0MTYGK-64180-58T-0CEL")</f>
        <v>CN-0MTYGK-64180-58T-0CEL</v>
      </c>
      <c r="M192" s="41" t="str">
        <f>IFERROR(__xludf.DUMMYFUNCTION("""COMPUTED_VALUE"""),"黃如蘭")</f>
        <v>黃如蘭</v>
      </c>
      <c r="N192" s="65">
        <f>IFERROR(__xludf.DUMMYFUNCTION("""COMPUTED_VALUE"""),42468.0)</f>
        <v>42468</v>
      </c>
      <c r="O192" s="41"/>
      <c r="P192" s="41" t="str">
        <f>IFERROR(__xludf.DUMMYFUNCTION("""COMPUTED_VALUE"""),"資訊裝置")</f>
        <v>資訊裝置</v>
      </c>
      <c r="Q192" s="41">
        <f>IFERROR(__xludf.DUMMYFUNCTION("""COMPUTED_VALUE"""),36.0)</f>
        <v>36</v>
      </c>
      <c r="R192" s="41">
        <f>IFERROR(__xludf.DUMMYFUNCTION("""COMPUTED_VALUE"""),36.0)</f>
        <v>36</v>
      </c>
      <c r="S192" s="41" t="str">
        <f>IFERROR(__xludf.DUMMYFUNCTION("""COMPUTED_VALUE"""),"NT$0")</f>
        <v>NT$0</v>
      </c>
      <c r="T192" s="41" t="str">
        <f>IFERROR(__xludf.DUMMYFUNCTION("""COMPUTED_VALUE"""),"Dell 24吋 U2412Mc")</f>
        <v>Dell 24吋 U2412Mc</v>
      </c>
      <c r="U192" s="41"/>
      <c r="V192" s="41"/>
      <c r="W192" s="41"/>
      <c r="X192" s="45" t="str">
        <f>IFERROR(__xludf.DUMMYFUNCTION("""COMPUTED_VALUE"""),"")</f>
        <v/>
      </c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</row>
    <row r="193">
      <c r="B193" s="41"/>
      <c r="C193" s="41" t="str">
        <f>IFERROR(__xludf.DUMMYFUNCTION("""COMPUTED_VALUE"""),"滿三年更換")</f>
        <v>滿三年更換</v>
      </c>
      <c r="D193" s="41" t="str">
        <f>IFERROR(__xludf.DUMMYFUNCTION("""COMPUTED_VALUE"""),"TW")</f>
        <v>TW</v>
      </c>
      <c r="E193" s="41"/>
      <c r="F193" s="41"/>
      <c r="G193" s="41"/>
      <c r="H193" s="65" t="str">
        <f>IFERROR(__xludf.DUMMYFUNCTION("""COMPUTED_VALUE"""),"管理中心:法務部:法務團隊")</f>
        <v>管理中心:法務部:法務團隊</v>
      </c>
      <c r="I193" s="41" t="str">
        <f>IFERROR(__xludf.DUMMYFUNCTION("""COMPUTED_VALUE"""),"資訊裝置")</f>
        <v>資訊裝置</v>
      </c>
      <c r="J193" s="41" t="str">
        <f>IFERROR(__xludf.DUMMYFUNCTION("""COMPUTED_VALUE"""),"AICHMN02003065")</f>
        <v>AICHMN02003065</v>
      </c>
      <c r="K193" s="41" t="str">
        <f>IFERROR(__xludf.DUMMYFUNCTION("""COMPUTED_VALUE"""),"螢幕")</f>
        <v>螢幕</v>
      </c>
      <c r="L193" s="41" t="str">
        <f>IFERROR(__xludf.DUMMYFUNCTION("""COMPUTED_VALUE"""),"CN-07N2FG-TV100-98P-01Jl-A10")</f>
        <v>CN-07N2FG-TV100-98P-01Jl-A10</v>
      </c>
      <c r="M193" s="41" t="str">
        <f>IFERROR(__xludf.DUMMYFUNCTION("""COMPUTED_VALUE"""),"黃承駿")</f>
        <v>黃承駿</v>
      </c>
      <c r="N193" s="65">
        <f>IFERROR(__xludf.DUMMYFUNCTION("""COMPUTED_VALUE"""),43888.0)</f>
        <v>43888</v>
      </c>
      <c r="O193" s="41"/>
      <c r="P193" s="41" t="str">
        <f>IFERROR(__xludf.DUMMYFUNCTION("""COMPUTED_VALUE"""),"資訊裝置")</f>
        <v>資訊裝置</v>
      </c>
      <c r="Q193" s="41">
        <f>IFERROR(__xludf.DUMMYFUNCTION("""COMPUTED_VALUE"""),36.0)</f>
        <v>36</v>
      </c>
      <c r="R193" s="41">
        <f>IFERROR(__xludf.DUMMYFUNCTION("""COMPUTED_VALUE"""),36.0)</f>
        <v>36</v>
      </c>
      <c r="S193" s="41" t="str">
        <f>IFERROR(__xludf.DUMMYFUNCTION("""COMPUTED_VALUE"""),"NT$0")</f>
        <v>NT$0</v>
      </c>
      <c r="T193" s="41" t="str">
        <f>IFERROR(__xludf.DUMMYFUNCTION("""COMPUTED_VALUE"""),"Dell 24吋 U2412M")</f>
        <v>Dell 24吋 U2412M</v>
      </c>
      <c r="U193" s="41"/>
      <c r="V193" s="41"/>
      <c r="W193" s="41"/>
      <c r="X193" s="45" t="str">
        <f>IFERROR(__xludf.DUMMYFUNCTION("""COMPUTED_VALUE"""),"")</f>
        <v/>
      </c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</row>
    <row r="194">
      <c r="B194" s="41"/>
      <c r="C194" s="41" t="str">
        <f>IFERROR(__xludf.DUMMYFUNCTION("""COMPUTED_VALUE"""),"滿三年更換")</f>
        <v>滿三年更換</v>
      </c>
      <c r="D194" s="41" t="str">
        <f>IFERROR(__xludf.DUMMYFUNCTION("""COMPUTED_VALUE"""),"TW")</f>
        <v>TW</v>
      </c>
      <c r="E194" s="41"/>
      <c r="F194" s="41"/>
      <c r="G194" s="41"/>
      <c r="H194" s="65" t="str">
        <f>IFERROR(__xludf.DUMMYFUNCTION("""COMPUTED_VALUE"""),"行銷營運中心:銷售營運部:客戶導入團隊")</f>
        <v>行銷營運中心:銷售營運部:客戶導入團隊</v>
      </c>
      <c r="I194" s="41" t="str">
        <f>IFERROR(__xludf.DUMMYFUNCTION("""COMPUTED_VALUE"""),"資訊裝置")</f>
        <v>資訊裝置</v>
      </c>
      <c r="J194" s="41" t="str">
        <f>IFERROR(__xludf.DUMMYFUNCTION("""COMPUTED_VALUE"""),"AICHMA02301051")</f>
        <v>AICHMA02301051</v>
      </c>
      <c r="K194" s="41" t="str">
        <f>IFERROR(__xludf.DUMMYFUNCTION("""COMPUTED_VALUE"""),"Macbook Air")</f>
        <v>Macbook Air</v>
      </c>
      <c r="L194" s="41" t="str">
        <f>IFERROR(__xludf.DUMMYFUNCTION("""COMPUTED_VALUE"""),"FVFJRMQ21WFY")</f>
        <v>FVFJRMQ21WFY</v>
      </c>
      <c r="M194" s="41" t="str">
        <f>IFERROR(__xludf.DUMMYFUNCTION("""COMPUTED_VALUE"""),"黃品傑")</f>
        <v>黃品傑</v>
      </c>
      <c r="N194" s="65">
        <f>IFERROR(__xludf.DUMMYFUNCTION("""COMPUTED_VALUE"""),44932.0)</f>
        <v>44932</v>
      </c>
      <c r="O194" s="45">
        <f>IFERROR(__xludf.DUMMYFUNCTION("""COMPUTED_VALUE"""),27075.0)</f>
        <v>27075</v>
      </c>
      <c r="P194" s="41" t="str">
        <f>IFERROR(__xludf.DUMMYFUNCTION("""COMPUTED_VALUE"""),"資訊裝置")</f>
        <v>資訊裝置</v>
      </c>
      <c r="Q194" s="41">
        <f>IFERROR(__xludf.DUMMYFUNCTION("""COMPUTED_VALUE"""),36.0)</f>
        <v>36</v>
      </c>
      <c r="R194" s="41">
        <f>IFERROR(__xludf.DUMMYFUNCTION("""COMPUTED_VALUE"""),34.0)</f>
        <v>34</v>
      </c>
      <c r="S194" s="41" t="str">
        <f>IFERROR(__xludf.DUMMYFUNCTION("""COMPUTED_VALUE"""),"NT$25,571")</f>
        <v>NT$25,571</v>
      </c>
      <c r="T194" s="41" t="str">
        <f>IFERROR(__xludf.DUMMYFUNCTION("""COMPUTED_VALUE"""),"MBA13 (2020) M1/8GBRAM/256GBSSD")</f>
        <v>MBA13 (2020) M1/8GBRAM/256GBSSD</v>
      </c>
      <c r="U194" s="41"/>
      <c r="V194" s="41"/>
      <c r="W194" s="41"/>
      <c r="X194" s="45" t="str">
        <f>IFERROR(__xludf.DUMMYFUNCTION("""COMPUTED_VALUE"""),"")</f>
        <v/>
      </c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</row>
    <row r="195">
      <c r="B195" s="41"/>
      <c r="C195" s="41" t="str">
        <f>IFERROR(__xludf.DUMMYFUNCTION("""COMPUTED_VALUE"""),"滿三年更換")</f>
        <v>滿三年更換</v>
      </c>
      <c r="D195" s="41" t="str">
        <f>IFERROR(__xludf.DUMMYFUNCTION("""COMPUTED_VALUE"""),"TW")</f>
        <v>TW</v>
      </c>
      <c r="E195" s="41"/>
      <c r="F195" s="41"/>
      <c r="G195" s="41"/>
      <c r="H195" s="65" t="str">
        <f>IFERROR(__xludf.DUMMYFUNCTION("""COMPUTED_VALUE"""),"行銷營運中心:銷售營運部:客戶導入團隊")</f>
        <v>行銷營運中心:銷售營運部:客戶導入團隊</v>
      </c>
      <c r="I195" s="41" t="str">
        <f>IFERROR(__xludf.DUMMYFUNCTION("""COMPUTED_VALUE"""),"資訊裝置")</f>
        <v>資訊裝置</v>
      </c>
      <c r="J195" s="41" t="str">
        <f>IFERROR(__xludf.DUMMYFUNCTION("""COMPUTED_VALUE"""),"AICHIP02301085")</f>
        <v>AICHIP02301085</v>
      </c>
      <c r="K195" s="41" t="str">
        <f>IFERROR(__xludf.DUMMYFUNCTION("""COMPUTED_VALUE"""),"iPad 9")</f>
        <v>iPad 9</v>
      </c>
      <c r="L195" s="41" t="str">
        <f>IFERROR(__xludf.DUMMYFUNCTION("""COMPUTED_VALUE"""),"DJ910QD27Q")</f>
        <v>DJ910QD27Q</v>
      </c>
      <c r="M195" s="41" t="str">
        <f>IFERROR(__xludf.DUMMYFUNCTION("""COMPUTED_VALUE"""),"黃品傑")</f>
        <v>黃品傑</v>
      </c>
      <c r="N195" s="65">
        <f>IFERROR(__xludf.DUMMYFUNCTION("""COMPUTED_VALUE"""),44944.0)</f>
        <v>44944</v>
      </c>
      <c r="O195" s="45">
        <f>IFERROR(__xludf.DUMMYFUNCTION("""COMPUTED_VALUE"""),9446.0)</f>
        <v>9446</v>
      </c>
      <c r="P195" s="41" t="str">
        <f>IFERROR(__xludf.DUMMYFUNCTION("""COMPUTED_VALUE"""),"資訊裝置")</f>
        <v>資訊裝置</v>
      </c>
      <c r="Q195" s="41">
        <f>IFERROR(__xludf.DUMMYFUNCTION("""COMPUTED_VALUE"""),36.0)</f>
        <v>36</v>
      </c>
      <c r="R195" s="41">
        <f>IFERROR(__xludf.DUMMYFUNCTION("""COMPUTED_VALUE"""),33.0)</f>
        <v>33</v>
      </c>
      <c r="S195" s="41" t="str">
        <f>IFERROR(__xludf.DUMMYFUNCTION("""COMPUTED_VALUE"""),"NT$8,660")</f>
        <v>NT$8,660</v>
      </c>
      <c r="T195" s="41" t="str">
        <f>IFERROR(__xludf.DUMMYFUNCTION("""COMPUTED_VALUE"""),"iPad (第九代) Wi-Fi 64GB(MK2L3TA/A)")</f>
        <v>iPad (第九代) Wi-Fi 64GB(MK2L3TA/A)</v>
      </c>
      <c r="U195" s="41"/>
      <c r="V195" s="41"/>
      <c r="W195" s="41"/>
      <c r="X195" s="45" t="str">
        <f>IFERROR(__xludf.DUMMYFUNCTION("""COMPUTED_VALUE"""),"")</f>
        <v/>
      </c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</row>
    <row r="196">
      <c r="B196" s="41"/>
      <c r="C196" s="41" t="str">
        <f>IFERROR(__xludf.DUMMYFUNCTION("""COMPUTED_VALUE"""),"滿三年更換")</f>
        <v>滿三年更換</v>
      </c>
      <c r="D196" s="41" t="str">
        <f>IFERROR(__xludf.DUMMYFUNCTION("""COMPUTED_VALUE"""),"TW")</f>
        <v>TW</v>
      </c>
      <c r="E196" s="41"/>
      <c r="F196" s="41"/>
      <c r="G196" s="41"/>
      <c r="H196" s="65" t="str">
        <f>IFERROR(__xludf.DUMMYFUNCTION("""COMPUTED_VALUE"""),"研發中心:軟體工程部:後端團隊")</f>
        <v>研發中心:軟體工程部:後端團隊</v>
      </c>
      <c r="I196" s="41" t="str">
        <f>IFERROR(__xludf.DUMMYFUNCTION("""COMPUTED_VALUE"""),"資訊裝置")</f>
        <v>資訊裝置</v>
      </c>
      <c r="J196" s="41" t="str">
        <f>IFERROR(__xludf.DUMMYFUNCTION("""COMPUTED_VALUE"""),"AICHIP01910015")</f>
        <v>AICHIP01910015</v>
      </c>
      <c r="K196" s="41" t="str">
        <f>IFERROR(__xludf.DUMMYFUNCTION("""COMPUTED_VALUE"""),"iPad Air")</f>
        <v>iPad Air</v>
      </c>
      <c r="L196" s="41" t="str">
        <f>IFERROR(__xludf.DUMMYFUNCTION("""COMPUTED_VALUE"""),"DMPZCL7CJMVR")</f>
        <v>DMPZCL7CJMVR</v>
      </c>
      <c r="M196" s="41" t="str">
        <f>IFERROR(__xludf.DUMMYFUNCTION("""COMPUTED_VALUE"""),"黃康庭")</f>
        <v>黃康庭</v>
      </c>
      <c r="N196" s="65">
        <f>IFERROR(__xludf.DUMMYFUNCTION("""COMPUTED_VALUE"""),43769.0)</f>
        <v>43769</v>
      </c>
      <c r="O196" s="45">
        <f>IFERROR(__xludf.DUMMYFUNCTION("""COMPUTED_VALUE"""),9145.0)</f>
        <v>9145</v>
      </c>
      <c r="P196" s="41" t="str">
        <f>IFERROR(__xludf.DUMMYFUNCTION("""COMPUTED_VALUE"""),"資訊裝置")</f>
        <v>資訊裝置</v>
      </c>
      <c r="Q196" s="41">
        <f>IFERROR(__xludf.DUMMYFUNCTION("""COMPUTED_VALUE"""),36.0)</f>
        <v>36</v>
      </c>
      <c r="R196" s="41">
        <f>IFERROR(__xludf.DUMMYFUNCTION("""COMPUTED_VALUE"""),36.0)</f>
        <v>36</v>
      </c>
      <c r="S196" s="41" t="str">
        <f>IFERROR(__xludf.DUMMYFUNCTION("""COMPUTED_VALUE"""),"NT$9,145")</f>
        <v>NT$9,145</v>
      </c>
      <c r="T196" s="41" t="str">
        <f>IFERROR(__xludf.DUMMYFUNCTION("""COMPUTED_VALUE"""),"iPad (第六代) 32GB WiFi(A1893)")</f>
        <v>iPad (第六代) 32GB WiFi(A1893)</v>
      </c>
      <c r="U196" s="41"/>
      <c r="V196" s="41"/>
      <c r="W196" s="41"/>
      <c r="X196" s="45" t="str">
        <f>IFERROR(__xludf.DUMMYFUNCTION("""COMPUTED_VALUE"""),"")</f>
        <v/>
      </c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</row>
    <row r="197">
      <c r="B197" s="41"/>
      <c r="C197" s="41" t="str">
        <f>IFERROR(__xludf.DUMMYFUNCTION("""COMPUTED_VALUE"""),"滿三年更換")</f>
        <v>滿三年更換</v>
      </c>
      <c r="D197" s="41" t="str">
        <f>IFERROR(__xludf.DUMMYFUNCTION("""COMPUTED_VALUE"""),"TW")</f>
        <v>TW</v>
      </c>
      <c r="E197" s="41"/>
      <c r="F197" s="41"/>
      <c r="G197" s="41"/>
      <c r="H197" s="65" t="str">
        <f>IFERROR(__xludf.DUMMYFUNCTION("""COMPUTED_VALUE"""),"研發中心:軟體工程部:後端團隊")</f>
        <v>研發中心:軟體工程部:後端團隊</v>
      </c>
      <c r="I197" s="41" t="str">
        <f>IFERROR(__xludf.DUMMYFUNCTION("""COMPUTED_VALUE"""),"資訊裝置")</f>
        <v>資訊裝置</v>
      </c>
      <c r="J197" s="41" t="str">
        <f>IFERROR(__xludf.DUMMYFUNCTION("""COMPUTED_VALUE"""),"AICHIP02004022")</f>
        <v>AICHIP02004022</v>
      </c>
      <c r="K197" s="41" t="str">
        <f>IFERROR(__xludf.DUMMYFUNCTION("""COMPUTED_VALUE"""),"iPad")</f>
        <v>iPad</v>
      </c>
      <c r="L197" s="41" t="str">
        <f>IFERROR(__xludf.DUMMYFUNCTION("""COMPUTED_VALUE"""),"DMPZCED5JMVR")</f>
        <v>DMPZCED5JMVR</v>
      </c>
      <c r="M197" s="41" t="str">
        <f>IFERROR(__xludf.DUMMYFUNCTION("""COMPUTED_VALUE"""),"黃康庭")</f>
        <v>黃康庭</v>
      </c>
      <c r="N197" s="65">
        <f>IFERROR(__xludf.DUMMYFUNCTION("""COMPUTED_VALUE"""),43944.0)</f>
        <v>43944</v>
      </c>
      <c r="O197" s="45">
        <f>IFERROR(__xludf.DUMMYFUNCTION("""COMPUTED_VALUE"""),8754.0)</f>
        <v>8754</v>
      </c>
      <c r="P197" s="41" t="str">
        <f>IFERROR(__xludf.DUMMYFUNCTION("""COMPUTED_VALUE"""),"資訊裝置")</f>
        <v>資訊裝置</v>
      </c>
      <c r="Q197" s="41">
        <f>IFERROR(__xludf.DUMMYFUNCTION("""COMPUTED_VALUE"""),36.0)</f>
        <v>36</v>
      </c>
      <c r="R197" s="41">
        <f>IFERROR(__xludf.DUMMYFUNCTION("""COMPUTED_VALUE"""),36.0)</f>
        <v>36</v>
      </c>
      <c r="S197" s="41" t="str">
        <f>IFERROR(__xludf.DUMMYFUNCTION("""COMPUTED_VALUE"""),"NT$8,754")</f>
        <v>NT$8,754</v>
      </c>
      <c r="T197" s="41" t="str">
        <f>IFERROR(__xludf.DUMMYFUNCTION("""COMPUTED_VALUE"""),"iPad (第六代) 32GB WiFi(A1893)")</f>
        <v>iPad (第六代) 32GB WiFi(A1893)</v>
      </c>
      <c r="U197" s="41"/>
      <c r="V197" s="41"/>
      <c r="W197" s="41"/>
      <c r="X197" s="45" t="str">
        <f>IFERROR(__xludf.DUMMYFUNCTION("""COMPUTED_VALUE"""),"")</f>
        <v/>
      </c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</row>
    <row r="198">
      <c r="B198" s="41"/>
      <c r="C198" s="41" t="str">
        <f>IFERROR(__xludf.DUMMYFUNCTION("""COMPUTED_VALUE"""),"滿三年更換")</f>
        <v>滿三年更換</v>
      </c>
      <c r="D198" s="41" t="str">
        <f>IFERROR(__xludf.DUMMYFUNCTION("""COMPUTED_VALUE"""),"TW")</f>
        <v>TW</v>
      </c>
      <c r="E198" s="41"/>
      <c r="F198" s="41"/>
      <c r="G198" s="41"/>
      <c r="H198" s="65" t="str">
        <f>IFERROR(__xludf.DUMMYFUNCTION("""COMPUTED_VALUE"""),"研發中心:軟體工程部:後端團隊")</f>
        <v>研發中心:軟體工程部:後端團隊</v>
      </c>
      <c r="I198" s="41" t="str">
        <f>IFERROR(__xludf.DUMMYFUNCTION("""COMPUTED_VALUE"""),"資訊裝置")</f>
        <v>資訊裝置</v>
      </c>
      <c r="J198" s="41" t="str">
        <f>IFERROR(__xludf.DUMMYFUNCTION("""COMPUTED_VALUE"""),"AICHMN02207117")</f>
        <v>AICHMN02207117</v>
      </c>
      <c r="K198" s="41" t="str">
        <f>IFERROR(__xludf.DUMMYFUNCTION("""COMPUTED_VALUE"""),"螢幕")</f>
        <v>螢幕</v>
      </c>
      <c r="L198" s="41" t="str">
        <f>IFERROR(__xludf.DUMMYFUNCTION("""COMPUTED_VALUE"""),"N4LMTF079651")</f>
        <v>N4LMTF079651</v>
      </c>
      <c r="M198" s="41" t="str">
        <f>IFERROR(__xludf.DUMMYFUNCTION("""COMPUTED_VALUE"""),"黃康庭")</f>
        <v>黃康庭</v>
      </c>
      <c r="N198" s="65">
        <f>IFERROR(__xludf.DUMMYFUNCTION("""COMPUTED_VALUE"""),44749.0)</f>
        <v>44749</v>
      </c>
      <c r="O198" s="45">
        <f>IFERROR(__xludf.DUMMYFUNCTION("""COMPUTED_VALUE"""),9818.0)</f>
        <v>9818</v>
      </c>
      <c r="P198" s="41" t="str">
        <f>IFERROR(__xludf.DUMMYFUNCTION("""COMPUTED_VALUE"""),"資訊裝置")</f>
        <v>資訊裝置</v>
      </c>
      <c r="Q198" s="41">
        <f>IFERROR(__xludf.DUMMYFUNCTION("""COMPUTED_VALUE"""),36.0)</f>
        <v>36</v>
      </c>
      <c r="R198" s="41">
        <f>IFERROR(__xludf.DUMMYFUNCTION("""COMPUTED_VALUE"""),36.0)</f>
        <v>36</v>
      </c>
      <c r="S198" s="41" t="str">
        <f>IFERROR(__xludf.DUMMYFUNCTION("""COMPUTED_VALUE"""),"NT$9,818")</f>
        <v>NT$9,818</v>
      </c>
      <c r="T198" s="41" t="str">
        <f>IFERROR(__xludf.DUMMYFUNCTION("""COMPUTED_VALUE"""),"ASUS 28吋 VG289")</f>
        <v>ASUS 28吋 VG289</v>
      </c>
      <c r="U198" s="41"/>
      <c r="V198" s="41"/>
      <c r="W198" s="41"/>
      <c r="X198" s="45" t="str">
        <f>IFERROR(__xludf.DUMMYFUNCTION("""COMPUTED_VALUE"""),"")</f>
        <v/>
      </c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</row>
    <row r="199">
      <c r="B199" s="41"/>
      <c r="C199" s="41" t="str">
        <f>IFERROR(__xludf.DUMMYFUNCTION("""COMPUTED_VALUE"""),"滿三年更換")</f>
        <v>滿三年更換</v>
      </c>
      <c r="D199" s="41" t="str">
        <f>IFERROR(__xludf.DUMMYFUNCTION("""COMPUTED_VALUE"""),"TW")</f>
        <v>TW</v>
      </c>
      <c r="E199" s="41"/>
      <c r="F199" s="41"/>
      <c r="G199" s="41"/>
      <c r="H199" s="65" t="str">
        <f>IFERROR(__xludf.DUMMYFUNCTION("""COMPUTED_VALUE"""),"研發中心:軟體工程部:IOS團隊")</f>
        <v>研發中心:軟體工程部:IOS團隊</v>
      </c>
      <c r="I199" s="41" t="str">
        <f>IFERROR(__xludf.DUMMYFUNCTION("""COMPUTED_VALUE"""),"資訊裝置")</f>
        <v>資訊裝置</v>
      </c>
      <c r="J199" s="41" t="str">
        <f>IFERROR(__xludf.DUMMYFUNCTION("""COMPUTED_VALUE"""),"AICHIP02004023")</f>
        <v>AICHIP02004023</v>
      </c>
      <c r="K199" s="41" t="str">
        <f>IFERROR(__xludf.DUMMYFUNCTION("""COMPUTED_VALUE"""),"iPad")</f>
        <v>iPad</v>
      </c>
      <c r="L199" s="41" t="str">
        <f>IFERROR(__xludf.DUMMYFUNCTION("""COMPUTED_VALUE"""),"DMPZPKEWMF3P")</f>
        <v>DMPZPKEWMF3P</v>
      </c>
      <c r="M199" s="41" t="str">
        <f>IFERROR(__xludf.DUMMYFUNCTION("""COMPUTED_VALUE"""),"黃喬")</f>
        <v>黃喬</v>
      </c>
      <c r="N199" s="65">
        <f>IFERROR(__xludf.DUMMYFUNCTION("""COMPUTED_VALUE"""),43944.0)</f>
        <v>43944</v>
      </c>
      <c r="O199" s="45">
        <f>IFERROR(__xludf.DUMMYFUNCTION("""COMPUTED_VALUE"""),8754.0)</f>
        <v>8754</v>
      </c>
      <c r="P199" s="41" t="str">
        <f>IFERROR(__xludf.DUMMYFUNCTION("""COMPUTED_VALUE"""),"資訊裝置")</f>
        <v>資訊裝置</v>
      </c>
      <c r="Q199" s="41">
        <f>IFERROR(__xludf.DUMMYFUNCTION("""COMPUTED_VALUE"""),36.0)</f>
        <v>36</v>
      </c>
      <c r="R199" s="41">
        <f>IFERROR(__xludf.DUMMYFUNCTION("""COMPUTED_VALUE"""),36.0)</f>
        <v>36</v>
      </c>
      <c r="S199" s="41" t="str">
        <f>IFERROR(__xludf.DUMMYFUNCTION("""COMPUTED_VALUE"""),"NT$8,754")</f>
        <v>NT$8,754</v>
      </c>
      <c r="T199" s="41" t="str">
        <f>IFERROR(__xludf.DUMMYFUNCTION("""COMPUTED_VALUE"""),"iPad (第七代) 32GB WIFI(MW762TA/A)")</f>
        <v>iPad (第七代) 32GB WIFI(MW762TA/A)</v>
      </c>
      <c r="U199" s="41"/>
      <c r="V199" s="41"/>
      <c r="W199" s="41"/>
      <c r="X199" s="45" t="str">
        <f>IFERROR(__xludf.DUMMYFUNCTION("""COMPUTED_VALUE"""),"")</f>
        <v/>
      </c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</row>
    <row r="200">
      <c r="B200" s="41"/>
      <c r="C200" s="41" t="str">
        <f>IFERROR(__xludf.DUMMYFUNCTION("""COMPUTED_VALUE"""),"滿三年更換")</f>
        <v>滿三年更換</v>
      </c>
      <c r="D200" s="41" t="str">
        <f>IFERROR(__xludf.DUMMYFUNCTION("""COMPUTED_VALUE"""),"TW")</f>
        <v>TW</v>
      </c>
      <c r="E200" s="41"/>
      <c r="F200" s="41"/>
      <c r="G200" s="41"/>
      <c r="H200" s="65" t="str">
        <f>IFERROR(__xludf.DUMMYFUNCTION("""COMPUTED_VALUE"""),"研發中心:軟體工程部:IOS團隊")</f>
        <v>研發中心:軟體工程部:IOS團隊</v>
      </c>
      <c r="I200" s="41" t="str">
        <f>IFERROR(__xludf.DUMMYFUNCTION("""COMPUTED_VALUE"""),"資訊裝置")</f>
        <v>資訊裝置</v>
      </c>
      <c r="J200" s="41" t="str">
        <f>IFERROR(__xludf.DUMMYFUNCTION("""COMPUTED_VALUE"""),"AICHMN01811050")</f>
        <v>AICHMN01811050</v>
      </c>
      <c r="K200" s="41" t="str">
        <f>IFERROR(__xludf.DUMMYFUNCTION("""COMPUTED_VALUE"""),"螢幕")</f>
        <v>螢幕</v>
      </c>
      <c r="L200" s="41" t="str">
        <f>IFERROR(__xludf.DUMMYFUNCTION("""COMPUTED_VALUE"""),"CN-043D22-TV100-8CJ-02YB-A06")</f>
        <v>CN-043D22-TV100-8CJ-02YB-A06</v>
      </c>
      <c r="M200" s="41" t="str">
        <f>IFERROR(__xludf.DUMMYFUNCTION("""COMPUTED_VALUE"""),"黃喬")</f>
        <v>黃喬</v>
      </c>
      <c r="N200" s="66">
        <f>IFERROR(__xludf.DUMMYFUNCTION("""COMPUTED_VALUE"""),43389.0)</f>
        <v>43389</v>
      </c>
      <c r="O200" s="45">
        <f>IFERROR(__xludf.DUMMYFUNCTION("""COMPUTED_VALUE"""),39284.0)</f>
        <v>39284</v>
      </c>
      <c r="P200" s="41" t="str">
        <f>IFERROR(__xludf.DUMMYFUNCTION("""COMPUTED_VALUE"""),"資訊裝置")</f>
        <v>資訊裝置</v>
      </c>
      <c r="Q200" s="41">
        <f>IFERROR(__xludf.DUMMYFUNCTION("""COMPUTED_VALUE"""),36.0)</f>
        <v>36</v>
      </c>
      <c r="R200" s="41">
        <f>IFERROR(__xludf.DUMMYFUNCTION("""COMPUTED_VALUE"""),36.0)</f>
        <v>36</v>
      </c>
      <c r="S200" s="41" t="str">
        <f>IFERROR(__xludf.DUMMYFUNCTION("""COMPUTED_VALUE"""),"NT$39,284")</f>
        <v>NT$39,284</v>
      </c>
      <c r="T200" s="41" t="str">
        <f>IFERROR(__xludf.DUMMYFUNCTION("""COMPUTED_VALUE"""),"Dell 24吋 SE2416H")</f>
        <v>Dell 24吋 SE2416H</v>
      </c>
      <c r="U200" s="41"/>
      <c r="V200" s="41"/>
      <c r="W200" s="41"/>
      <c r="X200" s="45" t="str">
        <f>IFERROR(__xludf.DUMMYFUNCTION("""COMPUTED_VALUE"""),"")</f>
        <v/>
      </c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</row>
    <row r="201">
      <c r="B201" s="41"/>
      <c r="C201" s="41" t="str">
        <f>IFERROR(__xludf.DUMMYFUNCTION("""COMPUTED_VALUE"""),"滿三年更換")</f>
        <v>滿三年更換</v>
      </c>
      <c r="D201" s="41" t="str">
        <f>IFERROR(__xludf.DUMMYFUNCTION("""COMPUTED_VALUE"""),"TW")</f>
        <v>TW</v>
      </c>
      <c r="E201" s="41"/>
      <c r="F201" s="41"/>
      <c r="G201" s="41"/>
      <c r="H201" s="65" t="str">
        <f>IFERROR(__xludf.DUMMYFUNCTION("""COMPUTED_VALUE"""),"研發中心:軟體工程部:IOS團隊")</f>
        <v>研發中心:軟體工程部:IOS團隊</v>
      </c>
      <c r="I201" s="41" t="str">
        <f>IFERROR(__xludf.DUMMYFUNCTION("""COMPUTED_VALUE"""),"資訊裝置")</f>
        <v>資訊裝置</v>
      </c>
      <c r="J201" s="41" t="str">
        <f>IFERROR(__xludf.DUMMYFUNCTION("""COMPUTED_VALUE"""),"AICHMN02103098")</f>
        <v>AICHMN02103098</v>
      </c>
      <c r="K201" s="41" t="str">
        <f>IFERROR(__xludf.DUMMYFUNCTION("""COMPUTED_VALUE"""),"螢幕")</f>
        <v>螢幕</v>
      </c>
      <c r="L201" s="41" t="str">
        <f>IFERROR(__xludf.DUMMYFUNCTION("""COMPUTED_VALUE"""),"CN-0TN0V4-WSL00-0B2-BBYB-A11")</f>
        <v>CN-0TN0V4-WSL00-0B2-BBYB-A11</v>
      </c>
      <c r="M201" s="41" t="str">
        <f>IFERROR(__xludf.DUMMYFUNCTION("""COMPUTED_VALUE"""),"黃喬")</f>
        <v>黃喬</v>
      </c>
      <c r="N201" s="65">
        <f>IFERROR(__xludf.DUMMYFUNCTION("""COMPUTED_VALUE"""),44266.0)</f>
        <v>44266</v>
      </c>
      <c r="O201" s="45">
        <f>IFERROR(__xludf.DUMMYFUNCTION("""COMPUTED_VALUE"""),9374.0)</f>
        <v>9374</v>
      </c>
      <c r="P201" s="41" t="str">
        <f>IFERROR(__xludf.DUMMYFUNCTION("""COMPUTED_VALUE"""),"資訊裝置")</f>
        <v>資訊裝置</v>
      </c>
      <c r="Q201" s="41">
        <f>IFERROR(__xludf.DUMMYFUNCTION("""COMPUTED_VALUE"""),36.0)</f>
        <v>36</v>
      </c>
      <c r="R201" s="41">
        <f>IFERROR(__xludf.DUMMYFUNCTION("""COMPUTED_VALUE"""),36.0)</f>
        <v>36</v>
      </c>
      <c r="S201" s="41" t="str">
        <f>IFERROR(__xludf.DUMMYFUNCTION("""COMPUTED_VALUE"""),"NT$9,374")</f>
        <v>NT$9,374</v>
      </c>
      <c r="T201" s="41" t="str">
        <f>IFERROR(__xludf.DUMMYFUNCTION("""COMPUTED_VALUE"""),"Dell 27吋 P2719H")</f>
        <v>Dell 27吋 P2719H</v>
      </c>
      <c r="U201" s="41"/>
      <c r="V201" s="41"/>
      <c r="W201" s="41"/>
      <c r="X201" s="45" t="str">
        <f>IFERROR(__xludf.DUMMYFUNCTION("""COMPUTED_VALUE"""),"")</f>
        <v/>
      </c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</row>
    <row r="202">
      <c r="B202" s="41"/>
      <c r="C202" s="41" t="str">
        <f>IFERROR(__xludf.DUMMYFUNCTION("""COMPUTED_VALUE"""),"滿三年更換")</f>
        <v>滿三年更換</v>
      </c>
      <c r="D202" s="41" t="str">
        <f>IFERROR(__xludf.DUMMYFUNCTION("""COMPUTED_VALUE"""),"TW")</f>
        <v>TW</v>
      </c>
      <c r="E202" s="41"/>
      <c r="F202" s="41"/>
      <c r="G202" s="41"/>
      <c r="H202" s="65" t="str">
        <f>IFERROR(__xludf.DUMMYFUNCTION("""COMPUTED_VALUE"""),"行銷營運中心:社群關係部:餐廳社群團隊")</f>
        <v>行銷營運中心:社群關係部:餐廳社群團隊</v>
      </c>
      <c r="I202" s="41" t="str">
        <f>IFERROR(__xludf.DUMMYFUNCTION("""COMPUTED_VALUE"""),"資訊裝置")</f>
        <v>資訊裝置</v>
      </c>
      <c r="J202" s="41" t="str">
        <f>IFERROR(__xludf.DUMMYFUNCTION("""COMPUTED_VALUE"""),"AICHMP02108038")</f>
        <v>AICHMP02108038</v>
      </c>
      <c r="K202" s="41" t="str">
        <f>IFERROR(__xludf.DUMMYFUNCTION("""COMPUTED_VALUE"""),"Macbook Pro")</f>
        <v>Macbook Pro</v>
      </c>
      <c r="L202" s="41" t="str">
        <f>IFERROR(__xludf.DUMMYFUNCTION("""COMPUTED_VALUE"""),"C02G61DQ05N")</f>
        <v>C02G61DQ05N</v>
      </c>
      <c r="M202" s="41" t="str">
        <f>IFERROR(__xludf.DUMMYFUNCTION("""COMPUTED_VALUE"""),"黃晴之")</f>
        <v>黃晴之</v>
      </c>
      <c r="N202" s="65">
        <f>IFERROR(__xludf.DUMMYFUNCTION("""COMPUTED_VALUE"""),44418.0)</f>
        <v>44418</v>
      </c>
      <c r="O202" s="45">
        <f>IFERROR(__xludf.DUMMYFUNCTION("""COMPUTED_VALUE"""),40300.0)</f>
        <v>40300</v>
      </c>
      <c r="P202" s="41" t="str">
        <f>IFERROR(__xludf.DUMMYFUNCTION("""COMPUTED_VALUE"""),"資訊裝置")</f>
        <v>資訊裝置</v>
      </c>
      <c r="Q202" s="41">
        <f>IFERROR(__xludf.DUMMYFUNCTION("""COMPUTED_VALUE"""),36.0)</f>
        <v>36</v>
      </c>
      <c r="R202" s="41">
        <f>IFERROR(__xludf.DUMMYFUNCTION("""COMPUTED_VALUE"""),36.0)</f>
        <v>36</v>
      </c>
      <c r="S202" s="41" t="str">
        <f>IFERROR(__xludf.DUMMYFUNCTION("""COMPUTED_VALUE"""),"NT$40,300")</f>
        <v>NT$40,300</v>
      </c>
      <c r="T202" s="41" t="str">
        <f>IFERROR(__xludf.DUMMYFUNCTION("""COMPUTED_VALUE"""),"MBP13 (2020) M1/16GBRAM/256GBSSD")</f>
        <v>MBP13 (2020) M1/16GBRAM/256GBSSD</v>
      </c>
      <c r="U202" s="41"/>
      <c r="V202" s="41"/>
      <c r="W202" s="41"/>
      <c r="X202" s="45" t="str">
        <f>IFERROR(__xludf.DUMMYFUNCTION("""COMPUTED_VALUE"""),"")</f>
        <v/>
      </c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</row>
    <row r="203">
      <c r="B203" s="41"/>
      <c r="C203" s="41" t="str">
        <f>IFERROR(__xludf.DUMMYFUNCTION("""COMPUTED_VALUE"""),"滿三年更換")</f>
        <v>滿三年更換</v>
      </c>
      <c r="D203" s="41" t="str">
        <f>IFERROR(__xludf.DUMMYFUNCTION("""COMPUTED_VALUE"""),"TW")</f>
        <v>TW</v>
      </c>
      <c r="E203" s="41"/>
      <c r="F203" s="41"/>
      <c r="G203" s="41"/>
      <c r="H203" s="65" t="str">
        <f>IFERROR(__xludf.DUMMYFUNCTION("""COMPUTED_VALUE"""),"行銷營運中心:社群關係部:餐廳社群團隊")</f>
        <v>行銷營運中心:社群關係部:餐廳社群團隊</v>
      </c>
      <c r="I203" s="41" t="str">
        <f>IFERROR(__xludf.DUMMYFUNCTION("""COMPUTED_VALUE"""),"資訊裝置")</f>
        <v>資訊裝置</v>
      </c>
      <c r="J203" s="41" t="str">
        <f>IFERROR(__xludf.DUMMYFUNCTION("""COMPUTED_VALUE"""),"AICHIP01904013")</f>
        <v>AICHIP01904013</v>
      </c>
      <c r="K203" s="41" t="str">
        <f>IFERROR(__xludf.DUMMYFUNCTION("""COMPUTED_VALUE"""),"iPad 6")</f>
        <v>iPad 6</v>
      </c>
      <c r="L203" s="41" t="str">
        <f>IFERROR(__xludf.DUMMYFUNCTION("""COMPUTED_VALUE"""),"DMPXW4FTJMVR")</f>
        <v>DMPXW4FTJMVR</v>
      </c>
      <c r="M203" s="41" t="str">
        <f>IFERROR(__xludf.DUMMYFUNCTION("""COMPUTED_VALUE"""),"黃晴之")</f>
        <v>黃晴之</v>
      </c>
      <c r="N203" s="65">
        <f>IFERROR(__xludf.DUMMYFUNCTION("""COMPUTED_VALUE"""),43555.0)</f>
        <v>43555</v>
      </c>
      <c r="O203" s="45">
        <f>IFERROR(__xludf.DUMMYFUNCTION("""COMPUTED_VALUE"""),9529.0)</f>
        <v>9529</v>
      </c>
      <c r="P203" s="41" t="str">
        <f>IFERROR(__xludf.DUMMYFUNCTION("""COMPUTED_VALUE"""),"資訊裝置")</f>
        <v>資訊裝置</v>
      </c>
      <c r="Q203" s="41">
        <f>IFERROR(__xludf.DUMMYFUNCTION("""COMPUTED_VALUE"""),36.0)</f>
        <v>36</v>
      </c>
      <c r="R203" s="41">
        <f>IFERROR(__xludf.DUMMYFUNCTION("""COMPUTED_VALUE"""),36.0)</f>
        <v>36</v>
      </c>
      <c r="S203" s="41" t="str">
        <f>IFERROR(__xludf.DUMMYFUNCTION("""COMPUTED_VALUE"""),"NT$9,529")</f>
        <v>NT$9,529</v>
      </c>
      <c r="T203" s="41" t="str">
        <f>IFERROR(__xludf.DUMMYFUNCTION("""COMPUTED_VALUE"""),"iPad (第六代) Wi-Fi 32GB(MRJN2TA/A)")</f>
        <v>iPad (第六代) Wi-Fi 32GB(MRJN2TA/A)</v>
      </c>
      <c r="U203" s="41"/>
      <c r="V203" s="41"/>
      <c r="W203" s="41"/>
      <c r="X203" s="45" t="str">
        <f>IFERROR(__xludf.DUMMYFUNCTION("""COMPUTED_VALUE"""),"")</f>
        <v/>
      </c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</row>
    <row r="204">
      <c r="B204" s="41"/>
      <c r="C204" s="41" t="str">
        <f>IFERROR(__xludf.DUMMYFUNCTION("""COMPUTED_VALUE"""),"滿三年更換")</f>
        <v>滿三年更換</v>
      </c>
      <c r="D204" s="41" t="str">
        <f>IFERROR(__xludf.DUMMYFUNCTION("""COMPUTED_VALUE"""),"TW")</f>
        <v>TW</v>
      </c>
      <c r="E204" s="41"/>
      <c r="F204" s="41"/>
      <c r="G204" s="41"/>
      <c r="H204" s="65" t="str">
        <f>IFERROR(__xludf.DUMMYFUNCTION("""COMPUTED_VALUE"""),"行銷營運中心:社群關係部:餐廳社群團隊")</f>
        <v>行銷營運中心:社群關係部:餐廳社群團隊</v>
      </c>
      <c r="I204" s="41" t="str">
        <f>IFERROR(__xludf.DUMMYFUNCTION("""COMPUTED_VALUE"""),"資訊裝置")</f>
        <v>資訊裝置</v>
      </c>
      <c r="J204" s="41" t="str">
        <f>IFERROR(__xludf.DUMMYFUNCTION("""COMPUTED_VALUE"""),"AICHMN02201110")</f>
        <v>AICHMN02201110</v>
      </c>
      <c r="K204" s="41" t="str">
        <f>IFERROR(__xludf.DUMMYFUNCTION("""COMPUTED_VALUE"""),"螢幕")</f>
        <v>螢幕</v>
      </c>
      <c r="L204" s="41" t="str">
        <f>IFERROR(__xludf.DUMMYFUNCTION("""COMPUTED_VALUE"""),"CN-0RCKX9-TV200-1AS-02NV-A01")</f>
        <v>CN-0RCKX9-TV200-1AS-02NV-A01</v>
      </c>
      <c r="M204" s="41" t="str">
        <f>IFERROR(__xludf.DUMMYFUNCTION("""COMPUTED_VALUE"""),"黃晴之")</f>
        <v>黃晴之</v>
      </c>
      <c r="N204" s="65">
        <f>IFERROR(__xludf.DUMMYFUNCTION("""COMPUTED_VALUE"""),44585.0)</f>
        <v>44585</v>
      </c>
      <c r="O204" s="45">
        <f>IFERROR(__xludf.DUMMYFUNCTION("""COMPUTED_VALUE"""),4370.0)</f>
        <v>4370</v>
      </c>
      <c r="P204" s="41" t="str">
        <f>IFERROR(__xludf.DUMMYFUNCTION("""COMPUTED_VALUE"""),"資訊裝置")</f>
        <v>資訊裝置</v>
      </c>
      <c r="Q204" s="41">
        <f>IFERROR(__xludf.DUMMYFUNCTION("""COMPUTED_VALUE"""),36.0)</f>
        <v>36</v>
      </c>
      <c r="R204" s="41">
        <f>IFERROR(__xludf.DUMMYFUNCTION("""COMPUTED_VALUE"""),36.0)</f>
        <v>36</v>
      </c>
      <c r="S204" s="41" t="str">
        <f>IFERROR(__xludf.DUMMYFUNCTION("""COMPUTED_VALUE"""),"NT$4,370")</f>
        <v>NT$4,370</v>
      </c>
      <c r="T204" s="41" t="str">
        <f>IFERROR(__xludf.DUMMYFUNCTION("""COMPUTED_VALUE"""),"Dell 27吋 SE2722H")</f>
        <v>Dell 27吋 SE2722H</v>
      </c>
      <c r="U204" s="41"/>
      <c r="V204" s="41"/>
      <c r="W204" s="41"/>
      <c r="X204" s="45" t="str">
        <f>IFERROR(__xludf.DUMMYFUNCTION("""COMPUTED_VALUE"""),"")</f>
        <v/>
      </c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</row>
    <row r="205">
      <c r="B205" s="41"/>
      <c r="C205" s="41" t="str">
        <f>IFERROR(__xludf.DUMMYFUNCTION("""COMPUTED_VALUE"""),"滿三年更換")</f>
        <v>滿三年更換</v>
      </c>
      <c r="D205" s="41" t="str">
        <f>IFERROR(__xludf.DUMMYFUNCTION("""COMPUTED_VALUE"""),"TW")</f>
        <v>TW</v>
      </c>
      <c r="E205" s="41"/>
      <c r="F205" s="41"/>
      <c r="G205" s="41"/>
      <c r="H205" s="65" t="str">
        <f>IFERROR(__xludf.DUMMYFUNCTION("""COMPUTED_VALUE"""),"研發中心:軟體工程部:前端團隊")</f>
        <v>研發中心:軟體工程部:前端團隊</v>
      </c>
      <c r="I205" s="41" t="str">
        <f>IFERROR(__xludf.DUMMYFUNCTION("""COMPUTED_VALUE"""),"資訊裝置")</f>
        <v>資訊裝置</v>
      </c>
      <c r="J205" s="41" t="str">
        <f>IFERROR(__xludf.DUMMYFUNCTION("""COMPUTED_VALUE"""),"AICHMP02212053")</f>
        <v>AICHMP02212053</v>
      </c>
      <c r="K205" s="41" t="str">
        <f>IFERROR(__xludf.DUMMYFUNCTION("""COMPUTED_VALUE"""),"Macbook Pro")</f>
        <v>Macbook Pro</v>
      </c>
      <c r="L205" s="41" t="str">
        <f>IFERROR(__xludf.DUMMYFUNCTION("""COMPUTED_VALUE"""),"WKHKXWN72M")</f>
        <v>WKHKXWN72M</v>
      </c>
      <c r="M205" s="41" t="str">
        <f>IFERROR(__xludf.DUMMYFUNCTION("""COMPUTED_VALUE"""),"黃駿朋")</f>
        <v>黃駿朋</v>
      </c>
      <c r="N205" s="65">
        <f>IFERROR(__xludf.DUMMYFUNCTION("""COMPUTED_VALUE"""),44915.0)</f>
        <v>44915</v>
      </c>
      <c r="O205" s="45">
        <f>IFERROR(__xludf.DUMMYFUNCTION("""COMPUTED_VALUE"""),76550.0)</f>
        <v>76550</v>
      </c>
      <c r="P205" s="41" t="str">
        <f>IFERROR(__xludf.DUMMYFUNCTION("""COMPUTED_VALUE"""),"資訊裝置")</f>
        <v>資訊裝置</v>
      </c>
      <c r="Q205" s="41">
        <f>IFERROR(__xludf.DUMMYFUNCTION("""COMPUTED_VALUE"""),36.0)</f>
        <v>36</v>
      </c>
      <c r="R205" s="41">
        <f>IFERROR(__xludf.DUMMYFUNCTION("""COMPUTED_VALUE"""),34.0)</f>
        <v>34</v>
      </c>
      <c r="S205" s="41" t="str">
        <f>IFERROR(__xludf.DUMMYFUNCTION("""COMPUTED_VALUE"""),"NT$72,298")</f>
        <v>NT$72,298</v>
      </c>
      <c r="T205" s="41" t="str">
        <f>IFERROR(__xludf.DUMMYFUNCTION("""COMPUTED_VALUE"""),"A2485 MBP16 (2021) M1Pro/32GBRAM/512GBSSD")</f>
        <v>A2485 MBP16 (2021) M1Pro/32GBRAM/512GBSSD</v>
      </c>
      <c r="U205" s="41"/>
      <c r="V205" s="41"/>
      <c r="W205" s="41"/>
      <c r="X205" s="45" t="str">
        <f>IFERROR(__xludf.DUMMYFUNCTION("""COMPUTED_VALUE"""),"")</f>
        <v/>
      </c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</row>
    <row r="206">
      <c r="B206" s="41"/>
      <c r="C206" s="41" t="str">
        <f>IFERROR(__xludf.DUMMYFUNCTION("""COMPUTED_VALUE"""),"滿三年更換")</f>
        <v>滿三年更換</v>
      </c>
      <c r="D206" s="41" t="str">
        <f>IFERROR(__xludf.DUMMYFUNCTION("""COMPUTED_VALUE"""),"TW")</f>
        <v>TW</v>
      </c>
      <c r="E206" s="41"/>
      <c r="F206" s="41"/>
      <c r="G206" s="41"/>
      <c r="H206" s="65" t="str">
        <f>IFERROR(__xludf.DUMMYFUNCTION("""COMPUTED_VALUE"""),"研發中心:軟體工程部:前端團隊")</f>
        <v>研發中心:軟體工程部:前端團隊</v>
      </c>
      <c r="I206" s="41" t="str">
        <f>IFERROR(__xludf.DUMMYFUNCTION("""COMPUTED_VALUE"""),"資訊裝置")</f>
        <v>資訊裝置</v>
      </c>
      <c r="J206" s="41" t="str">
        <f>IFERROR(__xludf.DUMMYFUNCTION("""COMPUTED_VALUE"""),"AICHMN01910062")</f>
        <v>AICHMN01910062</v>
      </c>
      <c r="K206" s="41" t="str">
        <f>IFERROR(__xludf.DUMMYFUNCTION("""COMPUTED_VALUE"""),"螢幕")</f>
        <v>螢幕</v>
      </c>
      <c r="L206" s="41" t="str">
        <f>IFERROR(__xludf.DUMMYFUNCTION("""COMPUTED_VALUE"""),"CN-07N2FG-TV100-95R-05JB-A10")</f>
        <v>CN-07N2FG-TV100-95R-05JB-A10</v>
      </c>
      <c r="M206" s="41" t="str">
        <f>IFERROR(__xludf.DUMMYFUNCTION("""COMPUTED_VALUE"""),"黃駿朋")</f>
        <v>黃駿朋</v>
      </c>
      <c r="N206" s="66">
        <f>IFERROR(__xludf.DUMMYFUNCTION("""COMPUTED_VALUE"""),43769.0)</f>
        <v>43769</v>
      </c>
      <c r="O206" s="45">
        <f>IFERROR(__xludf.DUMMYFUNCTION("""COMPUTED_VALUE"""),3607.0)</f>
        <v>3607</v>
      </c>
      <c r="P206" s="41" t="str">
        <f>IFERROR(__xludf.DUMMYFUNCTION("""COMPUTED_VALUE"""),"資訊裝置")</f>
        <v>資訊裝置</v>
      </c>
      <c r="Q206" s="41">
        <f>IFERROR(__xludf.DUMMYFUNCTION("""COMPUTED_VALUE"""),36.0)</f>
        <v>36</v>
      </c>
      <c r="R206" s="41">
        <f>IFERROR(__xludf.DUMMYFUNCTION("""COMPUTED_VALUE"""),36.0)</f>
        <v>36</v>
      </c>
      <c r="S206" s="41" t="str">
        <f>IFERROR(__xludf.DUMMYFUNCTION("""COMPUTED_VALUE"""),"NT$3,607")</f>
        <v>NT$3,607</v>
      </c>
      <c r="T206" s="41" t="str">
        <f>IFERROR(__xludf.DUMMYFUNCTION("""COMPUTED_VALUE"""),"Dell 24吋 U2412Mc")</f>
        <v>Dell 24吋 U2412Mc</v>
      </c>
      <c r="U206" s="41"/>
      <c r="V206" s="41"/>
      <c r="W206" s="41"/>
      <c r="X206" s="45" t="str">
        <f>IFERROR(__xludf.DUMMYFUNCTION("""COMPUTED_VALUE"""),"")</f>
        <v/>
      </c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</row>
    <row r="207">
      <c r="B207" s="41"/>
      <c r="C207" s="41" t="str">
        <f>IFERROR(__xludf.DUMMYFUNCTION("""COMPUTED_VALUE"""),"滿三年更換")</f>
        <v>滿三年更換</v>
      </c>
      <c r="D207" s="41" t="str">
        <f>IFERROR(__xludf.DUMMYFUNCTION("""COMPUTED_VALUE"""),"TW")</f>
        <v>TW</v>
      </c>
      <c r="E207" s="41"/>
      <c r="F207" s="41"/>
      <c r="G207" s="41"/>
      <c r="H207" s="65" t="str">
        <f>IFERROR(__xludf.DUMMYFUNCTION("""COMPUTED_VALUE"""),"研發中心:軟體工程部:前端團隊")</f>
        <v>研發中心:軟體工程部:前端團隊</v>
      </c>
      <c r="I207" s="41" t="str">
        <f>IFERROR(__xludf.DUMMYFUNCTION("""COMPUTED_VALUE"""),"資訊裝置")</f>
        <v>資訊裝置</v>
      </c>
      <c r="J207" s="41" t="str">
        <f>IFERROR(__xludf.DUMMYFUNCTION("""COMPUTED_VALUE"""),"AICHMN02211120")</f>
        <v>AICHMN02211120</v>
      </c>
      <c r="K207" s="41" t="str">
        <f>IFERROR(__xludf.DUMMYFUNCTION("""COMPUTED_VALUE"""),"螢幕")</f>
        <v>螢幕</v>
      </c>
      <c r="L207" s="41" t="str">
        <f>IFERROR(__xludf.DUMMYFUNCTION("""COMPUTED_VALUE"""),"206NTDV57546")</f>
        <v>206NTDV57546</v>
      </c>
      <c r="M207" s="41" t="str">
        <f>IFERROR(__xludf.DUMMYFUNCTION("""COMPUTED_VALUE"""),"黃駿朋")</f>
        <v>黃駿朋</v>
      </c>
      <c r="N207" s="65">
        <f>IFERROR(__xludf.DUMMYFUNCTION("""COMPUTED_VALUE"""),44893.0)</f>
        <v>44893</v>
      </c>
      <c r="O207" s="45">
        <f>IFERROR(__xludf.DUMMYFUNCTION("""COMPUTED_VALUE"""),9817.0)</f>
        <v>9817</v>
      </c>
      <c r="P207" s="41" t="str">
        <f>IFERROR(__xludf.DUMMYFUNCTION("""COMPUTED_VALUE"""),"資訊裝置")</f>
        <v>資訊裝置</v>
      </c>
      <c r="Q207" s="41">
        <f>IFERROR(__xludf.DUMMYFUNCTION("""COMPUTED_VALUE"""),36.0)</f>
        <v>36</v>
      </c>
      <c r="R207" s="41">
        <f>IFERROR(__xludf.DUMMYFUNCTION("""COMPUTED_VALUE"""),35.0)</f>
        <v>35</v>
      </c>
      <c r="S207" s="41" t="str">
        <f>IFERROR(__xludf.DUMMYFUNCTION("""COMPUTED_VALUE"""),"NT$9,544")</f>
        <v>NT$9,544</v>
      </c>
      <c r="T207" s="41" t="str">
        <f>IFERROR(__xludf.DUMMYFUNCTION("""COMPUTED_VALUE"""),"LG  27吋 27UL550")</f>
        <v>LG  27吋 27UL550</v>
      </c>
      <c r="U207" s="41"/>
      <c r="V207" s="41"/>
      <c r="W207" s="41"/>
      <c r="X207" s="45" t="str">
        <f>IFERROR(__xludf.DUMMYFUNCTION("""COMPUTED_VALUE"""),"")</f>
        <v/>
      </c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</row>
    <row r="208">
      <c r="B208" s="41"/>
      <c r="C208" s="41" t="str">
        <f>IFERROR(__xludf.DUMMYFUNCTION("""COMPUTED_VALUE"""),"滿三年更換")</f>
        <v>滿三年更換</v>
      </c>
      <c r="D208" s="41" t="str">
        <f>IFERROR(__xludf.DUMMYFUNCTION("""COMPUTED_VALUE"""),"TW")</f>
        <v>TW</v>
      </c>
      <c r="E208" s="41"/>
      <c r="F208" s="41"/>
      <c r="G208" s="41"/>
      <c r="H208" s="41" t="str">
        <f>IFERROR(__xludf.DUMMYFUNCTION("""COMPUTED_VALUE"""),"財務中心:財務中心")</f>
        <v>財務中心:財務中心</v>
      </c>
      <c r="I208" s="41" t="str">
        <f>IFERROR(__xludf.DUMMYFUNCTION("""COMPUTED_VALUE"""),"資訊裝置")</f>
        <v>資訊裝置</v>
      </c>
      <c r="J208" s="41" t="str">
        <f>IFERROR(__xludf.DUMMYFUNCTION("""COMPUTED_VALUE"""),"AICHMN01604014")</f>
        <v>AICHMN01604014</v>
      </c>
      <c r="K208" s="41" t="str">
        <f>IFERROR(__xludf.DUMMYFUNCTION("""COMPUTED_VALUE"""),"螢幕")</f>
        <v>螢幕</v>
      </c>
      <c r="L208" s="41" t="str">
        <f>IFERROR(__xludf.DUMMYFUNCTION("""COMPUTED_VALUE"""),"CN-0MTYGK-64180-524-05QL")</f>
        <v>CN-0MTYGK-64180-524-05QL</v>
      </c>
      <c r="M208" s="41" t="str">
        <f>IFERROR(__xludf.DUMMYFUNCTION("""COMPUTED_VALUE"""),"黃馨慧")</f>
        <v>黃馨慧</v>
      </c>
      <c r="N208" s="65">
        <f>IFERROR(__xludf.DUMMYFUNCTION("""COMPUTED_VALUE"""),42468.0)</f>
        <v>42468</v>
      </c>
      <c r="O208" s="41"/>
      <c r="P208" s="41" t="str">
        <f>IFERROR(__xludf.DUMMYFUNCTION("""COMPUTED_VALUE"""),"資訊裝置")</f>
        <v>資訊裝置</v>
      </c>
      <c r="Q208" s="41">
        <f>IFERROR(__xludf.DUMMYFUNCTION("""COMPUTED_VALUE"""),36.0)</f>
        <v>36</v>
      </c>
      <c r="R208" s="41">
        <f>IFERROR(__xludf.DUMMYFUNCTION("""COMPUTED_VALUE"""),36.0)</f>
        <v>36</v>
      </c>
      <c r="S208" s="41" t="str">
        <f>IFERROR(__xludf.DUMMYFUNCTION("""COMPUTED_VALUE"""),"NT$0")</f>
        <v>NT$0</v>
      </c>
      <c r="T208" s="41" t="str">
        <f>IFERROR(__xludf.DUMMYFUNCTION("""COMPUTED_VALUE"""),"Dell 24吋 U2412Mc")</f>
        <v>Dell 24吋 U2412Mc</v>
      </c>
      <c r="U208" s="41"/>
      <c r="V208" s="41"/>
      <c r="W208" s="41"/>
      <c r="X208" s="45" t="str">
        <f>IFERROR(__xludf.DUMMYFUNCTION("""COMPUTED_VALUE"""),"")</f>
        <v/>
      </c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</row>
    <row r="209">
      <c r="B209" s="41"/>
      <c r="C209" s="41" t="str">
        <f>IFERROR(__xludf.DUMMYFUNCTION("""COMPUTED_VALUE"""),"滿三年更換")</f>
        <v>滿三年更換</v>
      </c>
      <c r="D209" s="41" t="str">
        <f>IFERROR(__xludf.DUMMYFUNCTION("""COMPUTED_VALUE"""),"TW")</f>
        <v>TW</v>
      </c>
      <c r="E209" s="41"/>
      <c r="F209" s="41"/>
      <c r="G209" s="41"/>
      <c r="H209" s="65" t="str">
        <f>IFERROR(__xludf.DUMMYFUNCTION("""COMPUTED_VALUE"""),"行銷營運中心:產品行銷部:產品品牌團隊")</f>
        <v>行銷營運中心:產品行銷部:產品品牌團隊</v>
      </c>
      <c r="I209" s="41" t="str">
        <f>IFERROR(__xludf.DUMMYFUNCTION("""COMPUTED_VALUE"""),"資訊裝置")</f>
        <v>資訊裝置</v>
      </c>
      <c r="J209" s="41" t="str">
        <f>IFERROR(__xludf.DUMMYFUNCTION("""COMPUTED_VALUE"""),"AICHMN01611038")</f>
        <v>AICHMN01611038</v>
      </c>
      <c r="K209" s="41" t="str">
        <f>IFERROR(__xludf.DUMMYFUNCTION("""COMPUTED_VALUE"""),"螢幕")</f>
        <v>螢幕</v>
      </c>
      <c r="L209" s="41" t="str">
        <f>IFERROR(__xludf.DUMMYFUNCTION("""COMPUTED_VALUE"""),"CN-043D22-TV100-88K-0T1B-A04")</f>
        <v>CN-043D22-TV100-88K-0T1B-A04</v>
      </c>
      <c r="M209" s="41" t="str">
        <f>IFERROR(__xludf.DUMMYFUNCTION("""COMPUTED_VALUE"""),"楊為方")</f>
        <v>楊為方</v>
      </c>
      <c r="N209" s="66">
        <f>IFERROR(__xludf.DUMMYFUNCTION("""COMPUTED_VALUE"""),42685.0)</f>
        <v>42685</v>
      </c>
      <c r="O209" s="41"/>
      <c r="P209" s="41" t="str">
        <f>IFERROR(__xludf.DUMMYFUNCTION("""COMPUTED_VALUE"""),"資訊裝置")</f>
        <v>資訊裝置</v>
      </c>
      <c r="Q209" s="41">
        <f>IFERROR(__xludf.DUMMYFUNCTION("""COMPUTED_VALUE"""),36.0)</f>
        <v>36</v>
      </c>
      <c r="R209" s="41">
        <f>IFERROR(__xludf.DUMMYFUNCTION("""COMPUTED_VALUE"""),36.0)</f>
        <v>36</v>
      </c>
      <c r="S209" s="41" t="str">
        <f>IFERROR(__xludf.DUMMYFUNCTION("""COMPUTED_VALUE"""),"NT$0")</f>
        <v>NT$0</v>
      </c>
      <c r="T209" s="41" t="str">
        <f>IFERROR(__xludf.DUMMYFUNCTION("""COMPUTED_VALUE"""),"Dell 24吋 SE2416H")</f>
        <v>Dell 24吋 SE2416H</v>
      </c>
      <c r="U209" s="41"/>
      <c r="V209" s="41"/>
      <c r="W209" s="41"/>
      <c r="X209" s="45" t="str">
        <f>IFERROR(__xludf.DUMMYFUNCTION("""COMPUTED_VALUE"""),"")</f>
        <v/>
      </c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</row>
    <row r="210">
      <c r="B210" s="41"/>
      <c r="C210" s="41" t="str">
        <f>IFERROR(__xludf.DUMMYFUNCTION("""COMPUTED_VALUE"""),"滿三年更換")</f>
        <v>滿三年更換</v>
      </c>
      <c r="D210" s="41" t="str">
        <f>IFERROR(__xludf.DUMMYFUNCTION("""COMPUTED_VALUE"""),"TW")</f>
        <v>TW</v>
      </c>
      <c r="E210" s="41"/>
      <c r="F210" s="41"/>
      <c r="G210" s="41"/>
      <c r="H210" s="65" t="str">
        <f>IFERROR(__xludf.DUMMYFUNCTION("""COMPUTED_VALUE"""),"客戶價值中心:客戶成功管理部:客戶成功團隊")</f>
        <v>客戶價值中心:客戶成功管理部:客戶成功團隊</v>
      </c>
      <c r="I210" s="41" t="str">
        <f>IFERROR(__xludf.DUMMYFUNCTION("""COMPUTED_VALUE"""),"資訊裝置")</f>
        <v>資訊裝置</v>
      </c>
      <c r="J210" s="41" t="str">
        <f>IFERROR(__xludf.DUMMYFUNCTION("""COMPUTED_VALUE"""),"AICHMA02107031")</f>
        <v>AICHMA02107031</v>
      </c>
      <c r="K210" s="41" t="str">
        <f>IFERROR(__xludf.DUMMYFUNCTION("""COMPUTED_VALUE"""),"Macbook Air")</f>
        <v>Macbook Air</v>
      </c>
      <c r="L210" s="41" t="str">
        <f>IFERROR(__xludf.DUMMYFUNCTION("""COMPUTED_VALUE"""),"FVFFV12SQ6L7")</f>
        <v>FVFFV12SQ6L7</v>
      </c>
      <c r="M210" s="41" t="str">
        <f>IFERROR(__xludf.DUMMYFUNCTION("""COMPUTED_VALUE"""),"楊麗涵")</f>
        <v>楊麗涵</v>
      </c>
      <c r="N210" s="65">
        <f>IFERROR(__xludf.DUMMYFUNCTION("""COMPUTED_VALUE"""),44397.0)</f>
        <v>44397</v>
      </c>
      <c r="O210" s="45">
        <f>IFERROR(__xludf.DUMMYFUNCTION("""COMPUTED_VALUE"""),27075.0)</f>
        <v>27075</v>
      </c>
      <c r="P210" s="41" t="str">
        <f>IFERROR(__xludf.DUMMYFUNCTION("""COMPUTED_VALUE"""),"資訊裝置")</f>
        <v>資訊裝置</v>
      </c>
      <c r="Q210" s="41">
        <f>IFERROR(__xludf.DUMMYFUNCTION("""COMPUTED_VALUE"""),36.0)</f>
        <v>36</v>
      </c>
      <c r="R210" s="41">
        <f>IFERROR(__xludf.DUMMYFUNCTION("""COMPUTED_VALUE"""),36.0)</f>
        <v>36</v>
      </c>
      <c r="S210" s="41" t="str">
        <f>IFERROR(__xludf.DUMMYFUNCTION("""COMPUTED_VALUE"""),"NT$27,075")</f>
        <v>NT$27,075</v>
      </c>
      <c r="T210" s="41" t="str">
        <f>IFERROR(__xludf.DUMMYFUNCTION("""COMPUTED_VALUE"""),"MBA13 (2020) M1/8GBRAM/256GBSSD")</f>
        <v>MBA13 (2020) M1/8GBRAM/256GBSSD</v>
      </c>
      <c r="U210" s="41"/>
      <c r="V210" s="41"/>
      <c r="W210" s="41"/>
      <c r="X210" s="45" t="str">
        <f>IFERROR(__xludf.DUMMYFUNCTION("""COMPUTED_VALUE"""),"")</f>
        <v/>
      </c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</row>
    <row r="211">
      <c r="B211" s="41"/>
      <c r="C211" s="41" t="str">
        <f>IFERROR(__xludf.DUMMYFUNCTION("""COMPUTED_VALUE"""),"滿三年更換")</f>
        <v>滿三年更換</v>
      </c>
      <c r="D211" s="41" t="str">
        <f>IFERROR(__xludf.DUMMYFUNCTION("""COMPUTED_VALUE"""),"TW")</f>
        <v>TW</v>
      </c>
      <c r="E211" s="41"/>
      <c r="F211" s="41"/>
      <c r="G211" s="41"/>
      <c r="H211" s="65" t="str">
        <f>IFERROR(__xludf.DUMMYFUNCTION("""COMPUTED_VALUE"""),"客戶價值中心:客戶成功管理部:客戶成功團隊")</f>
        <v>客戶價值中心:客戶成功管理部:客戶成功團隊</v>
      </c>
      <c r="I211" s="41" t="str">
        <f>IFERROR(__xludf.DUMMYFUNCTION("""COMPUTED_VALUE"""),"資訊裝置")</f>
        <v>資訊裝置</v>
      </c>
      <c r="J211" s="41" t="str">
        <f>IFERROR(__xludf.DUMMYFUNCTION("""COMPUTED_VALUE"""),"AICHIP02107072")</f>
        <v>AICHIP02107072</v>
      </c>
      <c r="K211" s="41" t="str">
        <f>IFERROR(__xludf.DUMMYFUNCTION("""COMPUTED_VALUE"""),"iPad")</f>
        <v>iPad</v>
      </c>
      <c r="L211" s="41" t="str">
        <f>IFERROR(__xludf.DUMMYFUNCTION("""COMPUTED_VALUE"""),"FFFVEP3Q1GF")</f>
        <v>FFFVEP3Q1GF</v>
      </c>
      <c r="M211" s="41" t="str">
        <f>IFERROR(__xludf.DUMMYFUNCTION("""COMPUTED_VALUE"""),"楊麗涵")</f>
        <v>楊麗涵</v>
      </c>
      <c r="N211" s="65">
        <f>IFERROR(__xludf.DUMMYFUNCTION("""COMPUTED_VALUE"""),44400.0)</f>
        <v>44400</v>
      </c>
      <c r="O211" s="45">
        <f>IFERROR(__xludf.DUMMYFUNCTION("""COMPUTED_VALUE"""),9450.0)</f>
        <v>9450</v>
      </c>
      <c r="P211" s="41" t="str">
        <f>IFERROR(__xludf.DUMMYFUNCTION("""COMPUTED_VALUE"""),"資訊裝置")</f>
        <v>資訊裝置</v>
      </c>
      <c r="Q211" s="41">
        <f>IFERROR(__xludf.DUMMYFUNCTION("""COMPUTED_VALUE"""),36.0)</f>
        <v>36</v>
      </c>
      <c r="R211" s="41">
        <f>IFERROR(__xludf.DUMMYFUNCTION("""COMPUTED_VALUE"""),36.0)</f>
        <v>36</v>
      </c>
      <c r="S211" s="41" t="str">
        <f>IFERROR(__xludf.DUMMYFUNCTION("""COMPUTED_VALUE"""),"NT$9,450")</f>
        <v>NT$9,450</v>
      </c>
      <c r="T211" s="41" t="str">
        <f>IFERROR(__xludf.DUMMYFUNCTION("""COMPUTED_VALUE"""),"iPad (第八代) 128GB WiFi(A2270)")</f>
        <v>iPad (第八代) 128GB WiFi(A2270)</v>
      </c>
      <c r="U211" s="41"/>
      <c r="V211" s="41"/>
      <c r="W211" s="41"/>
      <c r="X211" s="45" t="str">
        <f>IFERROR(__xludf.DUMMYFUNCTION("""COMPUTED_VALUE"""),"")</f>
        <v/>
      </c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</row>
    <row r="212">
      <c r="B212" s="41"/>
      <c r="C212" s="41" t="str">
        <f>IFERROR(__xludf.DUMMYFUNCTION("""COMPUTED_VALUE"""),"滿三年更換")</f>
        <v>滿三年更換</v>
      </c>
      <c r="D212" s="41" t="str">
        <f>IFERROR(__xludf.DUMMYFUNCTION("""COMPUTED_VALUE"""),"TW")</f>
        <v>TW</v>
      </c>
      <c r="E212" s="41"/>
      <c r="F212" s="41"/>
      <c r="G212" s="41"/>
      <c r="H212" s="65" t="str">
        <f>IFERROR(__xludf.DUMMYFUNCTION("""COMPUTED_VALUE"""),"客戶價值中心:客戶成功管理部:客戶成功團隊")</f>
        <v>客戶價值中心:客戶成功管理部:客戶成功團隊</v>
      </c>
      <c r="I212" s="41" t="str">
        <f>IFERROR(__xludf.DUMMYFUNCTION("""COMPUTED_VALUE"""),"資訊裝置")</f>
        <v>資訊裝置</v>
      </c>
      <c r="J212" s="41" t="str">
        <f>IFERROR(__xludf.DUMMYFUNCTION("""COMPUTED_VALUE"""),"AICHMN02009069")</f>
        <v>AICHMN02009069</v>
      </c>
      <c r="K212" s="41" t="str">
        <f>IFERROR(__xludf.DUMMYFUNCTION("""COMPUTED_VALUE"""),"螢幕")</f>
        <v>螢幕</v>
      </c>
      <c r="L212" s="41" t="str">
        <f>IFERROR(__xludf.DUMMYFUNCTION("""COMPUTED_VALUE"""),"CN-0Y2YF1-QDC00-06B-16PL-A16")</f>
        <v>CN-0Y2YF1-QDC00-06B-16PL-A16</v>
      </c>
      <c r="M212" s="41" t="str">
        <f>IFERROR(__xludf.DUMMYFUNCTION("""COMPUTED_VALUE"""),"楊麗涵")</f>
        <v>楊麗涵</v>
      </c>
      <c r="N212" s="65">
        <f>IFERROR(__xludf.DUMMYFUNCTION("""COMPUTED_VALUE"""),44084.0)</f>
        <v>44084</v>
      </c>
      <c r="O212" s="41"/>
      <c r="P212" s="41" t="str">
        <f>IFERROR(__xludf.DUMMYFUNCTION("""COMPUTED_VALUE"""),"資訊裝置")</f>
        <v>資訊裝置</v>
      </c>
      <c r="Q212" s="41">
        <f>IFERROR(__xludf.DUMMYFUNCTION("""COMPUTED_VALUE"""),36.0)</f>
        <v>36</v>
      </c>
      <c r="R212" s="41">
        <f>IFERROR(__xludf.DUMMYFUNCTION("""COMPUTED_VALUE"""),36.0)</f>
        <v>36</v>
      </c>
      <c r="S212" s="41" t="str">
        <f>IFERROR(__xludf.DUMMYFUNCTION("""COMPUTED_VALUE"""),"NT$0")</f>
        <v>NT$0</v>
      </c>
      <c r="T212" s="41" t="str">
        <f>IFERROR(__xludf.DUMMYFUNCTION("""COMPUTED_VALUE"""),"Dell 24吋 U2415")</f>
        <v>Dell 24吋 U2415</v>
      </c>
      <c r="U212" s="41"/>
      <c r="V212" s="41"/>
      <c r="W212" s="41"/>
      <c r="X212" s="45" t="str">
        <f>IFERROR(__xludf.DUMMYFUNCTION("""COMPUTED_VALUE"""),"")</f>
        <v/>
      </c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</row>
    <row r="213">
      <c r="B213" s="41"/>
      <c r="C213" s="41" t="str">
        <f>IFERROR(__xludf.DUMMYFUNCTION("""COMPUTED_VALUE"""),"滿三年更換")</f>
        <v>滿三年更換</v>
      </c>
      <c r="D213" s="41" t="str">
        <f>IFERROR(__xludf.DUMMYFUNCTION("""COMPUTED_VALUE"""),"TW")</f>
        <v>TW</v>
      </c>
      <c r="E213" s="41"/>
      <c r="F213" s="41"/>
      <c r="G213" s="41"/>
      <c r="H213" s="65" t="str">
        <f>IFERROR(__xludf.DUMMYFUNCTION("""COMPUTED_VALUE"""),"行銷營運中心:產品行銷部:設計管理團隊")</f>
        <v>行銷營運中心:產品行銷部:設計管理團隊</v>
      </c>
      <c r="I213" s="41" t="str">
        <f>IFERROR(__xludf.DUMMYFUNCTION("""COMPUTED_VALUE"""),"資訊裝置")</f>
        <v>資訊裝置</v>
      </c>
      <c r="J213" s="41" t="str">
        <f>IFERROR(__xludf.DUMMYFUNCTION("""COMPUTED_VALUE"""),"AICHIP02109076")</f>
        <v>AICHIP02109076</v>
      </c>
      <c r="K213" s="41" t="str">
        <f>IFERROR(__xludf.DUMMYFUNCTION("""COMPUTED_VALUE"""),"iPad")</f>
        <v>iPad</v>
      </c>
      <c r="L213" s="41" t="str">
        <f>IFERROR(__xludf.DUMMYFUNCTION("""COMPUTED_VALUE"""),"DMPZCBZQJMVR")</f>
        <v>DMPZCBZQJMVR</v>
      </c>
      <c r="M213" s="41" t="str">
        <f>IFERROR(__xludf.DUMMYFUNCTION("""COMPUTED_VALUE"""),"萬盈君")</f>
        <v>萬盈君</v>
      </c>
      <c r="N213" s="66">
        <f>IFERROR(__xludf.DUMMYFUNCTION("""COMPUTED_VALUE"""),43100.0)</f>
        <v>43100</v>
      </c>
      <c r="O213" s="45">
        <f>IFERROR(__xludf.DUMMYFUNCTION("""COMPUTED_VALUE"""),0.0)</f>
        <v>0</v>
      </c>
      <c r="P213" s="41" t="str">
        <f>IFERROR(__xludf.DUMMYFUNCTION("""COMPUTED_VALUE"""),"資訊裝置")</f>
        <v>資訊裝置</v>
      </c>
      <c r="Q213" s="41">
        <f>IFERROR(__xludf.DUMMYFUNCTION("""COMPUTED_VALUE"""),36.0)</f>
        <v>36</v>
      </c>
      <c r="R213" s="41">
        <f>IFERROR(__xludf.DUMMYFUNCTION("""COMPUTED_VALUE"""),36.0)</f>
        <v>36</v>
      </c>
      <c r="S213" s="41" t="str">
        <f>IFERROR(__xludf.DUMMYFUNCTION("""COMPUTED_VALUE"""),"NT$0")</f>
        <v>NT$0</v>
      </c>
      <c r="T213" s="41" t="str">
        <f>IFERROR(__xludf.DUMMYFUNCTION("""COMPUTED_VALUE"""),"iPad (第六代) 32GB WIFI(MRJN2TA/A)")</f>
        <v>iPad (第六代) 32GB WIFI(MRJN2TA/A)</v>
      </c>
      <c r="U213" s="41"/>
      <c r="V213" s="41"/>
      <c r="W213" s="41"/>
      <c r="X213" s="45" t="str">
        <f>IFERROR(__xludf.DUMMYFUNCTION("""COMPUTED_VALUE"""),"")</f>
        <v/>
      </c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</row>
    <row r="214">
      <c r="B214" s="41"/>
      <c r="C214" s="41" t="str">
        <f>IFERROR(__xludf.DUMMYFUNCTION("""COMPUTED_VALUE"""),"滿三年更換")</f>
        <v>滿三年更換</v>
      </c>
      <c r="D214" s="41" t="str">
        <f>IFERROR(__xludf.DUMMYFUNCTION("""COMPUTED_VALUE"""),"TW")</f>
        <v>TW</v>
      </c>
      <c r="E214" s="41"/>
      <c r="F214" s="41"/>
      <c r="G214" s="41"/>
      <c r="H214" s="65" t="str">
        <f>IFERROR(__xludf.DUMMYFUNCTION("""COMPUTED_VALUE"""),"行銷營運中心:銷售營運部:客戶導入團隊")</f>
        <v>行銷營運中心:銷售營運部:客戶導入團隊</v>
      </c>
      <c r="I214" s="41" t="str">
        <f>IFERROR(__xludf.DUMMYFUNCTION("""COMPUTED_VALUE"""),"資訊裝置")</f>
        <v>資訊裝置</v>
      </c>
      <c r="J214" s="41" t="str">
        <f>IFERROR(__xludf.DUMMYFUNCTION("""COMPUTED_VALUE"""),"AICHMA02106029")</f>
        <v>AICHMA02106029</v>
      </c>
      <c r="K214" s="41" t="str">
        <f>IFERROR(__xludf.DUMMYFUNCTION("""COMPUTED_VALUE"""),"Macbook Air")</f>
        <v>Macbook Air</v>
      </c>
      <c r="L214" s="41" t="str">
        <f>IFERROR(__xludf.DUMMYFUNCTION("""COMPUTED_VALUE"""),"FVFFV40SQ6L4")</f>
        <v>FVFFV40SQ6L4</v>
      </c>
      <c r="M214" s="41" t="str">
        <f>IFERROR(__xludf.DUMMYFUNCTION("""COMPUTED_VALUE"""),"葉思妤")</f>
        <v>葉思妤</v>
      </c>
      <c r="N214" s="65">
        <f>IFERROR(__xludf.DUMMYFUNCTION("""COMPUTED_VALUE"""),44375.0)</f>
        <v>44375</v>
      </c>
      <c r="O214" s="45">
        <f>IFERROR(__xludf.DUMMYFUNCTION("""COMPUTED_VALUE"""),27075.0)</f>
        <v>27075</v>
      </c>
      <c r="P214" s="41" t="str">
        <f>IFERROR(__xludf.DUMMYFUNCTION("""COMPUTED_VALUE"""),"資訊裝置")</f>
        <v>資訊裝置</v>
      </c>
      <c r="Q214" s="41">
        <f>IFERROR(__xludf.DUMMYFUNCTION("""COMPUTED_VALUE"""),36.0)</f>
        <v>36</v>
      </c>
      <c r="R214" s="41">
        <f>IFERROR(__xludf.DUMMYFUNCTION("""COMPUTED_VALUE"""),36.0)</f>
        <v>36</v>
      </c>
      <c r="S214" s="41" t="str">
        <f>IFERROR(__xludf.DUMMYFUNCTION("""COMPUTED_VALUE"""),"NT$27,075")</f>
        <v>NT$27,075</v>
      </c>
      <c r="T214" s="41" t="str">
        <f>IFERROR(__xludf.DUMMYFUNCTION("""COMPUTED_VALUE"""),"MBA13 (2020) M1/8GBRAM/256GBSSD")</f>
        <v>MBA13 (2020) M1/8GBRAM/256GBSSD</v>
      </c>
      <c r="U214" s="41"/>
      <c r="V214" s="41"/>
      <c r="W214" s="41"/>
      <c r="X214" s="45" t="str">
        <f>IFERROR(__xludf.DUMMYFUNCTION("""COMPUTED_VALUE"""),"")</f>
        <v/>
      </c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</row>
    <row r="215">
      <c r="B215" s="41"/>
      <c r="C215" s="41" t="str">
        <f>IFERROR(__xludf.DUMMYFUNCTION("""COMPUTED_VALUE"""),"滿三年更換")</f>
        <v>滿三年更換</v>
      </c>
      <c r="D215" s="41" t="str">
        <f>IFERROR(__xludf.DUMMYFUNCTION("""COMPUTED_VALUE"""),"TW")</f>
        <v>TW</v>
      </c>
      <c r="E215" s="41"/>
      <c r="F215" s="41"/>
      <c r="G215" s="41"/>
      <c r="H215" s="65" t="str">
        <f>IFERROR(__xludf.DUMMYFUNCTION("""COMPUTED_VALUE"""),"行銷營運中心:銷售營運部:客戶導入團隊")</f>
        <v>行銷營運中心:銷售營運部:客戶導入團隊</v>
      </c>
      <c r="I215" s="41" t="str">
        <f>IFERROR(__xludf.DUMMYFUNCTION("""COMPUTED_VALUE"""),"資訊裝置")</f>
        <v>資訊裝置</v>
      </c>
      <c r="J215" s="41" t="str">
        <f>IFERROR(__xludf.DUMMYFUNCTION("""COMPUTED_VALUE"""),"AICHIP02302086")</f>
        <v>AICHIP02302086</v>
      </c>
      <c r="K215" s="41" t="str">
        <f>IFERROR(__xludf.DUMMYFUNCTION("""COMPUTED_VALUE"""),"iPad 9")</f>
        <v>iPad 9</v>
      </c>
      <c r="L215" s="41" t="str">
        <f>IFERROR(__xludf.DUMMYFUNCTION("""COMPUTED_VALUE"""),"GTWLMV7WRV")</f>
        <v>GTWLMV7WRV</v>
      </c>
      <c r="M215" s="41" t="str">
        <f>IFERROR(__xludf.DUMMYFUNCTION("""COMPUTED_VALUE"""),"葉思妤")</f>
        <v>葉思妤</v>
      </c>
      <c r="N215" s="65">
        <f>IFERROR(__xludf.DUMMYFUNCTION("""COMPUTED_VALUE"""),44944.0)</f>
        <v>44944</v>
      </c>
      <c r="O215" s="45">
        <f>IFERROR(__xludf.DUMMYFUNCTION("""COMPUTED_VALUE"""),9447.0)</f>
        <v>9447</v>
      </c>
      <c r="P215" s="41" t="str">
        <f>IFERROR(__xludf.DUMMYFUNCTION("""COMPUTED_VALUE"""),"資訊裝置")</f>
        <v>資訊裝置</v>
      </c>
      <c r="Q215" s="41">
        <f>IFERROR(__xludf.DUMMYFUNCTION("""COMPUTED_VALUE"""),36.0)</f>
        <v>36</v>
      </c>
      <c r="R215" s="41">
        <f>IFERROR(__xludf.DUMMYFUNCTION("""COMPUTED_VALUE"""),33.0)</f>
        <v>33</v>
      </c>
      <c r="S215" s="41" t="str">
        <f>IFERROR(__xludf.DUMMYFUNCTION("""COMPUTED_VALUE"""),"NT$8,661")</f>
        <v>NT$8,661</v>
      </c>
      <c r="T215" s="41" t="str">
        <f>IFERROR(__xludf.DUMMYFUNCTION("""COMPUTED_VALUE"""),"iPad (第九代)(MK2K3TA/A)")</f>
        <v>iPad (第九代)(MK2K3TA/A)</v>
      </c>
      <c r="U215" s="41"/>
      <c r="V215" s="41"/>
      <c r="W215" s="41"/>
      <c r="X215" s="45" t="str">
        <f>IFERROR(__xludf.DUMMYFUNCTION("""COMPUTED_VALUE"""),"")</f>
        <v/>
      </c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</row>
    <row r="216">
      <c r="B216" s="41"/>
      <c r="C216" s="41" t="str">
        <f>IFERROR(__xludf.DUMMYFUNCTION("""COMPUTED_VALUE"""),"滿三年更換")</f>
        <v>滿三年更換</v>
      </c>
      <c r="D216" s="41" t="str">
        <f>IFERROR(__xludf.DUMMYFUNCTION("""COMPUTED_VALUE"""),"TW")</f>
        <v>TW</v>
      </c>
      <c r="E216" s="41"/>
      <c r="F216" s="41"/>
      <c r="G216" s="41"/>
      <c r="H216" s="65" t="str">
        <f>IFERROR(__xludf.DUMMYFUNCTION("""COMPUTED_VALUE"""),"行銷營運中心:銷售營運部:銷售顧問團隊")</f>
        <v>行銷營運中心:銷售營運部:銷售顧問團隊</v>
      </c>
      <c r="I216" s="41" t="str">
        <f>IFERROR(__xludf.DUMMYFUNCTION("""COMPUTED_VALUE"""),"資訊裝置")</f>
        <v>資訊裝置</v>
      </c>
      <c r="J216" s="41" t="str">
        <f>IFERROR(__xludf.DUMMYFUNCTION("""COMPUTED_VALUE"""),"AICHMA01911001")</f>
        <v>AICHMA01911001</v>
      </c>
      <c r="K216" s="41" t="str">
        <f>IFERROR(__xludf.DUMMYFUNCTION("""COMPUTED_VALUE"""),"Macbook Air")</f>
        <v>Macbook Air</v>
      </c>
      <c r="L216" s="41" t="str">
        <f>IFERROR(__xludf.DUMMYFUNCTION("""COMPUTED_VALUE"""),"FVFZ2S4WLYWG")</f>
        <v>FVFZ2S4WLYWG</v>
      </c>
      <c r="M216" s="41" t="str">
        <f>IFERROR(__xludf.DUMMYFUNCTION("""COMPUTED_VALUE"""),"詹承峰")</f>
        <v>詹承峰</v>
      </c>
      <c r="N216" s="66">
        <f>IFERROR(__xludf.DUMMYFUNCTION("""COMPUTED_VALUE"""),43782.0)</f>
        <v>43782</v>
      </c>
      <c r="O216" s="45">
        <f>IFERROR(__xludf.DUMMYFUNCTION("""COMPUTED_VALUE"""),31618.0)</f>
        <v>31618</v>
      </c>
      <c r="P216" s="41" t="str">
        <f>IFERROR(__xludf.DUMMYFUNCTION("""COMPUTED_VALUE"""),"資訊裝置")</f>
        <v>資訊裝置</v>
      </c>
      <c r="Q216" s="41">
        <f>IFERROR(__xludf.DUMMYFUNCTION("""COMPUTED_VALUE"""),36.0)</f>
        <v>36</v>
      </c>
      <c r="R216" s="41">
        <f>IFERROR(__xludf.DUMMYFUNCTION("""COMPUTED_VALUE"""),36.0)</f>
        <v>36</v>
      </c>
      <c r="S216" s="41" t="str">
        <f>IFERROR(__xludf.DUMMYFUNCTION("""COMPUTED_VALUE"""),"NT$31,618")</f>
        <v>NT$31,618</v>
      </c>
      <c r="T216" s="41" t="str">
        <f>IFERROR(__xludf.DUMMYFUNCTION("""COMPUTED_VALUE"""),"MBA13 (2019) Retina I5/8GBRAM/")</f>
        <v>MBA13 (2019) Retina I5/8GBRAM/</v>
      </c>
      <c r="U216" s="41"/>
      <c r="V216" s="41"/>
      <c r="W216" s="41"/>
      <c r="X216" s="45" t="str">
        <f>IFERROR(__xludf.DUMMYFUNCTION("""COMPUTED_VALUE"""),"")</f>
        <v/>
      </c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</row>
    <row r="217">
      <c r="B217" s="41"/>
      <c r="C217" s="41" t="str">
        <f>IFERROR(__xludf.DUMMYFUNCTION("""COMPUTED_VALUE"""),"滿三年更換")</f>
        <v>滿三年更換</v>
      </c>
      <c r="D217" s="41" t="str">
        <f>IFERROR(__xludf.DUMMYFUNCTION("""COMPUTED_VALUE"""),"TW")</f>
        <v>TW</v>
      </c>
      <c r="E217" s="41"/>
      <c r="F217" s="41"/>
      <c r="G217" s="41"/>
      <c r="H217" s="41" t="str">
        <f>IFERROR(__xludf.DUMMYFUNCTION("""COMPUTED_VALUE"""),"行銷營運中心:社群關係部")</f>
        <v>行銷營運中心:社群關係部</v>
      </c>
      <c r="I217" s="41" t="str">
        <f>IFERROR(__xludf.DUMMYFUNCTION("""COMPUTED_VALUE"""),"資訊裝置")</f>
        <v>資訊裝置</v>
      </c>
      <c r="J217" s="41" t="str">
        <f>IFERROR(__xludf.DUMMYFUNCTION("""COMPUTED_VALUE"""),"AICHMA02110042")</f>
        <v>AICHMA02110042</v>
      </c>
      <c r="K217" s="41" t="str">
        <f>IFERROR(__xludf.DUMMYFUNCTION("""COMPUTED_VALUE"""),"Macbook Air")</f>
        <v>Macbook Air</v>
      </c>
      <c r="L217" s="41" t="str">
        <f>IFERROR(__xludf.DUMMYFUNCTION("""COMPUTED_VALUE"""),"FVFG6DDLQ6LC")</f>
        <v>FVFG6DDLQ6LC</v>
      </c>
      <c r="M217" s="41" t="str">
        <f>IFERROR(__xludf.DUMMYFUNCTION("""COMPUTED_VALUE"""),"詹惟婷")</f>
        <v>詹惟婷</v>
      </c>
      <c r="N217" s="65">
        <f>IFERROR(__xludf.DUMMYFUNCTION("""COMPUTED_VALUE"""),44476.0)</f>
        <v>44476</v>
      </c>
      <c r="O217" s="45">
        <f>IFERROR(__xludf.DUMMYFUNCTION("""COMPUTED_VALUE"""),27075.0)</f>
        <v>27075</v>
      </c>
      <c r="P217" s="41" t="str">
        <f>IFERROR(__xludf.DUMMYFUNCTION("""COMPUTED_VALUE"""),"資訊裝置")</f>
        <v>資訊裝置</v>
      </c>
      <c r="Q217" s="41">
        <f>IFERROR(__xludf.DUMMYFUNCTION("""COMPUTED_VALUE"""),36.0)</f>
        <v>36</v>
      </c>
      <c r="R217" s="41">
        <f>IFERROR(__xludf.DUMMYFUNCTION("""COMPUTED_VALUE"""),36.0)</f>
        <v>36</v>
      </c>
      <c r="S217" s="41" t="str">
        <f>IFERROR(__xludf.DUMMYFUNCTION("""COMPUTED_VALUE"""),"NT$27,075")</f>
        <v>NT$27,075</v>
      </c>
      <c r="T217" s="41" t="str">
        <f>IFERROR(__xludf.DUMMYFUNCTION("""COMPUTED_VALUE"""),"MBA13 (2020) M1/8GBRAM/256GBSSD")</f>
        <v>MBA13 (2020) M1/8GBRAM/256GBSSD</v>
      </c>
      <c r="U217" s="41"/>
      <c r="V217" s="41"/>
      <c r="W217" s="41"/>
      <c r="X217" s="45" t="str">
        <f>IFERROR(__xludf.DUMMYFUNCTION("""COMPUTED_VALUE"""),"")</f>
        <v/>
      </c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</row>
    <row r="218">
      <c r="B218" s="41"/>
      <c r="C218" s="41" t="str">
        <f>IFERROR(__xludf.DUMMYFUNCTION("""COMPUTED_VALUE"""),"滿三年更換")</f>
        <v>滿三年更換</v>
      </c>
      <c r="D218" s="41" t="str">
        <f>IFERROR(__xludf.DUMMYFUNCTION("""COMPUTED_VALUE"""),"TW")</f>
        <v>TW</v>
      </c>
      <c r="E218" s="41"/>
      <c r="F218" s="41"/>
      <c r="G218" s="41"/>
      <c r="H218" s="41" t="str">
        <f>IFERROR(__xludf.DUMMYFUNCTION("""COMPUTED_VALUE"""),"行銷營運中心:社群關係部")</f>
        <v>行銷營運中心:社群關係部</v>
      </c>
      <c r="I218" s="41" t="str">
        <f>IFERROR(__xludf.DUMMYFUNCTION("""COMPUTED_VALUE"""),"資訊裝置")</f>
        <v>資訊裝置</v>
      </c>
      <c r="J218" s="41" t="str">
        <f>IFERROR(__xludf.DUMMYFUNCTION("""COMPUTED_VALUE"""),"AICHMN01705045")</f>
        <v>AICHMN01705045</v>
      </c>
      <c r="K218" s="41" t="str">
        <f>IFERROR(__xludf.DUMMYFUNCTION("""COMPUTED_VALUE"""),"螢幕")</f>
        <v>螢幕</v>
      </c>
      <c r="L218" s="41" t="str">
        <f>IFERROR(__xludf.DUMMYFUNCTION("""COMPUTED_VALUE"""),"CN-0MTYGK-64180-571-00YS")</f>
        <v>CN-0MTYGK-64180-571-00YS</v>
      </c>
      <c r="M218" s="41" t="str">
        <f>IFERROR(__xludf.DUMMYFUNCTION("""COMPUTED_VALUE"""),"詹惟婷")</f>
        <v>詹惟婷</v>
      </c>
      <c r="N218" s="65">
        <f>IFERROR(__xludf.DUMMYFUNCTION("""COMPUTED_VALUE"""),43413.0)</f>
        <v>43413</v>
      </c>
      <c r="O218" s="41"/>
      <c r="P218" s="41" t="str">
        <f>IFERROR(__xludf.DUMMYFUNCTION("""COMPUTED_VALUE"""),"資訊裝置")</f>
        <v>資訊裝置</v>
      </c>
      <c r="Q218" s="41">
        <f>IFERROR(__xludf.DUMMYFUNCTION("""COMPUTED_VALUE"""),36.0)</f>
        <v>36</v>
      </c>
      <c r="R218" s="41">
        <f>IFERROR(__xludf.DUMMYFUNCTION("""COMPUTED_VALUE"""),36.0)</f>
        <v>36</v>
      </c>
      <c r="S218" s="41" t="str">
        <f>IFERROR(__xludf.DUMMYFUNCTION("""COMPUTED_VALUE"""),"NT$0")</f>
        <v>NT$0</v>
      </c>
      <c r="T218" s="41" t="str">
        <f>IFERROR(__xludf.DUMMYFUNCTION("""COMPUTED_VALUE"""),"Dell 24吋 U2412Mc")</f>
        <v>Dell 24吋 U2412Mc</v>
      </c>
      <c r="U218" s="41"/>
      <c r="V218" s="41"/>
      <c r="W218" s="41"/>
      <c r="X218" s="45" t="str">
        <f>IFERROR(__xludf.DUMMYFUNCTION("""COMPUTED_VALUE"""),"")</f>
        <v/>
      </c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</row>
    <row r="219">
      <c r="B219" s="41"/>
      <c r="C219" s="41" t="str">
        <f>IFERROR(__xludf.DUMMYFUNCTION("""COMPUTED_VALUE"""),"滿三年更換")</f>
        <v>滿三年更換</v>
      </c>
      <c r="D219" s="41" t="str">
        <f>IFERROR(__xludf.DUMMYFUNCTION("""COMPUTED_VALUE"""),"TW")</f>
        <v>TW</v>
      </c>
      <c r="E219" s="41"/>
      <c r="F219" s="41"/>
      <c r="G219" s="41"/>
      <c r="H219" s="65" t="str">
        <f>IFERROR(__xludf.DUMMYFUNCTION("""COMPUTED_VALUE"""),"行銷營運中心:銷售營運部:客戶導入團隊")</f>
        <v>行銷營運中心:銷售營運部:客戶導入團隊</v>
      </c>
      <c r="I219" s="41" t="str">
        <f>IFERROR(__xludf.DUMMYFUNCTION("""COMPUTED_VALUE"""),"資訊裝置")</f>
        <v>資訊裝置</v>
      </c>
      <c r="J219" s="41" t="str">
        <f>IFERROR(__xludf.DUMMYFUNCTION("""COMPUTED_VALUE"""),"AICHMA02003002")</f>
        <v>AICHMA02003002</v>
      </c>
      <c r="K219" s="41" t="str">
        <f>IFERROR(__xludf.DUMMYFUNCTION("""COMPUTED_VALUE"""),"Macbook Air")</f>
        <v>Macbook Air</v>
      </c>
      <c r="L219" s="41" t="str">
        <f>IFERROR(__xludf.DUMMYFUNCTION("""COMPUTED_VALUE"""),"FVFZV1RFLYWL")</f>
        <v>FVFZV1RFLYWL</v>
      </c>
      <c r="M219" s="41" t="str">
        <f>IFERROR(__xludf.DUMMYFUNCTION("""COMPUTED_VALUE"""),"廖珮伶")</f>
        <v>廖珮伶</v>
      </c>
      <c r="N219" s="65">
        <f>IFERROR(__xludf.DUMMYFUNCTION("""COMPUTED_VALUE"""),43903.0)</f>
        <v>43903</v>
      </c>
      <c r="O219" s="45">
        <f>IFERROR(__xludf.DUMMYFUNCTION("""COMPUTED_VALUE"""),31629.0)</f>
        <v>31629</v>
      </c>
      <c r="P219" s="41" t="str">
        <f>IFERROR(__xludf.DUMMYFUNCTION("""COMPUTED_VALUE"""),"資訊裝置")</f>
        <v>資訊裝置</v>
      </c>
      <c r="Q219" s="41">
        <f>IFERROR(__xludf.DUMMYFUNCTION("""COMPUTED_VALUE"""),36.0)</f>
        <v>36</v>
      </c>
      <c r="R219" s="41">
        <f>IFERROR(__xludf.DUMMYFUNCTION("""COMPUTED_VALUE"""),36.0)</f>
        <v>36</v>
      </c>
      <c r="S219" s="41" t="str">
        <f>IFERROR(__xludf.DUMMYFUNCTION("""COMPUTED_VALUE"""),"NT$31,629")</f>
        <v>NT$31,629</v>
      </c>
      <c r="T219" s="41" t="str">
        <f>IFERROR(__xludf.DUMMYFUNCTION("""COMPUTED_VALUE"""),"MBA13 (Retina, 2019) I5 /8GBRAM /512GBSSD")</f>
        <v>MBA13 (Retina, 2019) I5 /8GBRAM /512GBSSD</v>
      </c>
      <c r="U219" s="41"/>
      <c r="V219" s="41"/>
      <c r="W219" s="41"/>
      <c r="X219" s="45" t="str">
        <f>IFERROR(__xludf.DUMMYFUNCTION("""COMPUTED_VALUE"""),"")</f>
        <v/>
      </c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</row>
    <row r="220">
      <c r="B220" s="41"/>
      <c r="C220" s="41" t="str">
        <f>IFERROR(__xludf.DUMMYFUNCTION("""COMPUTED_VALUE"""),"滿三年更換")</f>
        <v>滿三年更換</v>
      </c>
      <c r="D220" s="41" t="str">
        <f>IFERROR(__xludf.DUMMYFUNCTION("""COMPUTED_VALUE"""),"TW")</f>
        <v>TW</v>
      </c>
      <c r="E220" s="41"/>
      <c r="F220" s="41"/>
      <c r="G220" s="41"/>
      <c r="H220" s="65" t="str">
        <f>IFERROR(__xludf.DUMMYFUNCTION("""COMPUTED_VALUE"""),"行銷營運中心:銷售營運部:客戶導入團隊")</f>
        <v>行銷營運中心:銷售營運部:客戶導入團隊</v>
      </c>
      <c r="I220" s="41" t="str">
        <f>IFERROR(__xludf.DUMMYFUNCTION("""COMPUTED_VALUE"""),"資訊裝置")</f>
        <v>資訊裝置</v>
      </c>
      <c r="J220" s="41" t="str">
        <f>IFERROR(__xludf.DUMMYFUNCTION("""COMPUTED_VALUE"""),"AICHIP02106062")</f>
        <v>AICHIP02106062</v>
      </c>
      <c r="K220" s="41" t="str">
        <f>IFERROR(__xludf.DUMMYFUNCTION("""COMPUTED_VALUE"""),"iPad")</f>
        <v>iPad</v>
      </c>
      <c r="L220" s="41" t="str">
        <f>IFERROR(__xludf.DUMMYFUNCTION("""COMPUTED_VALUE"""),"F9FFM2x1Q1GF")</f>
        <v>F9FFM2x1Q1GF</v>
      </c>
      <c r="M220" s="41" t="str">
        <f>IFERROR(__xludf.DUMMYFUNCTION("""COMPUTED_VALUE"""),"廖珮伶")</f>
        <v>廖珮伶</v>
      </c>
      <c r="N220" s="65">
        <f>IFERROR(__xludf.DUMMYFUNCTION("""COMPUTED_VALUE"""),44371.0)</f>
        <v>44371</v>
      </c>
      <c r="O220" s="45">
        <f>IFERROR(__xludf.DUMMYFUNCTION("""COMPUTED_VALUE"""),9450.0)</f>
        <v>9450</v>
      </c>
      <c r="P220" s="41" t="str">
        <f>IFERROR(__xludf.DUMMYFUNCTION("""COMPUTED_VALUE"""),"資訊裝置")</f>
        <v>資訊裝置</v>
      </c>
      <c r="Q220" s="41">
        <f>IFERROR(__xludf.DUMMYFUNCTION("""COMPUTED_VALUE"""),36.0)</f>
        <v>36</v>
      </c>
      <c r="R220" s="41">
        <f>IFERROR(__xludf.DUMMYFUNCTION("""COMPUTED_VALUE"""),36.0)</f>
        <v>36</v>
      </c>
      <c r="S220" s="41" t="str">
        <f>IFERROR(__xludf.DUMMYFUNCTION("""COMPUTED_VALUE"""),"NT$9,450")</f>
        <v>NT$9,450</v>
      </c>
      <c r="T220" s="41" t="str">
        <f>IFERROR(__xludf.DUMMYFUNCTION("""COMPUTED_VALUE"""),"iPad (第八代) 32GB WIFI(MYLC2TA/A)")</f>
        <v>iPad (第八代) 32GB WIFI(MYLC2TA/A)</v>
      </c>
      <c r="U220" s="41"/>
      <c r="V220" s="41"/>
      <c r="W220" s="41"/>
      <c r="X220" s="45" t="str">
        <f>IFERROR(__xludf.DUMMYFUNCTION("""COMPUTED_VALUE"""),"")</f>
        <v/>
      </c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</row>
    <row r="221">
      <c r="B221" s="41"/>
      <c r="C221" s="41" t="str">
        <f>IFERROR(__xludf.DUMMYFUNCTION("""COMPUTED_VALUE"""),"滿三年更換")</f>
        <v>滿三年更換</v>
      </c>
      <c r="D221" s="41" t="str">
        <f>IFERROR(__xludf.DUMMYFUNCTION("""COMPUTED_VALUE"""),"TW")</f>
        <v>TW</v>
      </c>
      <c r="E221" s="41"/>
      <c r="F221" s="41"/>
      <c r="G221" s="41"/>
      <c r="H221" s="65" t="str">
        <f>IFERROR(__xludf.DUMMYFUNCTION("""COMPUTED_VALUE"""),"客戶價值中心:客戶關係管理部:客服團隊 POS/OMO")</f>
        <v>客戶價值中心:客戶關係管理部:客服團隊 POS/OMO</v>
      </c>
      <c r="I221" s="41" t="str">
        <f>IFERROR(__xludf.DUMMYFUNCTION("""COMPUTED_VALUE"""),"資訊裝置")</f>
        <v>資訊裝置</v>
      </c>
      <c r="J221" s="41" t="str">
        <f>IFERROR(__xludf.DUMMYFUNCTION("""COMPUTED_VALUE"""),"AICHMP01607001")</f>
        <v>AICHMP01607001</v>
      </c>
      <c r="K221" s="41" t="str">
        <f>IFERROR(__xludf.DUMMYFUNCTION("""COMPUTED_VALUE"""),"Macbook Pro")</f>
        <v>Macbook Pro</v>
      </c>
      <c r="L221" s="41" t="str">
        <f>IFERROR(__xludf.DUMMYFUNCTION("""COMPUTED_VALUE"""),"C02SY05PGTDX")</f>
        <v>C02SY05PGTDX</v>
      </c>
      <c r="M221" s="41" t="str">
        <f>IFERROR(__xludf.DUMMYFUNCTION("""COMPUTED_VALUE"""),"劉晏廷")</f>
        <v>劉晏廷</v>
      </c>
      <c r="N221" s="65">
        <f>IFERROR(__xludf.DUMMYFUNCTION("""COMPUTED_VALUE"""),42571.0)</f>
        <v>42571</v>
      </c>
      <c r="O221" s="45">
        <f>IFERROR(__xludf.DUMMYFUNCTION("""COMPUTED_VALUE"""),0.0)</f>
        <v>0</v>
      </c>
      <c r="P221" s="41" t="str">
        <f>IFERROR(__xludf.DUMMYFUNCTION("""COMPUTED_VALUE"""),"資訊裝置")</f>
        <v>資訊裝置</v>
      </c>
      <c r="Q221" s="41">
        <f>IFERROR(__xludf.DUMMYFUNCTION("""COMPUTED_VALUE"""),36.0)</f>
        <v>36</v>
      </c>
      <c r="R221" s="41">
        <f>IFERROR(__xludf.DUMMYFUNCTION("""COMPUTED_VALUE"""),36.0)</f>
        <v>36</v>
      </c>
      <c r="S221" s="41" t="str">
        <f>IFERROR(__xludf.DUMMYFUNCTION("""COMPUTED_VALUE"""),"NT$0")</f>
        <v>NT$0</v>
      </c>
      <c r="T221" s="41" t="str">
        <f>IFERROR(__xludf.DUMMYFUNCTION("""COMPUTED_VALUE"""),"MBP13  Intel Core i5/16GBRAM/256GBSSD")</f>
        <v>MBP13  Intel Core i5/16GBRAM/256GBSSD</v>
      </c>
      <c r="U221" s="41"/>
      <c r="V221" s="41"/>
      <c r="W221" s="41"/>
      <c r="X221" s="45" t="str">
        <f>IFERROR(__xludf.DUMMYFUNCTION("""COMPUTED_VALUE"""),"")</f>
        <v/>
      </c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</row>
    <row r="222">
      <c r="B222" s="41"/>
      <c r="C222" s="41" t="str">
        <f>IFERROR(__xludf.DUMMYFUNCTION("""COMPUTED_VALUE"""),"滿三年更換")</f>
        <v>滿三年更換</v>
      </c>
      <c r="D222" s="41" t="str">
        <f>IFERROR(__xludf.DUMMYFUNCTION("""COMPUTED_VALUE"""),"TW")</f>
        <v>TW</v>
      </c>
      <c r="E222" s="41"/>
      <c r="F222" s="41"/>
      <c r="G222" s="41"/>
      <c r="H222" s="65" t="str">
        <f>IFERROR(__xludf.DUMMYFUNCTION("""COMPUTED_VALUE"""),"行銷營運中心:銷售營運部:銷售顧問團隊")</f>
        <v>行銷營運中心:銷售營運部:銷售顧問團隊</v>
      </c>
      <c r="I222" s="41" t="str">
        <f>IFERROR(__xludf.DUMMYFUNCTION("""COMPUTED_VALUE"""),"資訊裝置")</f>
        <v>資訊裝置</v>
      </c>
      <c r="J222" s="41" t="str">
        <f>IFERROR(__xludf.DUMMYFUNCTION("""COMPUTED_VALUE"""),"AICHMA02010004")</f>
        <v>AICHMA02010004</v>
      </c>
      <c r="K222" s="41" t="str">
        <f>IFERROR(__xludf.DUMMYFUNCTION("""COMPUTED_VALUE"""),"Macbook Air")</f>
        <v>Macbook Air</v>
      </c>
      <c r="L222" s="41" t="str">
        <f>IFERROR(__xludf.DUMMYFUNCTION("""COMPUTED_VALUE"""),"FVFDHWAZMNHR")</f>
        <v>FVFDHWAZMNHR</v>
      </c>
      <c r="M222" s="41" t="str">
        <f>IFERROR(__xludf.DUMMYFUNCTION("""COMPUTED_VALUE"""),"潘宛逸")</f>
        <v>潘宛逸</v>
      </c>
      <c r="N222" s="66">
        <f>IFERROR(__xludf.DUMMYFUNCTION("""COMPUTED_VALUE"""),44130.0)</f>
        <v>44130</v>
      </c>
      <c r="O222" s="45">
        <f>IFERROR(__xludf.DUMMYFUNCTION("""COMPUTED_VALUE"""),28558.0)</f>
        <v>28558</v>
      </c>
      <c r="P222" s="41" t="str">
        <f>IFERROR(__xludf.DUMMYFUNCTION("""COMPUTED_VALUE"""),"資訊裝置")</f>
        <v>資訊裝置</v>
      </c>
      <c r="Q222" s="41">
        <f>IFERROR(__xludf.DUMMYFUNCTION("""COMPUTED_VALUE"""),36.0)</f>
        <v>36</v>
      </c>
      <c r="R222" s="41">
        <f>IFERROR(__xludf.DUMMYFUNCTION("""COMPUTED_VALUE"""),36.0)</f>
        <v>36</v>
      </c>
      <c r="S222" s="41" t="str">
        <f>IFERROR(__xludf.DUMMYFUNCTION("""COMPUTED_VALUE"""),"NT$28,558")</f>
        <v>NT$28,558</v>
      </c>
      <c r="T222" s="41" t="str">
        <f>IFERROR(__xludf.DUMMYFUNCTION("""COMPUTED_VALUE"""),"A2179 MBA13 (Retina, 2020) I3 / 8GBRAM/256GBSSD")</f>
        <v>A2179 MBA13 (Retina, 2020) I3 / 8GBRAM/256GBSSD</v>
      </c>
      <c r="U222" s="41"/>
      <c r="V222" s="41"/>
      <c r="W222" s="41"/>
      <c r="X222" s="45" t="str">
        <f>IFERROR(__xludf.DUMMYFUNCTION("""COMPUTED_VALUE"""),"")</f>
        <v/>
      </c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</row>
    <row r="223">
      <c r="B223" s="41"/>
      <c r="C223" s="41" t="str">
        <f>IFERROR(__xludf.DUMMYFUNCTION("""COMPUTED_VALUE"""),"滿三年更換")</f>
        <v>滿三年更換</v>
      </c>
      <c r="D223" s="41" t="str">
        <f>IFERROR(__xludf.DUMMYFUNCTION("""COMPUTED_VALUE"""),"TW")</f>
        <v>TW</v>
      </c>
      <c r="E223" s="41"/>
      <c r="F223" s="41"/>
      <c r="G223" s="41"/>
      <c r="H223" s="65" t="str">
        <f>IFERROR(__xludf.DUMMYFUNCTION("""COMPUTED_VALUE"""),"行銷營運中心:銷售營運部:銷售顧問團隊")</f>
        <v>行銷營運中心:銷售營運部:銷售顧問團隊</v>
      </c>
      <c r="I223" s="41" t="str">
        <f>IFERROR(__xludf.DUMMYFUNCTION("""COMPUTED_VALUE"""),"資訊裝置")</f>
        <v>資訊裝置</v>
      </c>
      <c r="J223" s="41" t="str">
        <f>IFERROR(__xludf.DUMMYFUNCTION("""COMPUTED_VALUE"""),"AICHMN01604010")</f>
        <v>AICHMN01604010</v>
      </c>
      <c r="K223" s="41" t="str">
        <f>IFERROR(__xludf.DUMMYFUNCTION("""COMPUTED_VALUE"""),"螢幕")</f>
        <v>螢幕</v>
      </c>
      <c r="L223" s="41" t="str">
        <f>IFERROR(__xludf.DUMMYFUNCTION("""COMPUTED_VALUE"""),"CN-0YR48V-74261-21T-0TJL")</f>
        <v>CN-0YR48V-74261-21T-0TJL</v>
      </c>
      <c r="M223" s="41" t="str">
        <f>IFERROR(__xludf.DUMMYFUNCTION("""COMPUTED_VALUE"""),"潘宛逸")</f>
        <v>潘宛逸</v>
      </c>
      <c r="N223" s="65">
        <f>IFERROR(__xludf.DUMMYFUNCTION("""COMPUTED_VALUE"""),42468.0)</f>
        <v>42468</v>
      </c>
      <c r="O223" s="41"/>
      <c r="P223" s="41" t="str">
        <f>IFERROR(__xludf.DUMMYFUNCTION("""COMPUTED_VALUE"""),"資訊裝置")</f>
        <v>資訊裝置</v>
      </c>
      <c r="Q223" s="41">
        <f>IFERROR(__xludf.DUMMYFUNCTION("""COMPUTED_VALUE"""),36.0)</f>
        <v>36</v>
      </c>
      <c r="R223" s="41">
        <f>IFERROR(__xludf.DUMMYFUNCTION("""COMPUTED_VALUE"""),36.0)</f>
        <v>36</v>
      </c>
      <c r="S223" s="41" t="str">
        <f>IFERROR(__xludf.DUMMYFUNCTION("""COMPUTED_VALUE"""),"NT$0")</f>
        <v>NT$0</v>
      </c>
      <c r="T223" s="41" t="str">
        <f>IFERROR(__xludf.DUMMYFUNCTION("""COMPUTED_VALUE"""),"Dell 24吋 U2412Mb")</f>
        <v>Dell 24吋 U2412Mb</v>
      </c>
      <c r="U223" s="41"/>
      <c r="V223" s="41"/>
      <c r="W223" s="41"/>
      <c r="X223" s="45" t="str">
        <f>IFERROR(__xludf.DUMMYFUNCTION("""COMPUTED_VALUE"""),"")</f>
        <v/>
      </c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</row>
    <row r="224">
      <c r="B224" s="41"/>
      <c r="C224" s="41" t="str">
        <f>IFERROR(__xludf.DUMMYFUNCTION("""COMPUTED_VALUE"""),"滿三年更換")</f>
        <v>滿三年更換</v>
      </c>
      <c r="D224" s="41" t="str">
        <f>IFERROR(__xludf.DUMMYFUNCTION("""COMPUTED_VALUE"""),"TW")</f>
        <v>TW</v>
      </c>
      <c r="E224" s="41"/>
      <c r="F224" s="41"/>
      <c r="G224" s="41"/>
      <c r="H224" s="65" t="str">
        <f>IFERROR(__xludf.DUMMYFUNCTION("""COMPUTED_VALUE"""),"行銷營運中心:銷售營運部:客戶導入團隊")</f>
        <v>行銷營運中心:銷售營運部:客戶導入團隊</v>
      </c>
      <c r="I224" s="41" t="str">
        <f>IFERROR(__xludf.DUMMYFUNCTION("""COMPUTED_VALUE"""),"資訊裝置")</f>
        <v>資訊裝置</v>
      </c>
      <c r="J224" s="41" t="str">
        <f>IFERROR(__xludf.DUMMYFUNCTION("""COMPUTED_VALUE"""),"AICHIP02006030")</f>
        <v>AICHIP02006030</v>
      </c>
      <c r="K224" s="41" t="str">
        <f>IFERROR(__xludf.DUMMYFUNCTION("""COMPUTED_VALUE"""),"iPad")</f>
        <v>iPad</v>
      </c>
      <c r="L224" s="41" t="str">
        <f>IFERROR(__xludf.DUMMYFUNCTION("""COMPUTED_VALUE"""),"GG7CQGMSMF3P")</f>
        <v>GG7CQGMSMF3P</v>
      </c>
      <c r="M224" s="41" t="str">
        <f>IFERROR(__xludf.DUMMYFUNCTION("""COMPUTED_VALUE"""),"潘逸巧")</f>
        <v>潘逸巧</v>
      </c>
      <c r="N224" s="65">
        <f>IFERROR(__xludf.DUMMYFUNCTION("""COMPUTED_VALUE"""),43998.0)</f>
        <v>43998</v>
      </c>
      <c r="O224" s="45">
        <f>IFERROR(__xludf.DUMMYFUNCTION("""COMPUTED_VALUE"""),9800.0)</f>
        <v>9800</v>
      </c>
      <c r="P224" s="41" t="str">
        <f>IFERROR(__xludf.DUMMYFUNCTION("""COMPUTED_VALUE"""),"資訊裝置")</f>
        <v>資訊裝置</v>
      </c>
      <c r="Q224" s="41">
        <f>IFERROR(__xludf.DUMMYFUNCTION("""COMPUTED_VALUE"""),36.0)</f>
        <v>36</v>
      </c>
      <c r="R224" s="41">
        <f>IFERROR(__xludf.DUMMYFUNCTION("""COMPUTED_VALUE"""),36.0)</f>
        <v>36</v>
      </c>
      <c r="S224" s="41" t="str">
        <f>IFERROR(__xludf.DUMMYFUNCTION("""COMPUTED_VALUE"""),"NT$9,800")</f>
        <v>NT$9,800</v>
      </c>
      <c r="T224" s="41" t="str">
        <f>IFERROR(__xludf.DUMMYFUNCTION("""COMPUTED_VALUE"""),"iPad (第七代) 32GB WIFI(MW762TA/A)")</f>
        <v>iPad (第七代) 32GB WIFI(MW762TA/A)</v>
      </c>
      <c r="U224" s="41"/>
      <c r="V224" s="41"/>
      <c r="W224" s="41"/>
      <c r="X224" s="45" t="str">
        <f>IFERROR(__xludf.DUMMYFUNCTION("""COMPUTED_VALUE"""),"")</f>
        <v/>
      </c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</row>
    <row r="225">
      <c r="B225" s="41"/>
      <c r="C225" s="41" t="str">
        <f>IFERROR(__xludf.DUMMYFUNCTION("""COMPUTED_VALUE"""),"滿三年更換")</f>
        <v>滿三年更換</v>
      </c>
      <c r="D225" s="41" t="str">
        <f>IFERROR(__xludf.DUMMYFUNCTION("""COMPUTED_VALUE"""),"TW")</f>
        <v>TW</v>
      </c>
      <c r="E225" s="41"/>
      <c r="F225" s="41"/>
      <c r="G225" s="41"/>
      <c r="H225" s="65" t="str">
        <f>IFERROR(__xludf.DUMMYFUNCTION("""COMPUTED_VALUE"""),"客戶價值中心:客戶關係管理部:客服團隊 POS/OMO")</f>
        <v>客戶價值中心:客戶關係管理部:客服團隊 POS/OMO</v>
      </c>
      <c r="I225" s="41" t="str">
        <f>IFERROR(__xludf.DUMMYFUNCTION("""COMPUTED_VALUE"""),"資訊裝置")</f>
        <v>資訊裝置</v>
      </c>
      <c r="J225" s="41" t="str">
        <f>IFERROR(__xludf.DUMMYFUNCTION("""COMPUTED_VALUE"""),"AICHMA02112044")</f>
        <v>AICHMA02112044</v>
      </c>
      <c r="K225" s="41" t="str">
        <f>IFERROR(__xludf.DUMMYFUNCTION("""COMPUTED_VALUE"""),"Macbook Air")</f>
        <v>Macbook Air</v>
      </c>
      <c r="L225" s="41" t="str">
        <f>IFERROR(__xludf.DUMMYFUNCTION("""COMPUTED_VALUE"""),"FVFG42QVQ6L7")</f>
        <v>FVFG42QVQ6L7</v>
      </c>
      <c r="M225" s="41" t="str">
        <f>IFERROR(__xludf.DUMMYFUNCTION("""COMPUTED_VALUE"""),"蔡仲惠")</f>
        <v>蔡仲惠</v>
      </c>
      <c r="N225" s="66">
        <f>IFERROR(__xludf.DUMMYFUNCTION("""COMPUTED_VALUE"""),44546.0)</f>
        <v>44546</v>
      </c>
      <c r="O225" s="45">
        <f>IFERROR(__xludf.DUMMYFUNCTION("""COMPUTED_VALUE"""),27075.0)</f>
        <v>27075</v>
      </c>
      <c r="P225" s="41" t="str">
        <f>IFERROR(__xludf.DUMMYFUNCTION("""COMPUTED_VALUE"""),"資訊裝置")</f>
        <v>資訊裝置</v>
      </c>
      <c r="Q225" s="41">
        <f>IFERROR(__xludf.DUMMYFUNCTION("""COMPUTED_VALUE"""),36.0)</f>
        <v>36</v>
      </c>
      <c r="R225" s="41">
        <f>IFERROR(__xludf.DUMMYFUNCTION("""COMPUTED_VALUE"""),36.0)</f>
        <v>36</v>
      </c>
      <c r="S225" s="41" t="str">
        <f>IFERROR(__xludf.DUMMYFUNCTION("""COMPUTED_VALUE"""),"NT$27,075")</f>
        <v>NT$27,075</v>
      </c>
      <c r="T225" s="41" t="str">
        <f>IFERROR(__xludf.DUMMYFUNCTION("""COMPUTED_VALUE"""),"MBA/M1/8GBRAM/256GBSSD")</f>
        <v>MBA/M1/8GBRAM/256GBSSD</v>
      </c>
      <c r="U225" s="41"/>
      <c r="V225" s="41"/>
      <c r="W225" s="41"/>
      <c r="X225" s="45" t="str">
        <f>IFERROR(__xludf.DUMMYFUNCTION("""COMPUTED_VALUE"""),"")</f>
        <v/>
      </c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</row>
    <row r="226">
      <c r="B226" s="41"/>
      <c r="C226" s="41" t="str">
        <f>IFERROR(__xludf.DUMMYFUNCTION("""COMPUTED_VALUE"""),"滿三年更換")</f>
        <v>滿三年更換</v>
      </c>
      <c r="D226" s="41" t="str">
        <f>IFERROR(__xludf.DUMMYFUNCTION("""COMPUTED_VALUE"""),"TW")</f>
        <v>TW</v>
      </c>
      <c r="E226" s="41"/>
      <c r="F226" s="41"/>
      <c r="G226" s="41"/>
      <c r="H226" s="65" t="str">
        <f>IFERROR(__xludf.DUMMYFUNCTION("""COMPUTED_VALUE"""),"客戶價值中心:客戶關係管理部:客服團隊 POS/OMO")</f>
        <v>客戶價值中心:客戶關係管理部:客服團隊 POS/OMO</v>
      </c>
      <c r="I226" s="41" t="str">
        <f>IFERROR(__xludf.DUMMYFUNCTION("""COMPUTED_VALUE"""),"資訊裝置")</f>
        <v>資訊裝置</v>
      </c>
      <c r="J226" s="41" t="str">
        <f>IFERROR(__xludf.DUMMYFUNCTION("""COMPUTED_VALUE"""),"AICHIP02105054")</f>
        <v>AICHIP02105054</v>
      </c>
      <c r="K226" s="41" t="str">
        <f>IFERROR(__xludf.DUMMYFUNCTION("""COMPUTED_VALUE"""),"iPad")</f>
        <v>iPad</v>
      </c>
      <c r="L226" s="41" t="str">
        <f>IFERROR(__xludf.DUMMYFUNCTION("""COMPUTED_VALUE"""),"DMPCPX4MMF3M")</f>
        <v>DMPCPX4MMF3M</v>
      </c>
      <c r="M226" s="41" t="str">
        <f>IFERROR(__xludf.DUMMYFUNCTION("""COMPUTED_VALUE"""),"蔡仲惠")</f>
        <v>蔡仲惠</v>
      </c>
      <c r="N226" s="65">
        <f>IFERROR(__xludf.DUMMYFUNCTION("""COMPUTED_VALUE"""),44327.0)</f>
        <v>44327</v>
      </c>
      <c r="O226" s="45">
        <f>IFERROR(__xludf.DUMMYFUNCTION("""COMPUTED_VALUE"""),8640.0)</f>
        <v>8640</v>
      </c>
      <c r="P226" s="41" t="str">
        <f>IFERROR(__xludf.DUMMYFUNCTION("""COMPUTED_VALUE"""),"資訊裝置")</f>
        <v>資訊裝置</v>
      </c>
      <c r="Q226" s="41">
        <f>IFERROR(__xludf.DUMMYFUNCTION("""COMPUTED_VALUE"""),36.0)</f>
        <v>36</v>
      </c>
      <c r="R226" s="41">
        <f>IFERROR(__xludf.DUMMYFUNCTION("""COMPUTED_VALUE"""),36.0)</f>
        <v>36</v>
      </c>
      <c r="S226" s="41" t="str">
        <f>IFERROR(__xludf.DUMMYFUNCTION("""COMPUTED_VALUE"""),"NT$8,640")</f>
        <v>NT$8,640</v>
      </c>
      <c r="T226" s="41" t="str">
        <f>IFERROR(__xludf.DUMMYFUNCTION("""COMPUTED_VALUE"""),"iPad (第七代) 32GB WIFI(MW742TA/A)")</f>
        <v>iPad (第七代) 32GB WIFI(MW742TA/A)</v>
      </c>
      <c r="U226" s="41"/>
      <c r="V226" s="41"/>
      <c r="W226" s="41"/>
      <c r="X226" s="45" t="str">
        <f>IFERROR(__xludf.DUMMYFUNCTION("""COMPUTED_VALUE"""),"")</f>
        <v/>
      </c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</row>
    <row r="227">
      <c r="B227" s="41"/>
      <c r="C227" s="41" t="str">
        <f>IFERROR(__xludf.DUMMYFUNCTION("""COMPUTED_VALUE"""),"滿三年更換")</f>
        <v>滿三年更換</v>
      </c>
      <c r="D227" s="41" t="str">
        <f>IFERROR(__xludf.DUMMYFUNCTION("""COMPUTED_VALUE"""),"TW")</f>
        <v>TW</v>
      </c>
      <c r="E227" s="41"/>
      <c r="F227" s="41"/>
      <c r="G227" s="41"/>
      <c r="H227" s="65" t="str">
        <f>IFERROR(__xludf.DUMMYFUNCTION("""COMPUTED_VALUE"""),"客戶價值中心:客戶關係管理部:客服團隊 POS/OMO")</f>
        <v>客戶價值中心:客戶關係管理部:客服團隊 POS/OMO</v>
      </c>
      <c r="I227" s="41" t="str">
        <f>IFERROR(__xludf.DUMMYFUNCTION("""COMPUTED_VALUE"""),"資訊裝置")</f>
        <v>資訊裝置</v>
      </c>
      <c r="J227" s="41" t="str">
        <f>IFERROR(__xludf.DUMMYFUNCTION("""COMPUTED_VALUE"""),"AICHMN01604016")</f>
        <v>AICHMN01604016</v>
      </c>
      <c r="K227" s="41" t="str">
        <f>IFERROR(__xludf.DUMMYFUNCTION("""COMPUTED_VALUE"""),"螢幕")</f>
        <v>螢幕</v>
      </c>
      <c r="L227" s="41" t="str">
        <f>IFERROR(__xludf.DUMMYFUNCTION("""COMPUTED_VALUE"""),"CN-03W9XD-74261-31A-1TES")</f>
        <v>CN-03W9XD-74261-31A-1TES</v>
      </c>
      <c r="M227" s="41" t="str">
        <f>IFERROR(__xludf.DUMMYFUNCTION("""COMPUTED_VALUE"""),"蔡仲惠")</f>
        <v>蔡仲惠</v>
      </c>
      <c r="N227" s="65">
        <f>IFERROR(__xludf.DUMMYFUNCTION("""COMPUTED_VALUE"""),42468.0)</f>
        <v>42468</v>
      </c>
      <c r="O227" s="41"/>
      <c r="P227" s="41" t="str">
        <f>IFERROR(__xludf.DUMMYFUNCTION("""COMPUTED_VALUE"""),"資訊裝置")</f>
        <v>資訊裝置</v>
      </c>
      <c r="Q227" s="41">
        <f>IFERROR(__xludf.DUMMYFUNCTION("""COMPUTED_VALUE"""),36.0)</f>
        <v>36</v>
      </c>
      <c r="R227" s="41">
        <f>IFERROR(__xludf.DUMMYFUNCTION("""COMPUTED_VALUE"""),36.0)</f>
        <v>36</v>
      </c>
      <c r="S227" s="41" t="str">
        <f>IFERROR(__xludf.DUMMYFUNCTION("""COMPUTED_VALUE"""),"NT$0")</f>
        <v>NT$0</v>
      </c>
      <c r="T227" s="41" t="str">
        <f>IFERROR(__xludf.DUMMYFUNCTION("""COMPUTED_VALUE"""),"Dell 24吋 U2412Mb")</f>
        <v>Dell 24吋 U2412Mb</v>
      </c>
      <c r="U227" s="41"/>
      <c r="V227" s="41"/>
      <c r="W227" s="41"/>
      <c r="X227" s="45" t="str">
        <f>IFERROR(__xludf.DUMMYFUNCTION("""COMPUTED_VALUE"""),"")</f>
        <v/>
      </c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</row>
    <row r="228">
      <c r="B228" s="41"/>
      <c r="C228" s="41" t="str">
        <f>IFERROR(__xludf.DUMMYFUNCTION("""COMPUTED_VALUE"""),"滿三年更換")</f>
        <v>滿三年更換</v>
      </c>
      <c r="D228" s="41" t="str">
        <f>IFERROR(__xludf.DUMMYFUNCTION("""COMPUTED_VALUE"""),"TW")</f>
        <v>TW</v>
      </c>
      <c r="E228" s="41"/>
      <c r="F228" s="41"/>
      <c r="G228" s="41"/>
      <c r="H228" s="65" t="str">
        <f>IFERROR(__xludf.DUMMYFUNCTION("""COMPUTED_VALUE"""),"客戶價值中心:客戶成功管理部:客戶成功團隊 MS 總部/POS/OMO")</f>
        <v>客戶價值中心:客戶成功管理部:客戶成功團隊 MS 總部/POS/OMO</v>
      </c>
      <c r="I228" s="41" t="str">
        <f>IFERROR(__xludf.DUMMYFUNCTION("""COMPUTED_VALUE"""),"資訊裝置")</f>
        <v>資訊裝置</v>
      </c>
      <c r="J228" s="41" t="str">
        <f>IFERROR(__xludf.DUMMYFUNCTION("""COMPUTED_VALUE"""),"AICHMA02112043")</f>
        <v>AICHMA02112043</v>
      </c>
      <c r="K228" s="41" t="str">
        <f>IFERROR(__xludf.DUMMYFUNCTION("""COMPUTED_VALUE"""),"Macbook Air")</f>
        <v>Macbook Air</v>
      </c>
      <c r="L228" s="41" t="str">
        <f>IFERROR(__xludf.DUMMYFUNCTION("""COMPUTED_VALUE"""),"FVFGJ2F7Q6L4")</f>
        <v>FVFGJ2F7Q6L4</v>
      </c>
      <c r="M228" s="41" t="str">
        <f>IFERROR(__xludf.DUMMYFUNCTION("""COMPUTED_VALUE"""),"蔡佳玲")</f>
        <v>蔡佳玲</v>
      </c>
      <c r="N228" s="66">
        <f>IFERROR(__xludf.DUMMYFUNCTION("""COMPUTED_VALUE"""),44544.0)</f>
        <v>44544</v>
      </c>
      <c r="O228" s="45">
        <f>IFERROR(__xludf.DUMMYFUNCTION("""COMPUTED_VALUE"""),27075.0)</f>
        <v>27075</v>
      </c>
      <c r="P228" s="41" t="str">
        <f>IFERROR(__xludf.DUMMYFUNCTION("""COMPUTED_VALUE"""),"資訊裝置")</f>
        <v>資訊裝置</v>
      </c>
      <c r="Q228" s="41">
        <f>IFERROR(__xludf.DUMMYFUNCTION("""COMPUTED_VALUE"""),36.0)</f>
        <v>36</v>
      </c>
      <c r="R228" s="41">
        <f>IFERROR(__xludf.DUMMYFUNCTION("""COMPUTED_VALUE"""),36.0)</f>
        <v>36</v>
      </c>
      <c r="S228" s="41" t="str">
        <f>IFERROR(__xludf.DUMMYFUNCTION("""COMPUTED_VALUE"""),"NT$27,075")</f>
        <v>NT$27,075</v>
      </c>
      <c r="T228" s="41" t="str">
        <f>IFERROR(__xludf.DUMMYFUNCTION("""COMPUTED_VALUE"""),"A2337 MBA13 (2020) M1/8GBRAM/256GBSSD(MGN63TA/A)/電池44正常")</f>
        <v>A2337 MBA13 (2020) M1/8GBRAM/256GBSSD(MGN63TA/A)/電池44正常</v>
      </c>
      <c r="U228" s="41"/>
      <c r="V228" s="41"/>
      <c r="W228" s="41"/>
      <c r="X228" s="45" t="str">
        <f>IFERROR(__xludf.DUMMYFUNCTION("""COMPUTED_VALUE"""),"")</f>
        <v/>
      </c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</row>
    <row r="229">
      <c r="B229" s="41"/>
      <c r="C229" s="41" t="str">
        <f>IFERROR(__xludf.DUMMYFUNCTION("""COMPUTED_VALUE"""),"滿三年更換")</f>
        <v>滿三年更換</v>
      </c>
      <c r="D229" s="41" t="str">
        <f>IFERROR(__xludf.DUMMYFUNCTION("""COMPUTED_VALUE"""),"TW")</f>
        <v>TW</v>
      </c>
      <c r="E229" s="41"/>
      <c r="F229" s="41"/>
      <c r="G229" s="41"/>
      <c r="H229" s="65" t="str">
        <f>IFERROR(__xludf.DUMMYFUNCTION("""COMPUTED_VALUE"""),"客戶價值中心:客戶成功管理部:客戶成功團隊 MS 總部/POS/OMO")</f>
        <v>客戶價值中心:客戶成功管理部:客戶成功團隊 MS 總部/POS/OMO</v>
      </c>
      <c r="I229" s="41" t="str">
        <f>IFERROR(__xludf.DUMMYFUNCTION("""COMPUTED_VALUE"""),"資訊裝置")</f>
        <v>資訊裝置</v>
      </c>
      <c r="J229" s="41" t="str">
        <f>IFERROR(__xludf.DUMMYFUNCTION("""COMPUTED_VALUE"""),"AICHIP02106064")</f>
        <v>AICHIP02106064</v>
      </c>
      <c r="K229" s="41" t="str">
        <f>IFERROR(__xludf.DUMMYFUNCTION("""COMPUTED_VALUE"""),"iPad")</f>
        <v>iPad</v>
      </c>
      <c r="L229" s="41" t="str">
        <f>IFERROR(__xludf.DUMMYFUNCTION("""COMPUTED_VALUE"""),"F9FFN1MEQ1GD")</f>
        <v>F9FFN1MEQ1GD</v>
      </c>
      <c r="M229" s="41" t="str">
        <f>IFERROR(__xludf.DUMMYFUNCTION("""COMPUTED_VALUE"""),"蔡佳玲")</f>
        <v>蔡佳玲</v>
      </c>
      <c r="N229" s="65">
        <f>IFERROR(__xludf.DUMMYFUNCTION("""COMPUTED_VALUE"""),44371.0)</f>
        <v>44371</v>
      </c>
      <c r="O229" s="45">
        <f>IFERROR(__xludf.DUMMYFUNCTION("""COMPUTED_VALUE"""),9450.0)</f>
        <v>9450</v>
      </c>
      <c r="P229" s="41" t="str">
        <f>IFERROR(__xludf.DUMMYFUNCTION("""COMPUTED_VALUE"""),"資訊裝置")</f>
        <v>資訊裝置</v>
      </c>
      <c r="Q229" s="41">
        <f>IFERROR(__xludf.DUMMYFUNCTION("""COMPUTED_VALUE"""),36.0)</f>
        <v>36</v>
      </c>
      <c r="R229" s="41">
        <f>IFERROR(__xludf.DUMMYFUNCTION("""COMPUTED_VALUE"""),36.0)</f>
        <v>36</v>
      </c>
      <c r="S229" s="41" t="str">
        <f>IFERROR(__xludf.DUMMYFUNCTION("""COMPUTED_VALUE"""),"NT$9,450")</f>
        <v>NT$9,450</v>
      </c>
      <c r="T229" s="41" t="str">
        <f>IFERROR(__xludf.DUMMYFUNCTION("""COMPUTED_VALUE"""),"iPad (第八代) WI-FI 32GB(MYLA2TA/A)")</f>
        <v>iPad (第八代) WI-FI 32GB(MYLA2TA/A)</v>
      </c>
      <c r="U229" s="41"/>
      <c r="V229" s="41"/>
      <c r="W229" s="41"/>
      <c r="X229" s="45" t="str">
        <f>IFERROR(__xludf.DUMMYFUNCTION("""COMPUTED_VALUE"""),"")</f>
        <v/>
      </c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</row>
    <row r="230">
      <c r="B230" s="41"/>
      <c r="C230" s="41" t="str">
        <f>IFERROR(__xludf.DUMMYFUNCTION("""COMPUTED_VALUE"""),"滿三年更換")</f>
        <v>滿三年更換</v>
      </c>
      <c r="D230" s="41" t="str">
        <f>IFERROR(__xludf.DUMMYFUNCTION("""COMPUTED_VALUE"""),"TW")</f>
        <v>TW</v>
      </c>
      <c r="E230" s="41"/>
      <c r="F230" s="41"/>
      <c r="G230" s="41"/>
      <c r="H230" s="65" t="str">
        <f>IFERROR(__xludf.DUMMYFUNCTION("""COMPUTED_VALUE"""),"研發中心:產品設計部:產品經理團隊")</f>
        <v>研發中心:產品設計部:產品經理團隊</v>
      </c>
      <c r="I230" s="41" t="str">
        <f>IFERROR(__xludf.DUMMYFUNCTION("""COMPUTED_VALUE"""),"資訊裝置")</f>
        <v>資訊裝置</v>
      </c>
      <c r="J230" s="41" t="str">
        <f>IFERROR(__xludf.DUMMYFUNCTION("""COMPUTED_VALUE"""),"AICHMP02108036")</f>
        <v>AICHMP02108036</v>
      </c>
      <c r="K230" s="41" t="str">
        <f>IFERROR(__xludf.DUMMYFUNCTION("""COMPUTED_VALUE"""),"Macbook Pro")</f>
        <v>Macbook Pro</v>
      </c>
      <c r="L230" s="41" t="str">
        <f>IFERROR(__xludf.DUMMYFUNCTION("""COMPUTED_VALUE"""),"C02G44M2Q05N")</f>
        <v>C02G44M2Q05N</v>
      </c>
      <c r="M230" s="41" t="str">
        <f>IFERROR(__xludf.DUMMYFUNCTION("""COMPUTED_VALUE"""),"蔡依伶")</f>
        <v>蔡依伶</v>
      </c>
      <c r="N230" s="65">
        <f>IFERROR(__xludf.DUMMYFUNCTION("""COMPUTED_VALUE"""),44414.0)</f>
        <v>44414</v>
      </c>
      <c r="O230" s="45">
        <f>IFERROR(__xludf.DUMMYFUNCTION("""COMPUTED_VALUE"""),40300.0)</f>
        <v>40300</v>
      </c>
      <c r="P230" s="41" t="str">
        <f>IFERROR(__xludf.DUMMYFUNCTION("""COMPUTED_VALUE"""),"資訊裝置")</f>
        <v>資訊裝置</v>
      </c>
      <c r="Q230" s="41">
        <f>IFERROR(__xludf.DUMMYFUNCTION("""COMPUTED_VALUE"""),36.0)</f>
        <v>36</v>
      </c>
      <c r="R230" s="41">
        <f>IFERROR(__xludf.DUMMYFUNCTION("""COMPUTED_VALUE"""),36.0)</f>
        <v>36</v>
      </c>
      <c r="S230" s="41" t="str">
        <f>IFERROR(__xludf.DUMMYFUNCTION("""COMPUTED_VALUE"""),"NT$40,300")</f>
        <v>NT$40,300</v>
      </c>
      <c r="T230" s="41" t="str">
        <f>IFERROR(__xludf.DUMMYFUNCTION("""COMPUTED_VALUE"""),"MBP13 (2020) M1/16GBRAM/256GBSSD")</f>
        <v>MBP13 (2020) M1/16GBRAM/256GBSSD</v>
      </c>
      <c r="U230" s="41"/>
      <c r="V230" s="41"/>
      <c r="W230" s="41"/>
      <c r="X230" s="45" t="str">
        <f>IFERROR(__xludf.DUMMYFUNCTION("""COMPUTED_VALUE"""),"")</f>
        <v/>
      </c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</row>
    <row r="231">
      <c r="B231" s="41"/>
      <c r="C231" s="41" t="str">
        <f>IFERROR(__xludf.DUMMYFUNCTION("""COMPUTED_VALUE"""),"滿三年更換")</f>
        <v>滿三年更換</v>
      </c>
      <c r="D231" s="41" t="str">
        <f>IFERROR(__xludf.DUMMYFUNCTION("""COMPUTED_VALUE"""),"TW")</f>
        <v>TW</v>
      </c>
      <c r="E231" s="41"/>
      <c r="F231" s="41"/>
      <c r="G231" s="41"/>
      <c r="H231" s="65" t="str">
        <f>IFERROR(__xludf.DUMMYFUNCTION("""COMPUTED_VALUE"""),"研發中心:產品設計部:產品經理團隊")</f>
        <v>研發中心:產品設計部:產品經理團隊</v>
      </c>
      <c r="I231" s="41" t="str">
        <f>IFERROR(__xludf.DUMMYFUNCTION("""COMPUTED_VALUE"""),"資訊裝置")</f>
        <v>資訊裝置</v>
      </c>
      <c r="J231" s="41" t="str">
        <f>IFERROR(__xludf.DUMMYFUNCTION("""COMPUTED_VALUE"""),"AICHIP02107068")</f>
        <v>AICHIP02107068</v>
      </c>
      <c r="K231" s="41" t="str">
        <f>IFERROR(__xludf.DUMMYFUNCTION("""COMPUTED_VALUE"""),"iPad")</f>
        <v>iPad</v>
      </c>
      <c r="L231" s="41" t="str">
        <f>IFERROR(__xludf.DUMMYFUNCTION("""COMPUTED_VALUE"""),"F9FFT3NDQ1GD")</f>
        <v>F9FFT3NDQ1GD</v>
      </c>
      <c r="M231" s="41" t="str">
        <f>IFERROR(__xludf.DUMMYFUNCTION("""COMPUTED_VALUE"""),"蔡依伶")</f>
        <v>蔡依伶</v>
      </c>
      <c r="N231" s="65">
        <f>IFERROR(__xludf.DUMMYFUNCTION("""COMPUTED_VALUE"""),44398.0)</f>
        <v>44398</v>
      </c>
      <c r="O231" s="45">
        <f>IFERROR(__xludf.DUMMYFUNCTION("""COMPUTED_VALUE"""),9450.0)</f>
        <v>9450</v>
      </c>
      <c r="P231" s="41" t="str">
        <f>IFERROR(__xludf.DUMMYFUNCTION("""COMPUTED_VALUE"""),"資訊裝置")</f>
        <v>資訊裝置</v>
      </c>
      <c r="Q231" s="41">
        <f>IFERROR(__xludf.DUMMYFUNCTION("""COMPUTED_VALUE"""),36.0)</f>
        <v>36</v>
      </c>
      <c r="R231" s="41">
        <f>IFERROR(__xludf.DUMMYFUNCTION("""COMPUTED_VALUE"""),36.0)</f>
        <v>36</v>
      </c>
      <c r="S231" s="41" t="str">
        <f>IFERROR(__xludf.DUMMYFUNCTION("""COMPUTED_VALUE"""),"NT$9,450")</f>
        <v>NT$9,450</v>
      </c>
      <c r="T231" s="41" t="str">
        <f>IFERROR(__xludf.DUMMYFUNCTION("""COMPUTED_VALUE"""),"iPad (第八代) WI-FI 32GB(MYLA2TA/A)")</f>
        <v>iPad (第八代) WI-FI 32GB(MYLA2TA/A)</v>
      </c>
      <c r="U231" s="41"/>
      <c r="V231" s="41"/>
      <c r="W231" s="41"/>
      <c r="X231" s="45" t="str">
        <f>IFERROR(__xludf.DUMMYFUNCTION("""COMPUTED_VALUE"""),"")</f>
        <v/>
      </c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</row>
    <row r="232">
      <c r="B232" s="41"/>
      <c r="C232" s="41" t="str">
        <f>IFERROR(__xludf.DUMMYFUNCTION("""COMPUTED_VALUE"""),"滿三年更換")</f>
        <v>滿三年更換</v>
      </c>
      <c r="D232" s="41" t="str">
        <f>IFERROR(__xludf.DUMMYFUNCTION("""COMPUTED_VALUE"""),"TW")</f>
        <v>TW</v>
      </c>
      <c r="E232" s="41"/>
      <c r="F232" s="41"/>
      <c r="G232" s="41"/>
      <c r="H232" s="65" t="str">
        <f>IFERROR(__xludf.DUMMYFUNCTION("""COMPUTED_VALUE"""),"行銷營運中心:產品行銷部:數位行銷團隊")</f>
        <v>行銷營運中心:產品行銷部:數位行銷團隊</v>
      </c>
      <c r="I232" s="41" t="str">
        <f>IFERROR(__xludf.DUMMYFUNCTION("""COMPUTED_VALUE"""),"資訊裝置")</f>
        <v>資訊裝置</v>
      </c>
      <c r="J232" s="41" t="str">
        <f>IFERROR(__xludf.DUMMYFUNCTION("""COMPUTED_VALUE"""),"AICHMN01705039")</f>
        <v>AICHMN01705039</v>
      </c>
      <c r="K232" s="41" t="str">
        <f>IFERROR(__xludf.DUMMYFUNCTION("""COMPUTED_VALUE"""),"螢幕")</f>
        <v>螢幕</v>
      </c>
      <c r="L232" s="41" t="str">
        <f>IFERROR(__xludf.DUMMYFUNCTION("""COMPUTED_VALUE"""),"CN-07N2FG-TV100-83M-04AS-A07")</f>
        <v>CN-07N2FG-TV100-83M-04AS-A07</v>
      </c>
      <c r="M232" s="41" t="str">
        <f>IFERROR(__xludf.DUMMYFUNCTION("""COMPUTED_VALUE"""),"蔡承芳")</f>
        <v>蔡承芳</v>
      </c>
      <c r="N232" s="65">
        <f>IFERROR(__xludf.DUMMYFUNCTION("""COMPUTED_VALUE"""),43245.0)</f>
        <v>43245</v>
      </c>
      <c r="O232" s="41"/>
      <c r="P232" s="41" t="str">
        <f>IFERROR(__xludf.DUMMYFUNCTION("""COMPUTED_VALUE"""),"資訊裝置")</f>
        <v>資訊裝置</v>
      </c>
      <c r="Q232" s="41">
        <f>IFERROR(__xludf.DUMMYFUNCTION("""COMPUTED_VALUE"""),36.0)</f>
        <v>36</v>
      </c>
      <c r="R232" s="41">
        <f>IFERROR(__xludf.DUMMYFUNCTION("""COMPUTED_VALUE"""),36.0)</f>
        <v>36</v>
      </c>
      <c r="S232" s="41" t="str">
        <f>IFERROR(__xludf.DUMMYFUNCTION("""COMPUTED_VALUE"""),"NT$0")</f>
        <v>NT$0</v>
      </c>
      <c r="T232" s="41" t="str">
        <f>IFERROR(__xludf.DUMMYFUNCTION("""COMPUTED_VALUE"""),"Dell 24吋 U2412Mc")</f>
        <v>Dell 24吋 U2412Mc</v>
      </c>
      <c r="U232" s="41"/>
      <c r="V232" s="41"/>
      <c r="W232" s="41"/>
      <c r="X232" s="45" t="str">
        <f>IFERROR(__xludf.DUMMYFUNCTION("""COMPUTED_VALUE"""),"")</f>
        <v/>
      </c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</row>
    <row r="233">
      <c r="B233" s="41"/>
      <c r="C233" s="41" t="str">
        <f>IFERROR(__xludf.DUMMYFUNCTION("""COMPUTED_VALUE"""),"滿三年更換")</f>
        <v>滿三年更換</v>
      </c>
      <c r="D233" s="41" t="str">
        <f>IFERROR(__xludf.DUMMYFUNCTION("""COMPUTED_VALUE"""),"TW")</f>
        <v>TW</v>
      </c>
      <c r="E233" s="41"/>
      <c r="F233" s="41"/>
      <c r="G233" s="41"/>
      <c r="H233" s="65" t="str">
        <f>IFERROR(__xludf.DUMMYFUNCTION("""COMPUTED_VALUE"""),"行銷營運中心:銷售營運部:線上開發團隊")</f>
        <v>行銷營運中心:銷售營運部:線上開發團隊</v>
      </c>
      <c r="I233" s="41" t="str">
        <f>IFERROR(__xludf.DUMMYFUNCTION("""COMPUTED_VALUE"""),"資訊裝置")</f>
        <v>資訊裝置</v>
      </c>
      <c r="J233" s="41" t="str">
        <f>IFERROR(__xludf.DUMMYFUNCTION("""COMPUTED_VALUE"""),"AICHMA02209049")</f>
        <v>AICHMA02209049</v>
      </c>
      <c r="K233" s="41" t="str">
        <f>IFERROR(__xludf.DUMMYFUNCTION("""COMPUTED_VALUE"""),"Macbook Air")</f>
        <v>Macbook Air</v>
      </c>
      <c r="L233" s="41" t="str">
        <f>IFERROR(__xludf.DUMMYFUNCTION("""COMPUTED_VALUE"""),"FVFJC0651WG7")</f>
        <v>FVFJC0651WG7</v>
      </c>
      <c r="M233" s="41" t="str">
        <f>IFERROR(__xludf.DUMMYFUNCTION("""COMPUTED_VALUE"""),"蔡於蓉")</f>
        <v>蔡於蓉</v>
      </c>
      <c r="N233" s="65">
        <f>IFERROR(__xludf.DUMMYFUNCTION("""COMPUTED_VALUE"""),44819.0)</f>
        <v>44819</v>
      </c>
      <c r="O233" s="45">
        <f>IFERROR(__xludf.DUMMYFUNCTION("""COMPUTED_VALUE"""),32400.0)</f>
        <v>32400</v>
      </c>
      <c r="P233" s="41" t="str">
        <f>IFERROR(__xludf.DUMMYFUNCTION("""COMPUTED_VALUE"""),"資訊裝置")</f>
        <v>資訊裝置</v>
      </c>
      <c r="Q233" s="41">
        <f>IFERROR(__xludf.DUMMYFUNCTION("""COMPUTED_VALUE"""),36.0)</f>
        <v>36</v>
      </c>
      <c r="R233" s="41">
        <f>IFERROR(__xludf.DUMMYFUNCTION("""COMPUTED_VALUE"""),37.0)</f>
        <v>37</v>
      </c>
      <c r="S233" s="41" t="str">
        <f>IFERROR(__xludf.DUMMYFUNCTION("""COMPUTED_VALUE"""),"NT$33,300")</f>
        <v>NT$33,300</v>
      </c>
      <c r="T233" s="41" t="str">
        <f>IFERROR(__xludf.DUMMYFUNCTION("""COMPUTED_VALUE"""),"A2337 MBA13 (2020) M1/16GBRAM/256GBSSD")</f>
        <v>A2337 MBA13 (2020) M1/16GBRAM/256GBSSD</v>
      </c>
      <c r="U233" s="41"/>
      <c r="V233" s="41"/>
      <c r="W233" s="41"/>
      <c r="X233" s="45" t="str">
        <f>IFERROR(__xludf.DUMMYFUNCTION("""COMPUTED_VALUE"""),"")</f>
        <v/>
      </c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</row>
    <row r="234">
      <c r="B234" s="41"/>
      <c r="C234" s="41" t="str">
        <f>IFERROR(__xludf.DUMMYFUNCTION("""COMPUTED_VALUE"""),"滿三年更換")</f>
        <v>滿三年更換</v>
      </c>
      <c r="D234" s="41" t="str">
        <f>IFERROR(__xludf.DUMMYFUNCTION("""COMPUTED_VALUE"""),"TW")</f>
        <v>TW</v>
      </c>
      <c r="E234" s="41"/>
      <c r="F234" s="41"/>
      <c r="G234" s="41"/>
      <c r="H234" s="65" t="str">
        <f>IFERROR(__xludf.DUMMYFUNCTION("""COMPUTED_VALUE"""),"行銷營運中心:銷售營運部:線上開發團隊")</f>
        <v>行銷營運中心:銷售營運部:線上開發團隊</v>
      </c>
      <c r="I234" s="41" t="str">
        <f>IFERROR(__xludf.DUMMYFUNCTION("""COMPUTED_VALUE"""),"資訊裝置")</f>
        <v>資訊裝置</v>
      </c>
      <c r="J234" s="41" t="str">
        <f>IFERROR(__xludf.DUMMYFUNCTION("""COMPUTED_VALUE"""),"AICHIP02006025")</f>
        <v>AICHIP02006025</v>
      </c>
      <c r="K234" s="41" t="str">
        <f>IFERROR(__xludf.DUMMYFUNCTION("""COMPUTED_VALUE"""),"iPad")</f>
        <v>iPad</v>
      </c>
      <c r="L234" s="41" t="str">
        <f>IFERROR(__xludf.DUMMYFUNCTION("""COMPUTED_VALUE"""),"DMPCPDTHMF3P")</f>
        <v>DMPCPDTHMF3P</v>
      </c>
      <c r="M234" s="41" t="str">
        <f>IFERROR(__xludf.DUMMYFUNCTION("""COMPUTED_VALUE"""),"蔡於蓉")</f>
        <v>蔡於蓉</v>
      </c>
      <c r="N234" s="65">
        <f>IFERROR(__xludf.DUMMYFUNCTION("""COMPUTED_VALUE"""),43985.0)</f>
        <v>43985</v>
      </c>
      <c r="O234" s="45">
        <f>IFERROR(__xludf.DUMMYFUNCTION("""COMPUTED_VALUE"""),9800.0)</f>
        <v>9800</v>
      </c>
      <c r="P234" s="41" t="str">
        <f>IFERROR(__xludf.DUMMYFUNCTION("""COMPUTED_VALUE"""),"資訊裝置")</f>
        <v>資訊裝置</v>
      </c>
      <c r="Q234" s="41">
        <f>IFERROR(__xludf.DUMMYFUNCTION("""COMPUTED_VALUE"""),36.0)</f>
        <v>36</v>
      </c>
      <c r="R234" s="41">
        <f>IFERROR(__xludf.DUMMYFUNCTION("""COMPUTED_VALUE"""),36.0)</f>
        <v>36</v>
      </c>
      <c r="S234" s="41" t="str">
        <f>IFERROR(__xludf.DUMMYFUNCTION("""COMPUTED_VALUE"""),"NT$9,800")</f>
        <v>NT$9,800</v>
      </c>
      <c r="T234" s="41" t="str">
        <f>IFERROR(__xludf.DUMMYFUNCTION("""COMPUTED_VALUE"""),"iPad (第七代) 32GB WIFI(A2197)")</f>
        <v>iPad (第七代) 32GB WIFI(A2197)</v>
      </c>
      <c r="U234" s="41"/>
      <c r="V234" s="41"/>
      <c r="W234" s="41"/>
      <c r="X234" s="45" t="str">
        <f>IFERROR(__xludf.DUMMYFUNCTION("""COMPUTED_VALUE"""),"")</f>
        <v/>
      </c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</row>
    <row r="235">
      <c r="B235" s="41"/>
      <c r="C235" s="41" t="str">
        <f>IFERROR(__xludf.DUMMYFUNCTION("""COMPUTED_VALUE"""),"滿三年更換")</f>
        <v>滿三年更換</v>
      </c>
      <c r="D235" s="41" t="str">
        <f>IFERROR(__xludf.DUMMYFUNCTION("""COMPUTED_VALUE"""),"TW")</f>
        <v>TW</v>
      </c>
      <c r="E235" s="41"/>
      <c r="F235" s="41"/>
      <c r="G235" s="41"/>
      <c r="H235" s="65" t="str">
        <f>IFERROR(__xludf.DUMMYFUNCTION("""COMPUTED_VALUE"""),"行銷營運中心:銷售營運部:線上開發團隊")</f>
        <v>行銷營運中心:銷售營運部:線上開發團隊</v>
      </c>
      <c r="I235" s="41" t="str">
        <f>IFERROR(__xludf.DUMMYFUNCTION("""COMPUTED_VALUE"""),"資訊裝置")</f>
        <v>資訊裝置</v>
      </c>
      <c r="J235" s="41" t="str">
        <f>IFERROR(__xludf.DUMMYFUNCTION("""COMPUTED_VALUE"""),"AICHMN02108106")</f>
        <v>AICHMN02108106</v>
      </c>
      <c r="K235" s="41" t="str">
        <f>IFERROR(__xludf.DUMMYFUNCTION("""COMPUTED_VALUE"""),"螢幕")</f>
        <v>螢幕</v>
      </c>
      <c r="L235" s="41" t="str">
        <f>IFERROR(__xludf.DUMMYFUNCTION("""COMPUTED_VALUE"""),"CN-0458FC-WSL00-16M-022B-A04")</f>
        <v>CN-0458FC-WSL00-16M-022B-A04</v>
      </c>
      <c r="M235" s="41" t="str">
        <f>IFERROR(__xludf.DUMMYFUNCTION("""COMPUTED_VALUE"""),"蔡於蓉")</f>
        <v>蔡於蓉</v>
      </c>
      <c r="N235" s="65">
        <f>IFERROR(__xludf.DUMMYFUNCTION("""COMPUTED_VALUE"""),44418.0)</f>
        <v>44418</v>
      </c>
      <c r="O235" s="45">
        <f>IFERROR(__xludf.DUMMYFUNCTION("""COMPUTED_VALUE"""),5417.0)</f>
        <v>5417</v>
      </c>
      <c r="P235" s="41" t="str">
        <f>IFERROR(__xludf.DUMMYFUNCTION("""COMPUTED_VALUE"""),"資訊裝置")</f>
        <v>資訊裝置</v>
      </c>
      <c r="Q235" s="41">
        <f>IFERROR(__xludf.DUMMYFUNCTION("""COMPUTED_VALUE"""),36.0)</f>
        <v>36</v>
      </c>
      <c r="R235" s="41">
        <f>IFERROR(__xludf.DUMMYFUNCTION("""COMPUTED_VALUE"""),36.0)</f>
        <v>36</v>
      </c>
      <c r="S235" s="41" t="str">
        <f>IFERROR(__xludf.DUMMYFUNCTION("""COMPUTED_VALUE"""),"NT$5,417")</f>
        <v>NT$5,417</v>
      </c>
      <c r="T235" s="41" t="str">
        <f>IFERROR(__xludf.DUMMYFUNCTION("""COMPUTED_VALUE"""),"Dell 24吋 S2412HSX")</f>
        <v>Dell 24吋 S2412HSX</v>
      </c>
      <c r="U235" s="41"/>
      <c r="V235" s="41"/>
      <c r="W235" s="41"/>
      <c r="X235" s="45" t="str">
        <f>IFERROR(__xludf.DUMMYFUNCTION("""COMPUTED_VALUE"""),"")</f>
        <v/>
      </c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</row>
    <row r="236">
      <c r="B236" s="41"/>
      <c r="C236" s="41" t="str">
        <f>IFERROR(__xludf.DUMMYFUNCTION("""COMPUTED_VALUE"""),"滿三年更換")</f>
        <v>滿三年更換</v>
      </c>
      <c r="D236" s="41" t="str">
        <f>IFERROR(__xludf.DUMMYFUNCTION("""COMPUTED_VALUE"""),"TW")</f>
        <v>TW</v>
      </c>
      <c r="E236" s="41"/>
      <c r="F236" s="41"/>
      <c r="G236" s="41"/>
      <c r="H236" s="65" t="str">
        <f>IFERROR(__xludf.DUMMYFUNCTION("""COMPUTED_VALUE"""),"行銷營運中心:社群關係部:餐廳社群團隊")</f>
        <v>行銷營運中心:社群關係部:餐廳社群團隊</v>
      </c>
      <c r="I236" s="41" t="str">
        <f>IFERROR(__xludf.DUMMYFUNCTION("""COMPUTED_VALUE"""),"資訊裝置")</f>
        <v>資訊裝置</v>
      </c>
      <c r="J236" s="41" t="str">
        <f>IFERROR(__xludf.DUMMYFUNCTION("""COMPUTED_VALUE"""),"AICHMN01604023")</f>
        <v>AICHMN01604023</v>
      </c>
      <c r="K236" s="41" t="str">
        <f>IFERROR(__xludf.DUMMYFUNCTION("""COMPUTED_VALUE"""),"螢幕")</f>
        <v>螢幕</v>
      </c>
      <c r="L236" s="41" t="str">
        <f>IFERROR(__xludf.DUMMYFUNCTION("""COMPUTED_VALUE"""),"CN-0MTYGK-64180-61T-04CL-A02")</f>
        <v>CN-0MTYGK-64180-61T-04CL-A02</v>
      </c>
      <c r="M236" s="41" t="str">
        <f>IFERROR(__xludf.DUMMYFUNCTION("""COMPUTED_VALUE"""),"蔡育沛")</f>
        <v>蔡育沛</v>
      </c>
      <c r="N236" s="65">
        <f>IFERROR(__xludf.DUMMYFUNCTION("""COMPUTED_VALUE"""),42468.0)</f>
        <v>42468</v>
      </c>
      <c r="O236" s="41"/>
      <c r="P236" s="41" t="str">
        <f>IFERROR(__xludf.DUMMYFUNCTION("""COMPUTED_VALUE"""),"資訊裝置")</f>
        <v>資訊裝置</v>
      </c>
      <c r="Q236" s="41">
        <f>IFERROR(__xludf.DUMMYFUNCTION("""COMPUTED_VALUE"""),36.0)</f>
        <v>36</v>
      </c>
      <c r="R236" s="41">
        <f>IFERROR(__xludf.DUMMYFUNCTION("""COMPUTED_VALUE"""),36.0)</f>
        <v>36</v>
      </c>
      <c r="S236" s="41" t="str">
        <f>IFERROR(__xludf.DUMMYFUNCTION("""COMPUTED_VALUE"""),"NT$0")</f>
        <v>NT$0</v>
      </c>
      <c r="T236" s="41" t="str">
        <f>IFERROR(__xludf.DUMMYFUNCTION("""COMPUTED_VALUE"""),"Dell 24吋 U2412Mc")</f>
        <v>Dell 24吋 U2412Mc</v>
      </c>
      <c r="U236" s="41"/>
      <c r="V236" s="41"/>
      <c r="W236" s="41"/>
      <c r="X236" s="45" t="str">
        <f>IFERROR(__xludf.DUMMYFUNCTION("""COMPUTED_VALUE"""),"")</f>
        <v/>
      </c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</row>
    <row r="237">
      <c r="B237" s="41"/>
      <c r="C237" s="41" t="str">
        <f>IFERROR(__xludf.DUMMYFUNCTION("""COMPUTED_VALUE"""),"滿三年更換")</f>
        <v>滿三年更換</v>
      </c>
      <c r="D237" s="41" t="str">
        <f>IFERROR(__xludf.DUMMYFUNCTION("""COMPUTED_VALUE"""),"TW")</f>
        <v>TW</v>
      </c>
      <c r="E237" s="41"/>
      <c r="F237" s="41"/>
      <c r="G237" s="41"/>
      <c r="H237" s="41" t="str">
        <f>IFERROR(__xludf.DUMMYFUNCTION("""COMPUTED_VALUE"""),"研發中心:產品設計部")</f>
        <v>研發中心:產品設計部</v>
      </c>
      <c r="I237" s="41" t="str">
        <f>IFERROR(__xludf.DUMMYFUNCTION("""COMPUTED_VALUE"""),"資訊裝置")</f>
        <v>資訊裝置</v>
      </c>
      <c r="J237" s="41" t="str">
        <f>IFERROR(__xludf.DUMMYFUNCTION("""COMPUTED_VALUE"""),"AICHIP02102046")</f>
        <v>AICHIP02102046</v>
      </c>
      <c r="K237" s="41" t="str">
        <f>IFERROR(__xludf.DUMMYFUNCTION("""COMPUTED_VALUE"""),"iPad")</f>
        <v>iPad</v>
      </c>
      <c r="L237" s="41" t="str">
        <f>IFERROR(__xludf.DUMMYFUNCTION("""COMPUTED_VALUE"""),"DMPCW2VUMP2N")</f>
        <v>DMPCW2VUMP2N</v>
      </c>
      <c r="M237" s="41" t="str">
        <f>IFERROR(__xludf.DUMMYFUNCTION("""COMPUTED_VALUE"""),"鄧羽廷")</f>
        <v>鄧羽廷</v>
      </c>
      <c r="N237" s="65">
        <f>IFERROR(__xludf.DUMMYFUNCTION("""COMPUTED_VALUE"""),44236.0)</f>
        <v>44236</v>
      </c>
      <c r="O237" s="45">
        <f>IFERROR(__xludf.DUMMYFUNCTION("""COMPUTED_VALUE"""),11550.0)</f>
        <v>11550</v>
      </c>
      <c r="P237" s="41" t="str">
        <f>IFERROR(__xludf.DUMMYFUNCTION("""COMPUTED_VALUE"""),"資訊裝置")</f>
        <v>資訊裝置</v>
      </c>
      <c r="Q237" s="41">
        <f>IFERROR(__xludf.DUMMYFUNCTION("""COMPUTED_VALUE"""),36.0)</f>
        <v>36</v>
      </c>
      <c r="R237" s="41">
        <f>IFERROR(__xludf.DUMMYFUNCTION("""COMPUTED_VALUE"""),36.0)</f>
        <v>36</v>
      </c>
      <c r="S237" s="41" t="str">
        <f>IFERROR(__xludf.DUMMYFUNCTION("""COMPUTED_VALUE"""),"NT$11,550")</f>
        <v>NT$11,550</v>
      </c>
      <c r="T237" s="41" t="str">
        <f>IFERROR(__xludf.DUMMYFUNCTION("""COMPUTED_VALUE"""),"iPad (第七代) 32GB WiFi(A2197)")</f>
        <v>iPad (第七代) 32GB WiFi(A2197)</v>
      </c>
      <c r="U237" s="41"/>
      <c r="V237" s="41"/>
      <c r="W237" s="41"/>
      <c r="X237" s="45" t="str">
        <f>IFERROR(__xludf.DUMMYFUNCTION("""COMPUTED_VALUE"""),"")</f>
        <v/>
      </c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</row>
    <row r="238">
      <c r="B238" s="41"/>
      <c r="C238" s="41" t="str">
        <f>IFERROR(__xludf.DUMMYFUNCTION("""COMPUTED_VALUE"""),"滿三年更換")</f>
        <v>滿三年更換</v>
      </c>
      <c r="D238" s="41" t="str">
        <f>IFERROR(__xludf.DUMMYFUNCTION("""COMPUTED_VALUE"""),"TW")</f>
        <v>TW</v>
      </c>
      <c r="E238" s="41"/>
      <c r="F238" s="41"/>
      <c r="G238" s="41"/>
      <c r="H238" s="41" t="str">
        <f>IFERROR(__xludf.DUMMYFUNCTION("""COMPUTED_VALUE"""),"研發中心:產品設計部")</f>
        <v>研發中心:產品設計部</v>
      </c>
      <c r="I238" s="41" t="str">
        <f>IFERROR(__xludf.DUMMYFUNCTION("""COMPUTED_VALUE"""),"資訊裝置")</f>
        <v>資訊裝置</v>
      </c>
      <c r="J238" s="41" t="str">
        <f>IFERROR(__xludf.DUMMYFUNCTION("""COMPUTED_VALUE"""),"AICHMN02102094")</f>
        <v>AICHMN02102094</v>
      </c>
      <c r="K238" s="41" t="str">
        <f>IFERROR(__xludf.DUMMYFUNCTION("""COMPUTED_VALUE"""),"螢幕")</f>
        <v>螢幕</v>
      </c>
      <c r="L238" s="41" t="str">
        <f>IFERROR(__xludf.DUMMYFUNCTION("""COMPUTED_VALUE"""),"CN-0941GG-QDC00-0CL-854B-A13")</f>
        <v>CN-0941GG-QDC00-0CL-854B-A13</v>
      </c>
      <c r="M238" s="41" t="str">
        <f>IFERROR(__xludf.DUMMYFUNCTION("""COMPUTED_VALUE"""),"鄧羽廷")</f>
        <v>鄧羽廷</v>
      </c>
      <c r="N238" s="65">
        <f>IFERROR(__xludf.DUMMYFUNCTION("""COMPUTED_VALUE"""),44229.0)</f>
        <v>44229</v>
      </c>
      <c r="O238" s="41"/>
      <c r="P238" s="41" t="str">
        <f>IFERROR(__xludf.DUMMYFUNCTION("""COMPUTED_VALUE"""),"資訊裝置")</f>
        <v>資訊裝置</v>
      </c>
      <c r="Q238" s="41">
        <f>IFERROR(__xludf.DUMMYFUNCTION("""COMPUTED_VALUE"""),36.0)</f>
        <v>36</v>
      </c>
      <c r="R238" s="41">
        <f>IFERROR(__xludf.DUMMYFUNCTION("""COMPUTED_VALUE"""),36.0)</f>
        <v>36</v>
      </c>
      <c r="S238" s="41" t="str">
        <f>IFERROR(__xludf.DUMMYFUNCTION("""COMPUTED_VALUE"""),"NT$0")</f>
        <v>NT$0</v>
      </c>
      <c r="T238" s="41" t="str">
        <f>IFERROR(__xludf.DUMMYFUNCTION("""COMPUTED_VALUE"""),"Dell 24吋 P2419H")</f>
        <v>Dell 24吋 P2419H</v>
      </c>
      <c r="U238" s="41"/>
      <c r="V238" s="41"/>
      <c r="W238" s="41"/>
      <c r="X238" s="45" t="str">
        <f>IFERROR(__xludf.DUMMYFUNCTION("""COMPUTED_VALUE"""),"")</f>
        <v/>
      </c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</row>
    <row r="239">
      <c r="B239" s="41"/>
      <c r="C239" s="41" t="str">
        <f>IFERROR(__xludf.DUMMYFUNCTION("""COMPUTED_VALUE"""),"滿三年更換")</f>
        <v>滿三年更換</v>
      </c>
      <c r="D239" s="41" t="str">
        <f>IFERROR(__xludf.DUMMYFUNCTION("""COMPUTED_VALUE"""),"TW")</f>
        <v>TW</v>
      </c>
      <c r="E239" s="41"/>
      <c r="F239" s="41"/>
      <c r="G239" s="41"/>
      <c r="H239" s="65" t="str">
        <f>IFERROR(__xludf.DUMMYFUNCTION("""COMPUTED_VALUE"""),"研發中心:產品設計部:數據分析團隊")</f>
        <v>研發中心:產品設計部:數據分析團隊</v>
      </c>
      <c r="I239" s="41" t="str">
        <f>IFERROR(__xludf.DUMMYFUNCTION("""COMPUTED_VALUE"""),"資訊裝置")</f>
        <v>資訊裝置</v>
      </c>
      <c r="J239" s="41" t="str">
        <f>IFERROR(__xludf.DUMMYFUNCTION("""COMPUTED_VALUE"""),"AICHMN02009074")</f>
        <v>AICHMN02009074</v>
      </c>
      <c r="K239" s="41" t="str">
        <f>IFERROR(__xludf.DUMMYFUNCTION("""COMPUTED_VALUE"""),"螢幕")</f>
        <v>螢幕</v>
      </c>
      <c r="L239" s="41" t="str">
        <f>IFERROR(__xludf.DUMMYFUNCTION("""COMPUTED_VALUE"""),"CN-0Y2YF1-QDC00-07S-090S-A16")</f>
        <v>CN-0Y2YF1-QDC00-07S-090S-A16</v>
      </c>
      <c r="M239" s="41" t="str">
        <f>IFERROR(__xludf.DUMMYFUNCTION("""COMPUTED_VALUE"""),"鄭敏弘")</f>
        <v>鄭敏弘</v>
      </c>
      <c r="N239" s="65">
        <f>IFERROR(__xludf.DUMMYFUNCTION("""COMPUTED_VALUE"""),44097.0)</f>
        <v>44097</v>
      </c>
      <c r="O239" s="45">
        <f>IFERROR(__xludf.DUMMYFUNCTION("""COMPUTED_VALUE"""),9567.0)</f>
        <v>9567</v>
      </c>
      <c r="P239" s="41" t="str">
        <f>IFERROR(__xludf.DUMMYFUNCTION("""COMPUTED_VALUE"""),"資訊裝置")</f>
        <v>資訊裝置</v>
      </c>
      <c r="Q239" s="41">
        <f>IFERROR(__xludf.DUMMYFUNCTION("""COMPUTED_VALUE"""),36.0)</f>
        <v>36</v>
      </c>
      <c r="R239" s="41">
        <f>IFERROR(__xludf.DUMMYFUNCTION("""COMPUTED_VALUE"""),36.0)</f>
        <v>36</v>
      </c>
      <c r="S239" s="41" t="str">
        <f>IFERROR(__xludf.DUMMYFUNCTION("""COMPUTED_VALUE"""),"NT$9,567")</f>
        <v>NT$9,567</v>
      </c>
      <c r="T239" s="41" t="str">
        <f>IFERROR(__xludf.DUMMYFUNCTION("""COMPUTED_VALUE"""),"Dell 24吋 U2415")</f>
        <v>Dell 24吋 U2415</v>
      </c>
      <c r="U239" s="41"/>
      <c r="V239" s="41"/>
      <c r="W239" s="41"/>
      <c r="X239" s="45" t="str">
        <f>IFERROR(__xludf.DUMMYFUNCTION("""COMPUTED_VALUE"""),"")</f>
        <v/>
      </c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</row>
    <row r="240">
      <c r="B240" s="41"/>
      <c r="C240" s="41" t="str">
        <f>IFERROR(__xludf.DUMMYFUNCTION("""COMPUTED_VALUE"""),"滿三年更換")</f>
        <v>滿三年更換</v>
      </c>
      <c r="D240" s="41" t="str">
        <f>IFERROR(__xludf.DUMMYFUNCTION("""COMPUTED_VALUE"""),"TW")</f>
        <v>TW</v>
      </c>
      <c r="E240" s="41"/>
      <c r="F240" s="41"/>
      <c r="G240" s="41"/>
      <c r="H240" s="65" t="str">
        <f>IFERROR(__xludf.DUMMYFUNCTION("""COMPUTED_VALUE"""),"研發中心:產品設計部:數據分析團隊")</f>
        <v>研發中心:產品設計部:數據分析團隊</v>
      </c>
      <c r="I240" s="41" t="str">
        <f>IFERROR(__xludf.DUMMYFUNCTION("""COMPUTED_VALUE"""),"資訊裝置")</f>
        <v>資訊裝置</v>
      </c>
      <c r="J240" s="41" t="str">
        <f>IFERROR(__xludf.DUMMYFUNCTION("""COMPUTED_VALUE"""),"AICHMN02108100")</f>
        <v>AICHMN02108100</v>
      </c>
      <c r="K240" s="41" t="str">
        <f>IFERROR(__xludf.DUMMYFUNCTION("""COMPUTED_VALUE"""),"螢幕")</f>
        <v>螢幕</v>
      </c>
      <c r="L240" s="41" t="str">
        <f>IFERROR(__xludf.DUMMYFUNCTION("""COMPUTED_VALUE"""),"CN-0458FC-WSL00-163-016B-A04")</f>
        <v>CN-0458FC-WSL00-163-016B-A04</v>
      </c>
      <c r="M240" s="41" t="str">
        <f>IFERROR(__xludf.DUMMYFUNCTION("""COMPUTED_VALUE"""),"鄭敏弘")</f>
        <v>鄭敏弘</v>
      </c>
      <c r="N240" s="65">
        <f>IFERROR(__xludf.DUMMYFUNCTION("""COMPUTED_VALUE"""),44418.0)</f>
        <v>44418</v>
      </c>
      <c r="O240" s="45">
        <f>IFERROR(__xludf.DUMMYFUNCTION("""COMPUTED_VALUE"""),8754.0)</f>
        <v>8754</v>
      </c>
      <c r="P240" s="41" t="str">
        <f>IFERROR(__xludf.DUMMYFUNCTION("""COMPUTED_VALUE"""),"資訊裝置")</f>
        <v>資訊裝置</v>
      </c>
      <c r="Q240" s="41">
        <f>IFERROR(__xludf.DUMMYFUNCTION("""COMPUTED_VALUE"""),36.0)</f>
        <v>36</v>
      </c>
      <c r="R240" s="41">
        <f>IFERROR(__xludf.DUMMYFUNCTION("""COMPUTED_VALUE"""),36.0)</f>
        <v>36</v>
      </c>
      <c r="S240" s="41" t="str">
        <f>IFERROR(__xludf.DUMMYFUNCTION("""COMPUTED_VALUE"""),"NT$8,754")</f>
        <v>NT$8,754</v>
      </c>
      <c r="T240" s="41" t="str">
        <f>IFERROR(__xludf.DUMMYFUNCTION("""COMPUTED_VALUE"""),"Dell 24吋 S2421HSX")</f>
        <v>Dell 24吋 S2421HSX</v>
      </c>
      <c r="U240" s="41"/>
      <c r="V240" s="41"/>
      <c r="W240" s="41"/>
      <c r="X240" s="45" t="str">
        <f>IFERROR(__xludf.DUMMYFUNCTION("""COMPUTED_VALUE"""),"")</f>
        <v/>
      </c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</row>
    <row r="241">
      <c r="B241" s="41"/>
      <c r="C241" s="41" t="str">
        <f>IFERROR(__xludf.DUMMYFUNCTION("""COMPUTED_VALUE"""),"滿三年更換")</f>
        <v>滿三年更換</v>
      </c>
      <c r="D241" s="41" t="str">
        <f>IFERROR(__xludf.DUMMYFUNCTION("""COMPUTED_VALUE"""),"TW")</f>
        <v>TW</v>
      </c>
      <c r="E241" s="41"/>
      <c r="F241" s="41"/>
      <c r="G241" s="41"/>
      <c r="H241" s="65" t="str">
        <f>IFERROR(__xludf.DUMMYFUNCTION("""COMPUTED_VALUE"""),"研發中心:產品設計部:產品經理團隊")</f>
        <v>研發中心:產品設計部:產品經理團隊</v>
      </c>
      <c r="I241" s="41" t="str">
        <f>IFERROR(__xludf.DUMMYFUNCTION("""COMPUTED_VALUE"""),"資訊裝置")</f>
        <v>資訊裝置</v>
      </c>
      <c r="J241" s="41" t="str">
        <f>IFERROR(__xludf.DUMMYFUNCTION("""COMPUTED_VALUE"""),"AICHMN01910063")</f>
        <v>AICHMN01910063</v>
      </c>
      <c r="K241" s="41" t="str">
        <f>IFERROR(__xludf.DUMMYFUNCTION("""COMPUTED_VALUE"""),"螢幕")</f>
        <v>螢幕</v>
      </c>
      <c r="L241" s="41" t="str">
        <f>IFERROR(__xludf.DUMMYFUNCTION("""COMPUTED_VALUE"""),"CN-043D22-TV100-96F-04NB-A06")</f>
        <v>CN-043D22-TV100-96F-04NB-A06</v>
      </c>
      <c r="M241" s="41" t="str">
        <f>IFERROR(__xludf.DUMMYFUNCTION("""COMPUTED_VALUE"""),"鄭惠文")</f>
        <v>鄭惠文</v>
      </c>
      <c r="N241" s="66">
        <f>IFERROR(__xludf.DUMMYFUNCTION("""COMPUTED_VALUE"""),43769.0)</f>
        <v>43769</v>
      </c>
      <c r="O241" s="41"/>
      <c r="P241" s="41" t="str">
        <f>IFERROR(__xludf.DUMMYFUNCTION("""COMPUTED_VALUE"""),"資訊裝置")</f>
        <v>資訊裝置</v>
      </c>
      <c r="Q241" s="41">
        <f>IFERROR(__xludf.DUMMYFUNCTION("""COMPUTED_VALUE"""),36.0)</f>
        <v>36</v>
      </c>
      <c r="R241" s="41">
        <f>IFERROR(__xludf.DUMMYFUNCTION("""COMPUTED_VALUE"""),36.0)</f>
        <v>36</v>
      </c>
      <c r="S241" s="41" t="str">
        <f>IFERROR(__xludf.DUMMYFUNCTION("""COMPUTED_VALUE"""),"NT$0")</f>
        <v>NT$0</v>
      </c>
      <c r="T241" s="41" t="str">
        <f>IFERROR(__xludf.DUMMYFUNCTION("""COMPUTED_VALUE"""),"Dell 24吋 SE2416H")</f>
        <v>Dell 24吋 SE2416H</v>
      </c>
      <c r="U241" s="41"/>
      <c r="V241" s="41"/>
      <c r="W241" s="41"/>
      <c r="X241" s="45" t="str">
        <f>IFERROR(__xludf.DUMMYFUNCTION("""COMPUTED_VALUE"""),"")</f>
        <v/>
      </c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</row>
    <row r="242">
      <c r="B242" s="41"/>
      <c r="C242" s="41" t="str">
        <f>IFERROR(__xludf.DUMMYFUNCTION("""COMPUTED_VALUE"""),"滿三年更換")</f>
        <v>滿三年更換</v>
      </c>
      <c r="D242" s="41" t="str">
        <f>IFERROR(__xludf.DUMMYFUNCTION("""COMPUTED_VALUE"""),"TW")</f>
        <v>TW</v>
      </c>
      <c r="E242" s="41"/>
      <c r="F242" s="41"/>
      <c r="G242" s="41"/>
      <c r="H242" s="65" t="str">
        <f>IFERROR(__xludf.DUMMYFUNCTION("""COMPUTED_VALUE"""),"研發中心:軟體工程部:前端團隊")</f>
        <v>研發中心:軟體工程部:前端團隊</v>
      </c>
      <c r="I242" s="41" t="str">
        <f>IFERROR(__xludf.DUMMYFUNCTION("""COMPUTED_VALUE"""),"資訊裝置")</f>
        <v>資訊裝置</v>
      </c>
      <c r="J242" s="41" t="str">
        <f>IFERROR(__xludf.DUMMYFUNCTION("""COMPUTED_VALUE"""),"AICHMN01910061")</f>
        <v>AICHMN01910061</v>
      </c>
      <c r="K242" s="41" t="str">
        <f>IFERROR(__xludf.DUMMYFUNCTION("""COMPUTED_VALUE"""),"螢幕")</f>
        <v>螢幕</v>
      </c>
      <c r="L242" s="41" t="str">
        <f>IFERROR(__xludf.DUMMYFUNCTION("""COMPUTED_VALUE"""),"CN-07N2FG-TV100-969-01MB-A10")</f>
        <v>CN-07N2FG-TV100-969-01MB-A10</v>
      </c>
      <c r="M242" s="41" t="str">
        <f>IFERROR(__xludf.DUMMYFUNCTION("""COMPUTED_VALUE"""),"蕭佑霖")</f>
        <v>蕭佑霖</v>
      </c>
      <c r="N242" s="66">
        <f>IFERROR(__xludf.DUMMYFUNCTION("""COMPUTED_VALUE"""),43769.0)</f>
        <v>43769</v>
      </c>
      <c r="O242" s="45">
        <f>IFERROR(__xludf.DUMMYFUNCTION("""COMPUTED_VALUE"""),5705.0)</f>
        <v>5705</v>
      </c>
      <c r="P242" s="41" t="str">
        <f>IFERROR(__xludf.DUMMYFUNCTION("""COMPUTED_VALUE"""),"資訊裝置")</f>
        <v>資訊裝置</v>
      </c>
      <c r="Q242" s="41">
        <f>IFERROR(__xludf.DUMMYFUNCTION("""COMPUTED_VALUE"""),36.0)</f>
        <v>36</v>
      </c>
      <c r="R242" s="41">
        <f>IFERROR(__xludf.DUMMYFUNCTION("""COMPUTED_VALUE"""),36.0)</f>
        <v>36</v>
      </c>
      <c r="S242" s="41" t="str">
        <f>IFERROR(__xludf.DUMMYFUNCTION("""COMPUTED_VALUE"""),"NT$5,705")</f>
        <v>NT$5,705</v>
      </c>
      <c r="T242" s="41" t="str">
        <f>IFERROR(__xludf.DUMMYFUNCTION("""COMPUTED_VALUE"""),"Dell 24吋 U2412Mc")</f>
        <v>Dell 24吋 U2412Mc</v>
      </c>
      <c r="U242" s="41"/>
      <c r="V242" s="41"/>
      <c r="W242" s="41"/>
      <c r="X242" s="45" t="str">
        <f>IFERROR(__xludf.DUMMYFUNCTION("""COMPUTED_VALUE"""),"")</f>
        <v/>
      </c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</row>
    <row r="243">
      <c r="B243" s="41"/>
      <c r="C243" s="41" t="str">
        <f>IFERROR(__xludf.DUMMYFUNCTION("""COMPUTED_VALUE"""),"滿三年更換")</f>
        <v>滿三年更換</v>
      </c>
      <c r="D243" s="41" t="str">
        <f>IFERROR(__xludf.DUMMYFUNCTION("""COMPUTED_VALUE"""),"TW")</f>
        <v>TW</v>
      </c>
      <c r="E243" s="41"/>
      <c r="F243" s="41"/>
      <c r="G243" s="41"/>
      <c r="H243" s="41" t="str">
        <f>IFERROR(__xludf.DUMMYFUNCTION("""COMPUTED_VALUE"""),"行銷營運中心:產品行銷部")</f>
        <v>行銷營運中心:產品行銷部</v>
      </c>
      <c r="I243" s="41" t="str">
        <f>IFERROR(__xludf.DUMMYFUNCTION("""COMPUTED_VALUE"""),"資訊裝置")</f>
        <v>資訊裝置</v>
      </c>
      <c r="J243" s="41" t="str">
        <f>IFERROR(__xludf.DUMMYFUNCTION("""COMPUTED_VALUE"""),"AICHMP02105028")</f>
        <v>AICHMP02105028</v>
      </c>
      <c r="K243" s="41" t="str">
        <f>IFERROR(__xludf.DUMMYFUNCTION("""COMPUTED_VALUE"""),"Macbook Pro")</f>
        <v>Macbook Pro</v>
      </c>
      <c r="L243" s="41" t="str">
        <f>IFERROR(__xludf.DUMMYFUNCTION("""COMPUTED_VALUE"""),"C02FN4MRQ05N")</f>
        <v>C02FN4MRQ05N</v>
      </c>
      <c r="M243" s="41" t="str">
        <f>IFERROR(__xludf.DUMMYFUNCTION("""COMPUTED_VALUE"""),"賴誼禎")</f>
        <v>賴誼禎</v>
      </c>
      <c r="N243" s="65">
        <f>IFERROR(__xludf.DUMMYFUNCTION("""COMPUTED_VALUE"""),44341.0)</f>
        <v>44341</v>
      </c>
      <c r="O243" s="45">
        <f>IFERROR(__xludf.DUMMYFUNCTION("""COMPUTED_VALUE"""),40300.0)</f>
        <v>40300</v>
      </c>
      <c r="P243" s="41" t="str">
        <f>IFERROR(__xludf.DUMMYFUNCTION("""COMPUTED_VALUE"""),"資訊裝置")</f>
        <v>資訊裝置</v>
      </c>
      <c r="Q243" s="41">
        <f>IFERROR(__xludf.DUMMYFUNCTION("""COMPUTED_VALUE"""),36.0)</f>
        <v>36</v>
      </c>
      <c r="R243" s="41">
        <f>IFERROR(__xludf.DUMMYFUNCTION("""COMPUTED_VALUE"""),36.0)</f>
        <v>36</v>
      </c>
      <c r="S243" s="41" t="str">
        <f>IFERROR(__xludf.DUMMYFUNCTION("""COMPUTED_VALUE"""),"NT$40,300")</f>
        <v>NT$40,300</v>
      </c>
      <c r="T243" s="41" t="str">
        <f>IFERROR(__xludf.DUMMYFUNCTION("""COMPUTED_VALUE"""),"MBP13 (2020) M1/16GBRAM/256GBSSD")</f>
        <v>MBP13 (2020) M1/16GBRAM/256GBSSD</v>
      </c>
      <c r="U243" s="41"/>
      <c r="V243" s="41"/>
      <c r="W243" s="41"/>
      <c r="X243" s="45" t="str">
        <f>IFERROR(__xludf.DUMMYFUNCTION("""COMPUTED_VALUE"""),"")</f>
        <v/>
      </c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</row>
    <row r="244">
      <c r="B244" s="41"/>
      <c r="C244" s="41" t="str">
        <f>IFERROR(__xludf.DUMMYFUNCTION("""COMPUTED_VALUE"""),"滿三年更換")</f>
        <v>滿三年更換</v>
      </c>
      <c r="D244" s="41" t="str">
        <f>IFERROR(__xludf.DUMMYFUNCTION("""COMPUTED_VALUE"""),"TW")</f>
        <v>TW</v>
      </c>
      <c r="E244" s="41"/>
      <c r="F244" s="41"/>
      <c r="G244" s="41"/>
      <c r="H244" s="65" t="str">
        <f>IFERROR(__xludf.DUMMYFUNCTION("""COMPUTED_VALUE"""),"行銷營運中心:銷售營運部:客戶導入團隊")</f>
        <v>行銷營運中心:銷售營運部:客戶導入團隊</v>
      </c>
      <c r="I244" s="41" t="str">
        <f>IFERROR(__xludf.DUMMYFUNCTION("""COMPUTED_VALUE"""),"資訊裝置")</f>
        <v>資訊裝置</v>
      </c>
      <c r="J244" s="41" t="str">
        <f>IFERROR(__xludf.DUMMYFUNCTION("""COMPUTED_VALUE"""),"AICHMA02108038")</f>
        <v>AICHMA02108038</v>
      </c>
      <c r="K244" s="41" t="str">
        <f>IFERROR(__xludf.DUMMYFUNCTION("""COMPUTED_VALUE"""),"Macbook Air")</f>
        <v>Macbook Air</v>
      </c>
      <c r="L244" s="41" t="str">
        <f>IFERROR(__xludf.DUMMYFUNCTION("""COMPUTED_VALUE"""),"FVFG3WBWQ6LC")</f>
        <v>FVFG3WBWQ6LC</v>
      </c>
      <c r="M244" s="41" t="str">
        <f>IFERROR(__xludf.DUMMYFUNCTION("""COMPUTED_VALUE"""),"戴亞琪")</f>
        <v>戴亞琪</v>
      </c>
      <c r="N244" s="65">
        <f>IFERROR(__xludf.DUMMYFUNCTION("""COMPUTED_VALUE"""),44411.0)</f>
        <v>44411</v>
      </c>
      <c r="O244" s="45">
        <f>IFERROR(__xludf.DUMMYFUNCTION("""COMPUTED_VALUE"""),27075.0)</f>
        <v>27075</v>
      </c>
      <c r="P244" s="41" t="str">
        <f>IFERROR(__xludf.DUMMYFUNCTION("""COMPUTED_VALUE"""),"資訊裝置")</f>
        <v>資訊裝置</v>
      </c>
      <c r="Q244" s="41">
        <f>IFERROR(__xludf.DUMMYFUNCTION("""COMPUTED_VALUE"""),36.0)</f>
        <v>36</v>
      </c>
      <c r="R244" s="41">
        <f>IFERROR(__xludf.DUMMYFUNCTION("""COMPUTED_VALUE"""),36.0)</f>
        <v>36</v>
      </c>
      <c r="S244" s="41" t="str">
        <f>IFERROR(__xludf.DUMMYFUNCTION("""COMPUTED_VALUE"""),"NT$27,075")</f>
        <v>NT$27,075</v>
      </c>
      <c r="T244" s="41" t="str">
        <f>IFERROR(__xludf.DUMMYFUNCTION("""COMPUTED_VALUE"""),"MBA13 (2020) M1/8GBRAM/256GBSSD")</f>
        <v>MBA13 (2020) M1/8GBRAM/256GBSSD</v>
      </c>
      <c r="U244" s="41"/>
      <c r="V244" s="41"/>
      <c r="W244" s="41"/>
      <c r="X244" s="45" t="str">
        <f>IFERROR(__xludf.DUMMYFUNCTION("""COMPUTED_VALUE"""),"")</f>
        <v/>
      </c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</row>
    <row r="245">
      <c r="B245" s="41"/>
      <c r="C245" s="41" t="str">
        <f>IFERROR(__xludf.DUMMYFUNCTION("""COMPUTED_VALUE"""),"滿三年更換")</f>
        <v>滿三年更換</v>
      </c>
      <c r="D245" s="41" t="str">
        <f>IFERROR(__xludf.DUMMYFUNCTION("""COMPUTED_VALUE"""),"TW")</f>
        <v>TW</v>
      </c>
      <c r="E245" s="41"/>
      <c r="F245" s="41"/>
      <c r="G245" s="41"/>
      <c r="H245" s="65" t="str">
        <f>IFERROR(__xludf.DUMMYFUNCTION("""COMPUTED_VALUE"""),"行銷營運中心:銷售營運部:客戶導入團隊")</f>
        <v>行銷營運中心:銷售營運部:客戶導入團隊</v>
      </c>
      <c r="I245" s="41" t="str">
        <f>IFERROR(__xludf.DUMMYFUNCTION("""COMPUTED_VALUE"""),"資訊裝置")</f>
        <v>資訊裝置</v>
      </c>
      <c r="J245" s="41" t="str">
        <f>IFERROR(__xludf.DUMMYFUNCTION("""COMPUTED_VALUE"""),"AICHIP02107073")</f>
        <v>AICHIP02107073</v>
      </c>
      <c r="K245" s="41" t="str">
        <f>IFERROR(__xludf.DUMMYFUNCTION("""COMPUTED_VALUE"""),"iPad")</f>
        <v>iPad</v>
      </c>
      <c r="L245" s="41" t="str">
        <f>IFERROR(__xludf.DUMMYFUNCTION("""COMPUTED_VALUE"""),"F9FFVGT0Q1GF")</f>
        <v>F9FFVGT0Q1GF</v>
      </c>
      <c r="M245" s="41" t="str">
        <f>IFERROR(__xludf.DUMMYFUNCTION("""COMPUTED_VALUE"""),"戴亞琪")</f>
        <v>戴亞琪</v>
      </c>
      <c r="N245" s="65">
        <f>IFERROR(__xludf.DUMMYFUNCTION("""COMPUTED_VALUE"""),44400.0)</f>
        <v>44400</v>
      </c>
      <c r="O245" s="45">
        <f>IFERROR(__xludf.DUMMYFUNCTION("""COMPUTED_VALUE"""),9450.0)</f>
        <v>9450</v>
      </c>
      <c r="P245" s="41" t="str">
        <f>IFERROR(__xludf.DUMMYFUNCTION("""COMPUTED_VALUE"""),"資訊裝置")</f>
        <v>資訊裝置</v>
      </c>
      <c r="Q245" s="41">
        <f>IFERROR(__xludf.DUMMYFUNCTION("""COMPUTED_VALUE"""),36.0)</f>
        <v>36</v>
      </c>
      <c r="R245" s="41">
        <f>IFERROR(__xludf.DUMMYFUNCTION("""COMPUTED_VALUE"""),36.0)</f>
        <v>36</v>
      </c>
      <c r="S245" s="41" t="str">
        <f>IFERROR(__xludf.DUMMYFUNCTION("""COMPUTED_VALUE"""),"NT$9,450")</f>
        <v>NT$9,450</v>
      </c>
      <c r="T245" s="41" t="str">
        <f>IFERROR(__xludf.DUMMYFUNCTION("""COMPUTED_VALUE"""),"iPad (第八代) 32GB WIFI(MYLC2TA/A)")</f>
        <v>iPad (第八代) 32GB WIFI(MYLC2TA/A)</v>
      </c>
      <c r="U245" s="41"/>
      <c r="V245" s="41"/>
      <c r="W245" s="41"/>
      <c r="X245" s="45" t="str">
        <f>IFERROR(__xludf.DUMMYFUNCTION("""COMPUTED_VALUE"""),"")</f>
        <v/>
      </c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</row>
    <row r="246">
      <c r="B246" s="41"/>
      <c r="C246" s="41" t="str">
        <f>IFERROR(__xludf.DUMMYFUNCTION("""COMPUTED_VALUE"""),"滿三年更換")</f>
        <v>滿三年更換</v>
      </c>
      <c r="D246" s="41" t="str">
        <f>IFERROR(__xludf.DUMMYFUNCTION("""COMPUTED_VALUE"""),"TW")</f>
        <v>TW</v>
      </c>
      <c r="E246" s="41"/>
      <c r="F246" s="41"/>
      <c r="G246" s="41"/>
      <c r="H246" s="65" t="str">
        <f>IFERROR(__xludf.DUMMYFUNCTION("""COMPUTED_VALUE"""),"客戶價值中心:客戶關係管理部:客服團隊 POS/OMO")</f>
        <v>客戶價值中心:客戶關係管理部:客服團隊 POS/OMO</v>
      </c>
      <c r="I246" s="41" t="str">
        <f>IFERROR(__xludf.DUMMYFUNCTION("""COMPUTED_VALUE"""),"資訊裝置")</f>
        <v>資訊裝置</v>
      </c>
      <c r="J246" s="41" t="str">
        <f>IFERROR(__xludf.DUMMYFUNCTION("""COMPUTED_VALUE"""),"AICHIP02105055")</f>
        <v>AICHIP02105055</v>
      </c>
      <c r="K246" s="41" t="str">
        <f>IFERROR(__xludf.DUMMYFUNCTION("""COMPUTED_VALUE"""),"iPad")</f>
        <v>iPad</v>
      </c>
      <c r="L246" s="41" t="str">
        <f>IFERROR(__xludf.DUMMYFUNCTION("""COMPUTED_VALUE"""),"GG7CN2EMMF3M")</f>
        <v>GG7CN2EMMF3M</v>
      </c>
      <c r="M246" s="41" t="str">
        <f>IFERROR(__xludf.DUMMYFUNCTION("""COMPUTED_VALUE"""),"戴馨妤")</f>
        <v>戴馨妤</v>
      </c>
      <c r="N246" s="65">
        <f>IFERROR(__xludf.DUMMYFUNCTION("""COMPUTED_VALUE"""),44327.0)</f>
        <v>44327</v>
      </c>
      <c r="O246" s="45">
        <f>IFERROR(__xludf.DUMMYFUNCTION("""COMPUTED_VALUE"""),8640.0)</f>
        <v>8640</v>
      </c>
      <c r="P246" s="41" t="str">
        <f>IFERROR(__xludf.DUMMYFUNCTION("""COMPUTED_VALUE"""),"資訊裝置")</f>
        <v>資訊裝置</v>
      </c>
      <c r="Q246" s="41">
        <f>IFERROR(__xludf.DUMMYFUNCTION("""COMPUTED_VALUE"""),36.0)</f>
        <v>36</v>
      </c>
      <c r="R246" s="41">
        <f>IFERROR(__xludf.DUMMYFUNCTION("""COMPUTED_VALUE"""),36.0)</f>
        <v>36</v>
      </c>
      <c r="S246" s="41" t="str">
        <f>IFERROR(__xludf.DUMMYFUNCTION("""COMPUTED_VALUE"""),"NT$8,640")</f>
        <v>NT$8,640</v>
      </c>
      <c r="T246" s="41" t="str">
        <f>IFERROR(__xludf.DUMMYFUNCTION("""COMPUTED_VALUE"""),"iPad (第七代) 32GB WIFI(MW742TA/A)")</f>
        <v>iPad (第七代) 32GB WIFI(MW742TA/A)</v>
      </c>
      <c r="U246" s="41"/>
      <c r="V246" s="41"/>
      <c r="W246" s="41"/>
      <c r="X246" s="45" t="str">
        <f>IFERROR(__xludf.DUMMYFUNCTION("""COMPUTED_VALUE"""),"")</f>
        <v/>
      </c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</row>
    <row r="247">
      <c r="B247" s="41"/>
      <c r="C247" s="41" t="str">
        <f>IFERROR(__xludf.DUMMYFUNCTION("""COMPUTED_VALUE"""),"滿三年更換")</f>
        <v>滿三年更換</v>
      </c>
      <c r="D247" s="41" t="str">
        <f>IFERROR(__xludf.DUMMYFUNCTION("""COMPUTED_VALUE"""),"TW")</f>
        <v>TW</v>
      </c>
      <c r="E247" s="41"/>
      <c r="F247" s="41"/>
      <c r="G247" s="41"/>
      <c r="H247" s="65" t="str">
        <f>IFERROR(__xludf.DUMMYFUNCTION("""COMPUTED_VALUE"""),"客戶價值中心:客戶關係管理部:客服團隊 POS/OMO")</f>
        <v>客戶價值中心:客戶關係管理部:客服團隊 POS/OMO</v>
      </c>
      <c r="I247" s="41" t="str">
        <f>IFERROR(__xludf.DUMMYFUNCTION("""COMPUTED_VALUE"""),"資訊裝置")</f>
        <v>資訊裝置</v>
      </c>
      <c r="J247" s="41" t="str">
        <f>IFERROR(__xludf.DUMMYFUNCTION("""COMPUTED_VALUE"""),"AICHMN02206114")</f>
        <v>AICHMN02206114</v>
      </c>
      <c r="K247" s="41" t="str">
        <f>IFERROR(__xludf.DUMMYFUNCTION("""COMPUTED_VALUE"""),"螢幕")</f>
        <v>螢幕</v>
      </c>
      <c r="L247" s="41" t="str">
        <f>IFERROR(__xludf.DUMMYFUNCTION("""COMPUTED_VALUE"""),"CN-0RCKX9-TV200-233-070V-A03")</f>
        <v>CN-0RCKX9-TV200-233-070V-A03</v>
      </c>
      <c r="M247" s="41" t="str">
        <f>IFERROR(__xludf.DUMMYFUNCTION("""COMPUTED_VALUE"""),"戴馨妤")</f>
        <v>戴馨妤</v>
      </c>
      <c r="N247" s="65">
        <f>IFERROR(__xludf.DUMMYFUNCTION("""COMPUTED_VALUE"""),44733.0)</f>
        <v>44733</v>
      </c>
      <c r="O247" s="45">
        <f>IFERROR(__xludf.DUMMYFUNCTION("""COMPUTED_VALUE"""),4370.0)</f>
        <v>4370</v>
      </c>
      <c r="P247" s="41" t="str">
        <f>IFERROR(__xludf.DUMMYFUNCTION("""COMPUTED_VALUE"""),"資訊裝置")</f>
        <v>資訊裝置</v>
      </c>
      <c r="Q247" s="41">
        <f>IFERROR(__xludf.DUMMYFUNCTION("""COMPUTED_VALUE"""),36.0)</f>
        <v>36</v>
      </c>
      <c r="R247" s="41">
        <f>IFERROR(__xludf.DUMMYFUNCTION("""COMPUTED_VALUE"""),36.0)</f>
        <v>36</v>
      </c>
      <c r="S247" s="41" t="str">
        <f>IFERROR(__xludf.DUMMYFUNCTION("""COMPUTED_VALUE"""),"NT$4,370")</f>
        <v>NT$4,370</v>
      </c>
      <c r="T247" s="41" t="str">
        <f>IFERROR(__xludf.DUMMYFUNCTION("""COMPUTED_VALUE"""),"Dell 27吋 SE2722H")</f>
        <v>Dell 27吋 SE2722H</v>
      </c>
      <c r="U247" s="41"/>
      <c r="V247" s="41"/>
      <c r="W247" s="41"/>
      <c r="X247" s="45" t="str">
        <f>IFERROR(__xludf.DUMMYFUNCTION("""COMPUTED_VALUE"""),"")</f>
        <v/>
      </c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</row>
    <row r="248">
      <c r="B248" s="41"/>
      <c r="C248" s="41" t="str">
        <f>IFERROR(__xludf.DUMMYFUNCTION("""COMPUTED_VALUE"""),"滿三年更換")</f>
        <v>滿三年更換</v>
      </c>
      <c r="D248" s="41" t="str">
        <f>IFERROR(__xludf.DUMMYFUNCTION("""COMPUTED_VALUE"""),"TW")</f>
        <v>TW</v>
      </c>
      <c r="E248" s="41"/>
      <c r="F248" s="41"/>
      <c r="G248" s="41"/>
      <c r="H248" s="65" t="str">
        <f>IFERROR(__xludf.DUMMYFUNCTION("""COMPUTED_VALUE"""),"客戶價值中心:客戶關係管理部:客服團隊 POS/OMO")</f>
        <v>客戶價值中心:客戶關係管理部:客服團隊 POS/OMO</v>
      </c>
      <c r="I248" s="41" t="str">
        <f>IFERROR(__xludf.DUMMYFUNCTION("""COMPUTED_VALUE"""),"資訊裝置")</f>
        <v>資訊裝置</v>
      </c>
      <c r="J248" s="41" t="str">
        <f>IFERROR(__xludf.DUMMYFUNCTION("""COMPUTED_VALUE"""),"AICHIP02107070")</f>
        <v>AICHIP02107070</v>
      </c>
      <c r="K248" s="41" t="str">
        <f>IFERROR(__xludf.DUMMYFUNCTION("""COMPUTED_VALUE"""),"iPad")</f>
        <v>iPad</v>
      </c>
      <c r="L248" s="41" t="str">
        <f>IFERROR(__xludf.DUMMYFUNCTION("""COMPUTED_VALUE"""),"F9FFT2XZQ1GD")</f>
        <v>F9FFT2XZQ1GD</v>
      </c>
      <c r="M248" s="41" t="str">
        <f>IFERROR(__xludf.DUMMYFUNCTION("""COMPUTED_VALUE"""),"謝尹蘋")</f>
        <v>謝尹蘋</v>
      </c>
      <c r="N248" s="65">
        <f>IFERROR(__xludf.DUMMYFUNCTION("""COMPUTED_VALUE"""),44398.0)</f>
        <v>44398</v>
      </c>
      <c r="O248" s="45">
        <f>IFERROR(__xludf.DUMMYFUNCTION("""COMPUTED_VALUE"""),9450.0)</f>
        <v>9450</v>
      </c>
      <c r="P248" s="41" t="str">
        <f>IFERROR(__xludf.DUMMYFUNCTION("""COMPUTED_VALUE"""),"資訊裝置")</f>
        <v>資訊裝置</v>
      </c>
      <c r="Q248" s="41">
        <f>IFERROR(__xludf.DUMMYFUNCTION("""COMPUTED_VALUE"""),36.0)</f>
        <v>36</v>
      </c>
      <c r="R248" s="41">
        <f>IFERROR(__xludf.DUMMYFUNCTION("""COMPUTED_VALUE"""),36.0)</f>
        <v>36</v>
      </c>
      <c r="S248" s="41" t="str">
        <f>IFERROR(__xludf.DUMMYFUNCTION("""COMPUTED_VALUE"""),"NT$9,450")</f>
        <v>NT$9,450</v>
      </c>
      <c r="T248" s="41" t="str">
        <f>IFERROR(__xludf.DUMMYFUNCTION("""COMPUTED_VALUE"""),"iPad (第八代) WI-FI 32GB(MYLA2TA/A)")</f>
        <v>iPad (第八代) WI-FI 32GB(MYLA2TA/A)</v>
      </c>
      <c r="U248" s="41"/>
      <c r="V248" s="41"/>
      <c r="W248" s="41"/>
      <c r="X248" s="45" t="str">
        <f>IFERROR(__xludf.DUMMYFUNCTION("""COMPUTED_VALUE"""),"")</f>
        <v/>
      </c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</row>
    <row r="249">
      <c r="B249" s="41"/>
      <c r="C249" s="41" t="str">
        <f>IFERROR(__xludf.DUMMYFUNCTION("""COMPUTED_VALUE"""),"滿三年更換")</f>
        <v>滿三年更換</v>
      </c>
      <c r="D249" s="41" t="str">
        <f>IFERROR(__xludf.DUMMYFUNCTION("""COMPUTED_VALUE"""),"TW")</f>
        <v>TW</v>
      </c>
      <c r="E249" s="41"/>
      <c r="F249" s="41"/>
      <c r="G249" s="41"/>
      <c r="H249" s="65" t="str">
        <f>IFERROR(__xludf.DUMMYFUNCTION("""COMPUTED_VALUE"""),"客戶價值中心:客戶關係管理部:客服團隊 POS/OMO")</f>
        <v>客戶價值中心:客戶關係管理部:客服團隊 POS/OMO</v>
      </c>
      <c r="I249" s="41" t="str">
        <f>IFERROR(__xludf.DUMMYFUNCTION("""COMPUTED_VALUE"""),"資訊裝置")</f>
        <v>資訊裝置</v>
      </c>
      <c r="J249" s="41" t="str">
        <f>IFERROR(__xludf.DUMMYFUNCTION("""COMPUTED_VALUE"""),"AICHMN02108104")</f>
        <v>AICHMN02108104</v>
      </c>
      <c r="K249" s="41" t="str">
        <f>IFERROR(__xludf.DUMMYFUNCTION("""COMPUTED_VALUE"""),"螢幕")</f>
        <v>螢幕</v>
      </c>
      <c r="L249" s="41" t="str">
        <f>IFERROR(__xludf.DUMMYFUNCTION("""COMPUTED_VALUE"""),"CN-0458FC-WSL00-163-006B-A04")</f>
        <v>CN-0458FC-WSL00-163-006B-A04</v>
      </c>
      <c r="M249" s="41" t="str">
        <f>IFERROR(__xludf.DUMMYFUNCTION("""COMPUTED_VALUE"""),"謝尹蘋")</f>
        <v>謝尹蘋</v>
      </c>
      <c r="N249" s="65">
        <f>IFERROR(__xludf.DUMMYFUNCTION("""COMPUTED_VALUE"""),44418.0)</f>
        <v>44418</v>
      </c>
      <c r="O249" s="45">
        <f>IFERROR(__xludf.DUMMYFUNCTION("""COMPUTED_VALUE"""),5417.0)</f>
        <v>5417</v>
      </c>
      <c r="P249" s="41" t="str">
        <f>IFERROR(__xludf.DUMMYFUNCTION("""COMPUTED_VALUE"""),"資訊裝置")</f>
        <v>資訊裝置</v>
      </c>
      <c r="Q249" s="41">
        <f>IFERROR(__xludf.DUMMYFUNCTION("""COMPUTED_VALUE"""),36.0)</f>
        <v>36</v>
      </c>
      <c r="R249" s="41">
        <f>IFERROR(__xludf.DUMMYFUNCTION("""COMPUTED_VALUE"""),36.0)</f>
        <v>36</v>
      </c>
      <c r="S249" s="41" t="str">
        <f>IFERROR(__xludf.DUMMYFUNCTION("""COMPUTED_VALUE"""),"NT$5,417")</f>
        <v>NT$5,417</v>
      </c>
      <c r="T249" s="41" t="str">
        <f>IFERROR(__xludf.DUMMYFUNCTION("""COMPUTED_VALUE"""),"Dell 24吋 S2421HSX")</f>
        <v>Dell 24吋 S2421HSX</v>
      </c>
      <c r="U249" s="41"/>
      <c r="V249" s="41"/>
      <c r="W249" s="41"/>
      <c r="X249" s="45" t="str">
        <f>IFERROR(__xludf.DUMMYFUNCTION("""COMPUTED_VALUE"""),"")</f>
        <v/>
      </c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</row>
    <row r="250">
      <c r="B250" s="41"/>
      <c r="C250" s="41" t="str">
        <f>IFERROR(__xludf.DUMMYFUNCTION("""COMPUTED_VALUE"""),"滿三年更換")</f>
        <v>滿三年更換</v>
      </c>
      <c r="D250" s="41" t="str">
        <f>IFERROR(__xludf.DUMMYFUNCTION("""COMPUTED_VALUE"""),"TW")</f>
        <v>TW</v>
      </c>
      <c r="E250" s="41"/>
      <c r="F250" s="41"/>
      <c r="G250" s="41"/>
      <c r="H250" s="41" t="str">
        <f>IFERROR(__xludf.DUMMYFUNCTION("""COMPUTED_VALUE"""),"客戶價值中心:客戶成功管理部")</f>
        <v>客戶價值中心:客戶成功管理部</v>
      </c>
      <c r="I250" s="41" t="str">
        <f>IFERROR(__xludf.DUMMYFUNCTION("""COMPUTED_VALUE"""),"資訊裝置")</f>
        <v>資訊裝置</v>
      </c>
      <c r="J250" s="41" t="str">
        <f>IFERROR(__xludf.DUMMYFUNCTION("""COMPUTED_VALUE"""),"AICHMA02104015")</f>
        <v>AICHMA02104015</v>
      </c>
      <c r="K250" s="41" t="str">
        <f>IFERROR(__xludf.DUMMYFUNCTION("""COMPUTED_VALUE"""),"Macbook Air")</f>
        <v>Macbook Air</v>
      </c>
      <c r="L250" s="41" t="str">
        <f>IFERROR(__xludf.DUMMYFUNCTION("""COMPUTED_VALUE"""),"FVFFC6P9Q6L7")</f>
        <v>FVFFC6P9Q6L7</v>
      </c>
      <c r="M250" s="41" t="str">
        <f>IFERROR(__xludf.DUMMYFUNCTION("""COMPUTED_VALUE"""),"謝孟娟")</f>
        <v>謝孟娟</v>
      </c>
      <c r="N250" s="65">
        <f>IFERROR(__xludf.DUMMYFUNCTION("""COMPUTED_VALUE"""),44294.0)</f>
        <v>44294</v>
      </c>
      <c r="O250" s="45">
        <f>IFERROR(__xludf.DUMMYFUNCTION("""COMPUTED_VALUE"""),27663.0)</f>
        <v>27663</v>
      </c>
      <c r="P250" s="41" t="str">
        <f>IFERROR(__xludf.DUMMYFUNCTION("""COMPUTED_VALUE"""),"資訊裝置")</f>
        <v>資訊裝置</v>
      </c>
      <c r="Q250" s="41">
        <f>IFERROR(__xludf.DUMMYFUNCTION("""COMPUTED_VALUE"""),36.0)</f>
        <v>36</v>
      </c>
      <c r="R250" s="41">
        <f>IFERROR(__xludf.DUMMYFUNCTION("""COMPUTED_VALUE"""),36.0)</f>
        <v>36</v>
      </c>
      <c r="S250" s="41" t="str">
        <f>IFERROR(__xludf.DUMMYFUNCTION("""COMPUTED_VALUE"""),"NT$27,663")</f>
        <v>NT$27,663</v>
      </c>
      <c r="T250" s="41" t="str">
        <f>IFERROR(__xludf.DUMMYFUNCTION("""COMPUTED_VALUE"""),"MBA13 (2020) M1/8GBRAM/256GBSSD")</f>
        <v>MBA13 (2020) M1/8GBRAM/256GBSSD</v>
      </c>
      <c r="U250" s="41"/>
      <c r="V250" s="41"/>
      <c r="W250" s="41"/>
      <c r="X250" s="45" t="str">
        <f>IFERROR(__xludf.DUMMYFUNCTION("""COMPUTED_VALUE"""),"")</f>
        <v/>
      </c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</row>
    <row r="251">
      <c r="B251" s="41"/>
      <c r="C251" s="41" t="str">
        <f>IFERROR(__xludf.DUMMYFUNCTION("""COMPUTED_VALUE"""),"滿三年更換")</f>
        <v>滿三年更換</v>
      </c>
      <c r="D251" s="41" t="str">
        <f>IFERROR(__xludf.DUMMYFUNCTION("""COMPUTED_VALUE"""),"TW")</f>
        <v>TW</v>
      </c>
      <c r="E251" s="41"/>
      <c r="F251" s="41"/>
      <c r="G251" s="41"/>
      <c r="H251" s="41" t="str">
        <f>IFERROR(__xludf.DUMMYFUNCTION("""COMPUTED_VALUE"""),"客戶價值中心:客戶成功管理部")</f>
        <v>客戶價值中心:客戶成功管理部</v>
      </c>
      <c r="I251" s="41" t="str">
        <f>IFERROR(__xludf.DUMMYFUNCTION("""COMPUTED_VALUE"""),"資訊裝置")</f>
        <v>資訊裝置</v>
      </c>
      <c r="J251" s="41" t="str">
        <f>IFERROR(__xludf.DUMMYFUNCTION("""COMPUTED_VALUE"""),"AICHIP02011044")</f>
        <v>AICHIP02011044</v>
      </c>
      <c r="K251" s="41" t="str">
        <f>IFERROR(__xludf.DUMMYFUNCTION("""COMPUTED_VALUE"""),"iPad")</f>
        <v>iPad</v>
      </c>
      <c r="L251" s="41" t="str">
        <f>IFERROR(__xludf.DUMMYFUNCTION("""COMPUTED_VALUE"""),"F9FDRGD6Q1GF")</f>
        <v>F9FDRGD6Q1GF</v>
      </c>
      <c r="M251" s="41" t="str">
        <f>IFERROR(__xludf.DUMMYFUNCTION("""COMPUTED_VALUE"""),"謝孟娟")</f>
        <v>謝孟娟</v>
      </c>
      <c r="N251" s="65">
        <f>IFERROR(__xludf.DUMMYFUNCTION("""COMPUTED_VALUE"""),44194.0)</f>
        <v>44194</v>
      </c>
      <c r="O251" s="45">
        <f>IFERROR(__xludf.DUMMYFUNCTION("""COMPUTED_VALUE"""),9450.0)</f>
        <v>9450</v>
      </c>
      <c r="P251" s="41" t="str">
        <f>IFERROR(__xludf.DUMMYFUNCTION("""COMPUTED_VALUE"""),"資訊裝置")</f>
        <v>資訊裝置</v>
      </c>
      <c r="Q251" s="41">
        <f>IFERROR(__xludf.DUMMYFUNCTION("""COMPUTED_VALUE"""),36.0)</f>
        <v>36</v>
      </c>
      <c r="R251" s="41">
        <f>IFERROR(__xludf.DUMMYFUNCTION("""COMPUTED_VALUE"""),36.0)</f>
        <v>36</v>
      </c>
      <c r="S251" s="41" t="str">
        <f>IFERROR(__xludf.DUMMYFUNCTION("""COMPUTED_VALUE"""),"NT$9,450")</f>
        <v>NT$9,450</v>
      </c>
      <c r="T251" s="41" t="str">
        <f>IFERROR(__xludf.DUMMYFUNCTION("""COMPUTED_VALUE"""),"iPad (第八代) 32GB WIFI(MYLC2TA/A)")</f>
        <v>iPad (第八代) 32GB WIFI(MYLC2TA/A)</v>
      </c>
      <c r="U251" s="41"/>
      <c r="V251" s="41"/>
      <c r="W251" s="41"/>
      <c r="X251" s="45" t="str">
        <f>IFERROR(__xludf.DUMMYFUNCTION("""COMPUTED_VALUE"""),"")</f>
        <v/>
      </c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</row>
    <row r="252">
      <c r="B252" s="41"/>
      <c r="C252" s="41" t="str">
        <f>IFERROR(__xludf.DUMMYFUNCTION("""COMPUTED_VALUE"""),"滿三年更換")</f>
        <v>滿三年更換</v>
      </c>
      <c r="D252" s="41" t="str">
        <f>IFERROR(__xludf.DUMMYFUNCTION("""COMPUTED_VALUE"""),"TW")</f>
        <v>TW</v>
      </c>
      <c r="E252" s="41"/>
      <c r="F252" s="41"/>
      <c r="G252" s="41"/>
      <c r="H252" s="41" t="str">
        <f>IFERROR(__xludf.DUMMYFUNCTION("""COMPUTED_VALUE"""),"客戶價值中心:客戶成功管理部")</f>
        <v>客戶價值中心:客戶成功管理部</v>
      </c>
      <c r="I252" s="41" t="str">
        <f>IFERROR(__xludf.DUMMYFUNCTION("""COMPUTED_VALUE"""),"資訊裝置")</f>
        <v>資訊裝置</v>
      </c>
      <c r="J252" s="41" t="str">
        <f>IFERROR(__xludf.DUMMYFUNCTION("""COMPUTED_VALUE"""),"AICHMN02010088")</f>
        <v>AICHMN02010088</v>
      </c>
      <c r="K252" s="41" t="str">
        <f>IFERROR(__xludf.DUMMYFUNCTION("""COMPUTED_VALUE"""),"螢幕")</f>
        <v>螢幕</v>
      </c>
      <c r="L252" s="41" t="str">
        <f>IFERROR(__xludf.DUMMYFUNCTION("""COMPUTED_VALUE"""),"CN-0CYKT7-WSL00-09F-DD6W-A09")</f>
        <v>CN-0CYKT7-WSL00-09F-DD6W-A09</v>
      </c>
      <c r="M252" s="41" t="str">
        <f>IFERROR(__xludf.DUMMYFUNCTION("""COMPUTED_VALUE"""),"謝孟娟")</f>
        <v>謝孟娟</v>
      </c>
      <c r="N252" s="66">
        <f>IFERROR(__xludf.DUMMYFUNCTION("""COMPUTED_VALUE"""),44180.0)</f>
        <v>44180</v>
      </c>
      <c r="O252" s="45">
        <f>IFERROR(__xludf.DUMMYFUNCTION("""COMPUTED_VALUE"""),58990.0)</f>
        <v>58990</v>
      </c>
      <c r="P252" s="41" t="str">
        <f>IFERROR(__xludf.DUMMYFUNCTION("""COMPUTED_VALUE"""),"資訊裝置")</f>
        <v>資訊裝置</v>
      </c>
      <c r="Q252" s="41">
        <f>IFERROR(__xludf.DUMMYFUNCTION("""COMPUTED_VALUE"""),36.0)</f>
        <v>36</v>
      </c>
      <c r="R252" s="41">
        <f>IFERROR(__xludf.DUMMYFUNCTION("""COMPUTED_VALUE"""),36.0)</f>
        <v>36</v>
      </c>
      <c r="S252" s="41" t="str">
        <f>IFERROR(__xludf.DUMMYFUNCTION("""COMPUTED_VALUE"""),"NT$58,990")</f>
        <v>NT$58,990</v>
      </c>
      <c r="T252" s="41" t="str">
        <f>IFERROR(__xludf.DUMMYFUNCTION("""COMPUTED_VALUE"""),"Dell 24吋 U2419H")</f>
        <v>Dell 24吋 U2419H</v>
      </c>
      <c r="U252" s="41"/>
      <c r="V252" s="41"/>
      <c r="W252" s="41"/>
      <c r="X252" s="45" t="str">
        <f>IFERROR(__xludf.DUMMYFUNCTION("""COMPUTED_VALUE"""),"")</f>
        <v/>
      </c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</row>
    <row r="253">
      <c r="B253" s="41"/>
      <c r="C253" s="41" t="str">
        <f>IFERROR(__xludf.DUMMYFUNCTION("""COMPUTED_VALUE"""),"滿三年更換")</f>
        <v>滿三年更換</v>
      </c>
      <c r="D253" s="41" t="str">
        <f>IFERROR(__xludf.DUMMYFUNCTION("""COMPUTED_VALUE"""),"TW")</f>
        <v>TW</v>
      </c>
      <c r="E253" s="41"/>
      <c r="F253" s="41"/>
      <c r="G253" s="41"/>
      <c r="H253" s="65" t="str">
        <f>IFERROR(__xludf.DUMMYFUNCTION("""COMPUTED_VALUE"""),"研發中心:軟體工程部:前端團隊")</f>
        <v>研發中心:軟體工程部:前端團隊</v>
      </c>
      <c r="I253" s="41" t="str">
        <f>IFERROR(__xludf.DUMMYFUNCTION("""COMPUTED_VALUE"""),"資訊裝置")</f>
        <v>資訊裝置</v>
      </c>
      <c r="J253" s="41" t="str">
        <f>IFERROR(__xludf.DUMMYFUNCTION("""COMPUTED_VALUE"""),"AICHMN01604031")</f>
        <v>AICHMN01604031</v>
      </c>
      <c r="K253" s="41" t="str">
        <f>IFERROR(__xludf.DUMMYFUNCTION("""COMPUTED_VALUE"""),"螢幕")</f>
        <v>螢幕</v>
      </c>
      <c r="L253" s="41" t="str">
        <f>IFERROR(__xludf.DUMMYFUNCTION("""COMPUTED_VALUE"""),"CN-0YR48V-74261-21T-0UNL")</f>
        <v>CN-0YR48V-74261-21T-0UNL</v>
      </c>
      <c r="M253" s="41" t="str">
        <f>IFERROR(__xludf.DUMMYFUNCTION("""COMPUTED_VALUE"""),"謝明哲")</f>
        <v>謝明哲</v>
      </c>
      <c r="N253" s="65">
        <f>IFERROR(__xludf.DUMMYFUNCTION("""COMPUTED_VALUE"""),42468.0)</f>
        <v>42468</v>
      </c>
      <c r="O253" s="41"/>
      <c r="P253" s="41" t="str">
        <f>IFERROR(__xludf.DUMMYFUNCTION("""COMPUTED_VALUE"""),"資訊裝置")</f>
        <v>資訊裝置</v>
      </c>
      <c r="Q253" s="41">
        <f>IFERROR(__xludf.DUMMYFUNCTION("""COMPUTED_VALUE"""),36.0)</f>
        <v>36</v>
      </c>
      <c r="R253" s="41">
        <f>IFERROR(__xludf.DUMMYFUNCTION("""COMPUTED_VALUE"""),36.0)</f>
        <v>36</v>
      </c>
      <c r="S253" s="41" t="str">
        <f>IFERROR(__xludf.DUMMYFUNCTION("""COMPUTED_VALUE"""),"NT$0")</f>
        <v>NT$0</v>
      </c>
      <c r="T253" s="41" t="str">
        <f>IFERROR(__xludf.DUMMYFUNCTION("""COMPUTED_VALUE"""),"Dell 24吋 U2412Mb")</f>
        <v>Dell 24吋 U2412Mb</v>
      </c>
      <c r="U253" s="41"/>
      <c r="V253" s="41"/>
      <c r="W253" s="41"/>
      <c r="X253" s="45" t="str">
        <f>IFERROR(__xludf.DUMMYFUNCTION("""COMPUTED_VALUE"""),"")</f>
        <v/>
      </c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</row>
    <row r="254">
      <c r="B254" s="41"/>
      <c r="C254" s="41" t="str">
        <f>IFERROR(__xludf.DUMMYFUNCTION("""COMPUTED_VALUE"""),"滿三年更換")</f>
        <v>滿三年更換</v>
      </c>
      <c r="D254" s="41" t="str">
        <f>IFERROR(__xludf.DUMMYFUNCTION("""COMPUTED_VALUE"""),"TW")</f>
        <v>TW</v>
      </c>
      <c r="E254" s="41"/>
      <c r="F254" s="41"/>
      <c r="G254" s="41"/>
      <c r="H254" s="65" t="str">
        <f>IFERROR(__xludf.DUMMYFUNCTION("""COMPUTED_VALUE"""),"研發中心:軟體工程部:前端團隊")</f>
        <v>研發中心:軟體工程部:前端團隊</v>
      </c>
      <c r="I254" s="41" t="str">
        <f>IFERROR(__xludf.DUMMYFUNCTION("""COMPUTED_VALUE"""),"資訊裝置")</f>
        <v>資訊裝置</v>
      </c>
      <c r="J254" s="41" t="str">
        <f>IFERROR(__xludf.DUMMYFUNCTION("""COMPUTED_VALUE"""),"AICHMN02101089")</f>
        <v>AICHMN02101089</v>
      </c>
      <c r="K254" s="41" t="str">
        <f>IFERROR(__xludf.DUMMYFUNCTION("""COMPUTED_VALUE"""),"螢幕")</f>
        <v>螢幕</v>
      </c>
      <c r="L254" s="41" t="str">
        <f>IFERROR(__xludf.DUMMYFUNCTION("""COMPUTED_VALUE"""),"CN-0941GG-QDC00-08N-12KB-A09")</f>
        <v>CN-0941GG-QDC00-08N-12KB-A09</v>
      </c>
      <c r="M254" s="41" t="str">
        <f>IFERROR(__xludf.DUMMYFUNCTION("""COMPUTED_VALUE"""),"謝明哲")</f>
        <v>謝明哲</v>
      </c>
      <c r="N254" s="65">
        <f>IFERROR(__xludf.DUMMYFUNCTION("""COMPUTED_VALUE"""),44215.0)</f>
        <v>44215</v>
      </c>
      <c r="O254" s="45">
        <f>IFERROR(__xludf.DUMMYFUNCTION("""COMPUTED_VALUE"""),40300.0)</f>
        <v>40300</v>
      </c>
      <c r="P254" s="41" t="str">
        <f>IFERROR(__xludf.DUMMYFUNCTION("""COMPUTED_VALUE"""),"資訊裝置")</f>
        <v>資訊裝置</v>
      </c>
      <c r="Q254" s="41">
        <f>IFERROR(__xludf.DUMMYFUNCTION("""COMPUTED_VALUE"""),36.0)</f>
        <v>36</v>
      </c>
      <c r="R254" s="41">
        <f>IFERROR(__xludf.DUMMYFUNCTION("""COMPUTED_VALUE"""),36.0)</f>
        <v>36</v>
      </c>
      <c r="S254" s="41" t="str">
        <f>IFERROR(__xludf.DUMMYFUNCTION("""COMPUTED_VALUE"""),"NT$40,300")</f>
        <v>NT$40,300</v>
      </c>
      <c r="T254" s="41" t="str">
        <f>IFERROR(__xludf.DUMMYFUNCTION("""COMPUTED_VALUE"""),"Dell 24吋 P2419H")</f>
        <v>Dell 24吋 P2419H</v>
      </c>
      <c r="U254" s="41"/>
      <c r="V254" s="41"/>
      <c r="W254" s="41"/>
      <c r="X254" s="45" t="str">
        <f>IFERROR(__xludf.DUMMYFUNCTION("""COMPUTED_VALUE"""),"")</f>
        <v/>
      </c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</row>
    <row r="255">
      <c r="B255" s="41"/>
      <c r="C255" s="41" t="str">
        <f>IFERROR(__xludf.DUMMYFUNCTION("""COMPUTED_VALUE"""),"滿三年更換")</f>
        <v>滿三年更換</v>
      </c>
      <c r="D255" s="41" t="str">
        <f>IFERROR(__xludf.DUMMYFUNCTION("""COMPUTED_VALUE"""),"TW")</f>
        <v>TW</v>
      </c>
      <c r="E255" s="41"/>
      <c r="F255" s="41"/>
      <c r="G255" s="41"/>
      <c r="H255" s="65" t="str">
        <f>IFERROR(__xludf.DUMMYFUNCTION("""COMPUTED_VALUE"""),"行銷營運中心:銷售營運部:銷售顧問團隊")</f>
        <v>行銷營運中心:銷售營運部:銷售顧問團隊</v>
      </c>
      <c r="I255" s="41" t="str">
        <f>IFERROR(__xludf.DUMMYFUNCTION("""COMPUTED_VALUE"""),"資訊裝置")</f>
        <v>資訊裝置</v>
      </c>
      <c r="J255" s="41" t="str">
        <f>IFERROR(__xludf.DUMMYFUNCTION("""COMPUTED_VALUE"""),"AICHMA02110041")</f>
        <v>AICHMA02110041</v>
      </c>
      <c r="K255" s="41" t="str">
        <f>IFERROR(__xludf.DUMMYFUNCTION("""COMPUTED_VALUE"""),"Macbook Air")</f>
        <v>Macbook Air</v>
      </c>
      <c r="L255" s="41" t="str">
        <f>IFERROR(__xludf.DUMMYFUNCTION("""COMPUTED_VALUE"""),"FVFG6DD2Q6LC")</f>
        <v>FVFG6DD2Q6LC</v>
      </c>
      <c r="M255" s="41" t="str">
        <f>IFERROR(__xludf.DUMMYFUNCTION("""COMPUTED_VALUE"""),"鍾志杰")</f>
        <v>鍾志杰</v>
      </c>
      <c r="N255" s="65">
        <f>IFERROR(__xludf.DUMMYFUNCTION("""COMPUTED_VALUE"""),44474.0)</f>
        <v>44474</v>
      </c>
      <c r="O255" s="45">
        <f>IFERROR(__xludf.DUMMYFUNCTION("""COMPUTED_VALUE"""),27075.0)</f>
        <v>27075</v>
      </c>
      <c r="P255" s="41" t="str">
        <f>IFERROR(__xludf.DUMMYFUNCTION("""COMPUTED_VALUE"""),"資訊裝置")</f>
        <v>資訊裝置</v>
      </c>
      <c r="Q255" s="41">
        <f>IFERROR(__xludf.DUMMYFUNCTION("""COMPUTED_VALUE"""),36.0)</f>
        <v>36</v>
      </c>
      <c r="R255" s="41">
        <f>IFERROR(__xludf.DUMMYFUNCTION("""COMPUTED_VALUE"""),36.0)</f>
        <v>36</v>
      </c>
      <c r="S255" s="41" t="str">
        <f>IFERROR(__xludf.DUMMYFUNCTION("""COMPUTED_VALUE"""),"NT$27,075")</f>
        <v>NT$27,075</v>
      </c>
      <c r="T255" s="41" t="str">
        <f>IFERROR(__xludf.DUMMYFUNCTION("""COMPUTED_VALUE"""),"A2337 MBA13 (2020) M1/8GBRAM/256GBSSD")</f>
        <v>A2337 MBA13 (2020) M1/8GBRAM/256GBSSD</v>
      </c>
      <c r="U255" s="41"/>
      <c r="V255" s="41"/>
      <c r="W255" s="41"/>
      <c r="X255" s="45" t="str">
        <f>IFERROR(__xludf.DUMMYFUNCTION("""COMPUTED_VALUE"""),"")</f>
        <v/>
      </c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</row>
    <row r="256">
      <c r="B256" s="41"/>
      <c r="C256" s="41" t="str">
        <f>IFERROR(__xludf.DUMMYFUNCTION("""COMPUTED_VALUE"""),"滿三年更換")</f>
        <v>滿三年更換</v>
      </c>
      <c r="D256" s="41" t="str">
        <f>IFERROR(__xludf.DUMMYFUNCTION("""COMPUTED_VALUE"""),"TW")</f>
        <v>TW</v>
      </c>
      <c r="E256" s="41"/>
      <c r="F256" s="41"/>
      <c r="G256" s="41"/>
      <c r="H256" s="65" t="str">
        <f>IFERROR(__xludf.DUMMYFUNCTION("""COMPUTED_VALUE"""),"研發中心:產品設計部:產品設計師團隊")</f>
        <v>研發中心:產品設計部:產品設計師團隊</v>
      </c>
      <c r="I256" s="41" t="str">
        <f>IFERROR(__xludf.DUMMYFUNCTION("""COMPUTED_VALUE"""),"資訊裝置")</f>
        <v>資訊裝置</v>
      </c>
      <c r="J256" s="41" t="str">
        <f>IFERROR(__xludf.DUMMYFUNCTION("""COMPUTED_VALUE"""),"AICHIP02008039")</f>
        <v>AICHIP02008039</v>
      </c>
      <c r="K256" s="41" t="str">
        <f>IFERROR(__xludf.DUMMYFUNCTION("""COMPUTED_VALUE"""),"iPad")</f>
        <v>iPad</v>
      </c>
      <c r="L256" s="41" t="str">
        <f>IFERROR(__xludf.DUMMYFUNCTION("""COMPUTED_VALUE"""),"DMPD33ZLMF3N")</f>
        <v>DMPD33ZLMF3N</v>
      </c>
      <c r="M256" s="41" t="str">
        <f>IFERROR(__xludf.DUMMYFUNCTION("""COMPUTED_VALUE"""),"鍾宛儒")</f>
        <v>鍾宛儒</v>
      </c>
      <c r="N256" s="65">
        <f>IFERROR(__xludf.DUMMYFUNCTION("""COMPUTED_VALUE"""),44074.0)</f>
        <v>44074</v>
      </c>
      <c r="O256" s="45">
        <f>IFERROR(__xludf.DUMMYFUNCTION("""COMPUTED_VALUE"""),27663.0)</f>
        <v>27663</v>
      </c>
      <c r="P256" s="41" t="str">
        <f>IFERROR(__xludf.DUMMYFUNCTION("""COMPUTED_VALUE"""),"資訊裝置")</f>
        <v>資訊裝置</v>
      </c>
      <c r="Q256" s="41">
        <f>IFERROR(__xludf.DUMMYFUNCTION("""COMPUTED_VALUE"""),36.0)</f>
        <v>36</v>
      </c>
      <c r="R256" s="41">
        <f>IFERROR(__xludf.DUMMYFUNCTION("""COMPUTED_VALUE"""),36.0)</f>
        <v>36</v>
      </c>
      <c r="S256" s="41" t="str">
        <f>IFERROR(__xludf.DUMMYFUNCTION("""COMPUTED_VALUE"""),"NT$27,663")</f>
        <v>NT$27,663</v>
      </c>
      <c r="T256" s="41" t="str">
        <f>IFERROR(__xludf.DUMMYFUNCTION("""COMPUTED_VALUE"""),"iPad (第七代) 32GB WIFI (A2197)")</f>
        <v>iPad (第七代) 32GB WIFI (A2197)</v>
      </c>
      <c r="U256" s="41"/>
      <c r="V256" s="41"/>
      <c r="W256" s="41"/>
      <c r="X256" s="45" t="str">
        <f>IFERROR(__xludf.DUMMYFUNCTION("""COMPUTED_VALUE"""),"")</f>
        <v/>
      </c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</row>
    <row r="257">
      <c r="B257" s="41"/>
      <c r="C257" s="41" t="str">
        <f>IFERROR(__xludf.DUMMYFUNCTION("""COMPUTED_VALUE"""),"滿三年更換")</f>
        <v>滿三年更換</v>
      </c>
      <c r="D257" s="41" t="str">
        <f>IFERROR(__xludf.DUMMYFUNCTION("""COMPUTED_VALUE"""),"TW")</f>
        <v>TW</v>
      </c>
      <c r="E257" s="41"/>
      <c r="F257" s="41"/>
      <c r="G257" s="41"/>
      <c r="H257" s="65" t="str">
        <f>IFERROR(__xludf.DUMMYFUNCTION("""COMPUTED_VALUE"""),"研發中心:產品設計部:產品設計師團隊")</f>
        <v>研發中心:產品設計部:產品設計師團隊</v>
      </c>
      <c r="I257" s="41" t="str">
        <f>IFERROR(__xludf.DUMMYFUNCTION("""COMPUTED_VALUE"""),"資訊裝置")</f>
        <v>資訊裝置</v>
      </c>
      <c r="J257" s="41" t="str">
        <f>IFERROR(__xludf.DUMMYFUNCTION("""COMPUTED_VALUE"""),"AICHMN02003064")</f>
        <v>AICHMN02003064</v>
      </c>
      <c r="K257" s="41" t="str">
        <f>IFERROR(__xludf.DUMMYFUNCTION("""COMPUTED_VALUE"""),"螢幕")</f>
        <v>螢幕</v>
      </c>
      <c r="L257" s="41" t="str">
        <f>IFERROR(__xludf.DUMMYFUNCTION("""COMPUTED_VALUE"""),"CN-043D22-TV100-9AE-034L-A07")</f>
        <v>CN-043D22-TV100-9AE-034L-A07</v>
      </c>
      <c r="M257" s="41" t="str">
        <f>IFERROR(__xludf.DUMMYFUNCTION("""COMPUTED_VALUE"""),"鍾宛儒")</f>
        <v>鍾宛儒</v>
      </c>
      <c r="N257" s="65">
        <f>IFERROR(__xludf.DUMMYFUNCTION("""COMPUTED_VALUE"""),43888.0)</f>
        <v>43888</v>
      </c>
      <c r="O257" s="41"/>
      <c r="P257" s="41" t="str">
        <f>IFERROR(__xludf.DUMMYFUNCTION("""COMPUTED_VALUE"""),"資訊裝置")</f>
        <v>資訊裝置</v>
      </c>
      <c r="Q257" s="41">
        <f>IFERROR(__xludf.DUMMYFUNCTION("""COMPUTED_VALUE"""),36.0)</f>
        <v>36</v>
      </c>
      <c r="R257" s="41">
        <f>IFERROR(__xludf.DUMMYFUNCTION("""COMPUTED_VALUE"""),36.0)</f>
        <v>36</v>
      </c>
      <c r="S257" s="41" t="str">
        <f>IFERROR(__xludf.DUMMYFUNCTION("""COMPUTED_VALUE"""),"NT$0")</f>
        <v>NT$0</v>
      </c>
      <c r="T257" s="41" t="str">
        <f>IFERROR(__xludf.DUMMYFUNCTION("""COMPUTED_VALUE"""),"Dell 24吋 SE2416H")</f>
        <v>Dell 24吋 SE2416H</v>
      </c>
      <c r="U257" s="41"/>
      <c r="V257" s="41"/>
      <c r="W257" s="41"/>
      <c r="X257" s="45" t="str">
        <f>IFERROR(__xludf.DUMMYFUNCTION("""COMPUTED_VALUE"""),"")</f>
        <v/>
      </c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</row>
    <row r="258">
      <c r="B258" s="41"/>
      <c r="C258" s="41" t="str">
        <f>IFERROR(__xludf.DUMMYFUNCTION("""COMPUTED_VALUE"""),"滿三年更換")</f>
        <v>滿三年更換</v>
      </c>
      <c r="D258" s="41" t="str">
        <f>IFERROR(__xludf.DUMMYFUNCTION("""COMPUTED_VALUE"""),"TW")</f>
        <v>TW</v>
      </c>
      <c r="E258" s="41"/>
      <c r="F258" s="41"/>
      <c r="G258" s="41"/>
      <c r="H258" s="41" t="str">
        <f>IFERROR(__xludf.DUMMYFUNCTION("""COMPUTED_VALUE"""),"管理中心:採購部")</f>
        <v>管理中心:採購部</v>
      </c>
      <c r="I258" s="41" t="str">
        <f>IFERROR(__xludf.DUMMYFUNCTION("""COMPUTED_VALUE"""),"資訊裝置")</f>
        <v>資訊裝置</v>
      </c>
      <c r="J258" s="41" t="str">
        <f>IFERROR(__xludf.DUMMYFUNCTION("""COMPUTED_VALUE"""),"AICHMN01604007")</f>
        <v>AICHMN01604007</v>
      </c>
      <c r="K258" s="41" t="str">
        <f>IFERROR(__xludf.DUMMYFUNCTION("""COMPUTED_VALUE"""),"螢幕")</f>
        <v>螢幕</v>
      </c>
      <c r="L258" s="41" t="str">
        <f>IFERROR(__xludf.DUMMYFUNCTION("""COMPUTED_VALUE"""),"ZX6VHTRD500014V")</f>
        <v>ZX6VHTRD500014V</v>
      </c>
      <c r="M258" s="41" t="str">
        <f>IFERROR(__xludf.DUMMYFUNCTION("""COMPUTED_VALUE"""),"簡亦秀")</f>
        <v>簡亦秀</v>
      </c>
      <c r="N258" s="65">
        <f>IFERROR(__xludf.DUMMYFUNCTION("""COMPUTED_VALUE"""),42468.0)</f>
        <v>42468</v>
      </c>
      <c r="O258" s="41"/>
      <c r="P258" s="41" t="str">
        <f>IFERROR(__xludf.DUMMYFUNCTION("""COMPUTED_VALUE"""),"資訊裝置")</f>
        <v>資訊裝置</v>
      </c>
      <c r="Q258" s="41">
        <f>IFERROR(__xludf.DUMMYFUNCTION("""COMPUTED_VALUE"""),36.0)</f>
        <v>36</v>
      </c>
      <c r="R258" s="41">
        <f>IFERROR(__xludf.DUMMYFUNCTION("""COMPUTED_VALUE"""),36.0)</f>
        <v>36</v>
      </c>
      <c r="S258" s="41" t="str">
        <f>IFERROR(__xludf.DUMMYFUNCTION("""COMPUTED_VALUE"""),"NT$0")</f>
        <v>NT$0</v>
      </c>
      <c r="T258" s="41" t="str">
        <f>IFERROR(__xludf.DUMMYFUNCTION("""COMPUTED_VALUE"""),"Samsung S23B350")</f>
        <v>Samsung S23B350</v>
      </c>
      <c r="U258" s="41"/>
      <c r="V258" s="41"/>
      <c r="W258" s="41"/>
      <c r="X258" s="45" t="str">
        <f>IFERROR(__xludf.DUMMYFUNCTION("""COMPUTED_VALUE"""),"")</f>
        <v/>
      </c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</row>
    <row r="259">
      <c r="B259" s="41"/>
      <c r="C259" s="41" t="str">
        <f>IFERROR(__xludf.DUMMYFUNCTION("""COMPUTED_VALUE"""),"滿三年更換")</f>
        <v>滿三年更換</v>
      </c>
      <c r="D259" s="41" t="str">
        <f>IFERROR(__xludf.DUMMYFUNCTION("""COMPUTED_VALUE"""),"TW")</f>
        <v>TW</v>
      </c>
      <c r="E259" s="41"/>
      <c r="F259" s="41"/>
      <c r="G259" s="41"/>
      <c r="H259" s="41" t="str">
        <f>IFERROR(__xludf.DUMMYFUNCTION("""COMPUTED_VALUE"""),"策略資料中心:策略規劃部")</f>
        <v>策略資料中心:策略規劃部</v>
      </c>
      <c r="I259" s="41" t="str">
        <f>IFERROR(__xludf.DUMMYFUNCTION("""COMPUTED_VALUE"""),"資訊裝置")</f>
        <v>資訊裝置</v>
      </c>
      <c r="J259" s="41" t="str">
        <f>IFERROR(__xludf.DUMMYFUNCTION("""COMPUTED_VALUE"""),"AICHMA02209048")</f>
        <v>AICHMA02209048</v>
      </c>
      <c r="K259" s="41" t="str">
        <f>IFERROR(__xludf.DUMMYFUNCTION("""COMPUTED_VALUE"""),"Macbook Air")</f>
        <v>Macbook Air</v>
      </c>
      <c r="L259" s="41" t="str">
        <f>IFERROR(__xludf.DUMMYFUNCTION("""COMPUTED_VALUE"""),"FVFJ705V1WGG")</f>
        <v>FVFJ705V1WGG</v>
      </c>
      <c r="M259" s="41" t="str">
        <f>IFERROR(__xludf.DUMMYFUNCTION("""COMPUTED_VALUE"""),"魏妤庭")</f>
        <v>魏妤庭</v>
      </c>
      <c r="N259" s="65">
        <f>IFERROR(__xludf.DUMMYFUNCTION("""COMPUTED_VALUE"""),44810.0)</f>
        <v>44810</v>
      </c>
      <c r="O259" s="45">
        <f>IFERROR(__xludf.DUMMYFUNCTION("""COMPUTED_VALUE"""),32400.0)</f>
        <v>32400</v>
      </c>
      <c r="P259" s="41" t="str">
        <f>IFERROR(__xludf.DUMMYFUNCTION("""COMPUTED_VALUE"""),"資訊裝置")</f>
        <v>資訊裝置</v>
      </c>
      <c r="Q259" s="41">
        <f>IFERROR(__xludf.DUMMYFUNCTION("""COMPUTED_VALUE"""),36.0)</f>
        <v>36</v>
      </c>
      <c r="R259" s="41">
        <f>IFERROR(__xludf.DUMMYFUNCTION("""COMPUTED_VALUE"""),36.0)</f>
        <v>36</v>
      </c>
      <c r="S259" s="41" t="str">
        <f>IFERROR(__xludf.DUMMYFUNCTION("""COMPUTED_VALUE"""),"NT$32,400")</f>
        <v>NT$32,400</v>
      </c>
      <c r="T259" s="41" t="str">
        <f>IFERROR(__xludf.DUMMYFUNCTION("""COMPUTED_VALUE"""),"MBA13 (2020) M1/16GBRAM/256GBSSD")</f>
        <v>MBA13 (2020) M1/16GBRAM/256GBSSD</v>
      </c>
      <c r="U259" s="41"/>
      <c r="V259" s="41"/>
      <c r="W259" s="41"/>
      <c r="X259" s="45" t="str">
        <f>IFERROR(__xludf.DUMMYFUNCTION("""COMPUTED_VALUE"""),"")</f>
        <v/>
      </c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</row>
    <row r="260">
      <c r="B260" s="41"/>
      <c r="C260" s="41" t="str">
        <f>IFERROR(__xludf.DUMMYFUNCTION("""COMPUTED_VALUE"""),"滿三年更換")</f>
        <v>滿三年更換</v>
      </c>
      <c r="D260" s="41" t="str">
        <f>IFERROR(__xludf.DUMMYFUNCTION("""COMPUTED_VALUE"""),"TW")</f>
        <v>TW</v>
      </c>
      <c r="E260" s="41"/>
      <c r="F260" s="41"/>
      <c r="G260" s="41"/>
      <c r="H260" s="41" t="str">
        <f>IFERROR(__xludf.DUMMYFUNCTION("""COMPUTED_VALUE"""),"策略資料中心:策略規劃部")</f>
        <v>策略資料中心:策略規劃部</v>
      </c>
      <c r="I260" s="41" t="str">
        <f>IFERROR(__xludf.DUMMYFUNCTION("""COMPUTED_VALUE"""),"資訊裝置")</f>
        <v>資訊裝置</v>
      </c>
      <c r="J260" s="41" t="str">
        <f>IFERROR(__xludf.DUMMYFUNCTION("""COMPUTED_VALUE"""),"AICHMN01705042")</f>
        <v>AICHMN01705042</v>
      </c>
      <c r="K260" s="41" t="str">
        <f>IFERROR(__xludf.DUMMYFUNCTION("""COMPUTED_VALUE"""),"螢幕")</f>
        <v>螢幕</v>
      </c>
      <c r="L260" s="41" t="str">
        <f>IFERROR(__xludf.DUMMYFUNCTION("""COMPUTED_VALUE"""),"CN-07N2FG-TV100-88G-034U-A08")</f>
        <v>CN-07N2FG-TV100-88G-034U-A08</v>
      </c>
      <c r="M260" s="41" t="str">
        <f>IFERROR(__xludf.DUMMYFUNCTION("""COMPUTED_VALUE"""),"魏妤庭")</f>
        <v>魏妤庭</v>
      </c>
      <c r="N260" s="65">
        <f>IFERROR(__xludf.DUMMYFUNCTION("""COMPUTED_VALUE"""),43245.0)</f>
        <v>43245</v>
      </c>
      <c r="O260" s="41"/>
      <c r="P260" s="41" t="str">
        <f>IFERROR(__xludf.DUMMYFUNCTION("""COMPUTED_VALUE"""),"資訊裝置")</f>
        <v>資訊裝置</v>
      </c>
      <c r="Q260" s="41">
        <f>IFERROR(__xludf.DUMMYFUNCTION("""COMPUTED_VALUE"""),36.0)</f>
        <v>36</v>
      </c>
      <c r="R260" s="41">
        <f>IFERROR(__xludf.DUMMYFUNCTION("""COMPUTED_VALUE"""),36.0)</f>
        <v>36</v>
      </c>
      <c r="S260" s="41" t="str">
        <f>IFERROR(__xludf.DUMMYFUNCTION("""COMPUTED_VALUE"""),"NT$0")</f>
        <v>NT$0</v>
      </c>
      <c r="T260" s="41" t="str">
        <f>IFERROR(__xludf.DUMMYFUNCTION("""COMPUTED_VALUE"""),"Dell 24吋 U2412Mc")</f>
        <v>Dell 24吋 U2412Mc</v>
      </c>
      <c r="U260" s="41"/>
      <c r="V260" s="41"/>
      <c r="W260" s="41"/>
      <c r="X260" s="45" t="str">
        <f>IFERROR(__xludf.DUMMYFUNCTION("""COMPUTED_VALUE"""),"")</f>
        <v/>
      </c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</row>
    <row r="261">
      <c r="B261" s="41"/>
      <c r="C261" s="41" t="str">
        <f>IFERROR(__xludf.DUMMYFUNCTION("""COMPUTED_VALUE"""),"滿三年更換")</f>
        <v>滿三年更換</v>
      </c>
      <c r="D261" s="41" t="str">
        <f>IFERROR(__xludf.DUMMYFUNCTION("""COMPUTED_VALUE"""),"TW")</f>
        <v>TW</v>
      </c>
      <c r="E261" s="41"/>
      <c r="F261" s="41"/>
      <c r="G261" s="41"/>
      <c r="H261" s="41" t="str">
        <f>IFERROR(__xludf.DUMMYFUNCTION("""COMPUTED_VALUE"""),"執行長室:稽核室")</f>
        <v>執行長室:稽核室</v>
      </c>
      <c r="I261" s="41" t="str">
        <f>IFERROR(__xludf.DUMMYFUNCTION("""COMPUTED_VALUE"""),"資訊裝置")</f>
        <v>資訊裝置</v>
      </c>
      <c r="J261" s="41" t="str">
        <f>IFERROR(__xludf.DUMMYFUNCTION("""COMPUTED_VALUE"""),"AICHMN01604011")</f>
        <v>AICHMN01604011</v>
      </c>
      <c r="K261" s="41" t="str">
        <f>IFERROR(__xludf.DUMMYFUNCTION("""COMPUTED_VALUE"""),"螢幕")</f>
        <v>螢幕</v>
      </c>
      <c r="L261" s="41" t="str">
        <f>IFERROR(__xludf.DUMMYFUNCTION("""COMPUTED_VALUE"""),"CN-0YR48V-74261-21T-0NPL")</f>
        <v>CN-0YR48V-74261-21T-0NPL</v>
      </c>
      <c r="M261" s="41" t="str">
        <f>IFERROR(__xludf.DUMMYFUNCTION("""COMPUTED_VALUE"""),"魏宜婷")</f>
        <v>魏宜婷</v>
      </c>
      <c r="N261" s="65">
        <f>IFERROR(__xludf.DUMMYFUNCTION("""COMPUTED_VALUE"""),42468.0)</f>
        <v>42468</v>
      </c>
      <c r="O261" s="41"/>
      <c r="P261" s="41" t="str">
        <f>IFERROR(__xludf.DUMMYFUNCTION("""COMPUTED_VALUE"""),"資訊裝置")</f>
        <v>資訊裝置</v>
      </c>
      <c r="Q261" s="41">
        <f>IFERROR(__xludf.DUMMYFUNCTION("""COMPUTED_VALUE"""),36.0)</f>
        <v>36</v>
      </c>
      <c r="R261" s="41">
        <f>IFERROR(__xludf.DUMMYFUNCTION("""COMPUTED_VALUE"""),36.0)</f>
        <v>36</v>
      </c>
      <c r="S261" s="41" t="str">
        <f>IFERROR(__xludf.DUMMYFUNCTION("""COMPUTED_VALUE"""),"NT$0")</f>
        <v>NT$0</v>
      </c>
      <c r="T261" s="41" t="str">
        <f>IFERROR(__xludf.DUMMYFUNCTION("""COMPUTED_VALUE"""),"Dell 24吋 U2412Mc")</f>
        <v>Dell 24吋 U2412Mc</v>
      </c>
      <c r="U261" s="41"/>
      <c r="V261" s="41"/>
      <c r="W261" s="41"/>
      <c r="X261" s="45" t="str">
        <f>IFERROR(__xludf.DUMMYFUNCTION("""COMPUTED_VALUE"""),"")</f>
        <v/>
      </c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</row>
    <row r="262">
      <c r="B262" s="41"/>
      <c r="C262" s="41" t="str">
        <f>IFERROR(__xludf.DUMMYFUNCTION("""COMPUTED_VALUE"""),"滿三年更換")</f>
        <v>滿三年更換</v>
      </c>
      <c r="D262" s="41" t="str">
        <f>IFERROR(__xludf.DUMMYFUNCTION("""COMPUTED_VALUE"""),"TW")</f>
        <v>TW</v>
      </c>
      <c r="E262" s="41"/>
      <c r="F262" s="41"/>
      <c r="G262" s="41"/>
      <c r="H262" s="65" t="str">
        <f>IFERROR(__xludf.DUMMYFUNCTION("""COMPUTED_VALUE"""),"行銷營運中心:銷售營運部:線上開發團隊")</f>
        <v>行銷營運中心:銷售營運部:線上開發團隊</v>
      </c>
      <c r="I262" s="41" t="str">
        <f>IFERROR(__xludf.DUMMYFUNCTION("""COMPUTED_VALUE"""),"資訊裝置")</f>
        <v>資訊裝置</v>
      </c>
      <c r="J262" s="41" t="str">
        <f>IFERROR(__xludf.DUMMYFUNCTION("""COMPUTED_VALUE"""),"AICHMA02112046")</f>
        <v>AICHMA02112046</v>
      </c>
      <c r="K262" s="41" t="str">
        <f>IFERROR(__xludf.DUMMYFUNCTION("""COMPUTED_VALUE"""),"Macbook Air")</f>
        <v>Macbook Air</v>
      </c>
      <c r="L262" s="41" t="str">
        <f>IFERROR(__xludf.DUMMYFUNCTION("""COMPUTED_VALUE"""),"FVFG430XQ6L7")</f>
        <v>FVFG430XQ6L7</v>
      </c>
      <c r="M262" s="41" t="str">
        <f>IFERROR(__xludf.DUMMYFUNCTION("""COMPUTED_VALUE"""),"魏梓穎")</f>
        <v>魏梓穎</v>
      </c>
      <c r="N262" s="66">
        <f>IFERROR(__xludf.DUMMYFUNCTION("""COMPUTED_VALUE"""),44557.0)</f>
        <v>44557</v>
      </c>
      <c r="O262" s="45">
        <f>IFERROR(__xludf.DUMMYFUNCTION("""COMPUTED_VALUE"""),27075.0)</f>
        <v>27075</v>
      </c>
      <c r="P262" s="41" t="str">
        <f>IFERROR(__xludf.DUMMYFUNCTION("""COMPUTED_VALUE"""),"資訊裝置")</f>
        <v>資訊裝置</v>
      </c>
      <c r="Q262" s="41">
        <f>IFERROR(__xludf.DUMMYFUNCTION("""COMPUTED_VALUE"""),36.0)</f>
        <v>36</v>
      </c>
      <c r="R262" s="41">
        <f>IFERROR(__xludf.DUMMYFUNCTION("""COMPUTED_VALUE"""),36.0)</f>
        <v>36</v>
      </c>
      <c r="S262" s="41" t="str">
        <f>IFERROR(__xludf.DUMMYFUNCTION("""COMPUTED_VALUE"""),"NT$27,075")</f>
        <v>NT$27,075</v>
      </c>
      <c r="T262" s="41" t="str">
        <f>IFERROR(__xludf.DUMMYFUNCTION("""COMPUTED_VALUE"""),"A2337 MBA13 (2020) M1/8GBRAM/256GBSSD")</f>
        <v>A2337 MBA13 (2020) M1/8GBRAM/256GBSSD</v>
      </c>
      <c r="U262" s="41"/>
      <c r="V262" s="41"/>
      <c r="W262" s="41"/>
      <c r="X262" s="45" t="str">
        <f>IFERROR(__xludf.DUMMYFUNCTION("""COMPUTED_VALUE"""),"")</f>
        <v/>
      </c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</row>
    <row r="263">
      <c r="B263" s="41"/>
      <c r="C263" s="41" t="str">
        <f>IFERROR(__xludf.DUMMYFUNCTION("""COMPUTED_VALUE"""),"滿三年更換")</f>
        <v>滿三年更換</v>
      </c>
      <c r="D263" s="41" t="str">
        <f>IFERROR(__xludf.DUMMYFUNCTION("""COMPUTED_VALUE"""),"TW")</f>
        <v>TW</v>
      </c>
      <c r="E263" s="41"/>
      <c r="F263" s="41"/>
      <c r="G263" s="41"/>
      <c r="H263" s="65" t="str">
        <f>IFERROR(__xludf.DUMMYFUNCTION("""COMPUTED_VALUE"""),"行銷營運中心:銷售營運部:線上開發團隊")</f>
        <v>行銷營運中心:銷售營運部:線上開發團隊</v>
      </c>
      <c r="I263" s="41" t="str">
        <f>IFERROR(__xludf.DUMMYFUNCTION("""COMPUTED_VALUE"""),"資訊裝置")</f>
        <v>資訊裝置</v>
      </c>
      <c r="J263" s="41" t="str">
        <f>IFERROR(__xludf.DUMMYFUNCTION("""COMPUTED_VALUE"""),"AICHMN02201111")</f>
        <v>AICHMN02201111</v>
      </c>
      <c r="K263" s="41" t="str">
        <f>IFERROR(__xludf.DUMMYFUNCTION("""COMPUTED_VALUE"""),"螢幕")</f>
        <v>螢幕</v>
      </c>
      <c r="L263" s="41" t="str">
        <f>IFERROR(__xludf.DUMMYFUNCTION("""COMPUTED_VALUE"""),"CN-0RCKX9-TV200-1AS-058V-A01")</f>
        <v>CN-0RCKX9-TV200-1AS-058V-A01</v>
      </c>
      <c r="M263" s="41" t="str">
        <f>IFERROR(__xludf.DUMMYFUNCTION("""COMPUTED_VALUE"""),"魏梓穎")</f>
        <v>魏梓穎</v>
      </c>
      <c r="N263" s="65">
        <f>IFERROR(__xludf.DUMMYFUNCTION("""COMPUTED_VALUE"""),44585.0)</f>
        <v>44585</v>
      </c>
      <c r="O263" s="45">
        <f>IFERROR(__xludf.DUMMYFUNCTION("""COMPUTED_VALUE"""),4370.0)</f>
        <v>4370</v>
      </c>
      <c r="P263" s="41" t="str">
        <f>IFERROR(__xludf.DUMMYFUNCTION("""COMPUTED_VALUE"""),"資訊裝置")</f>
        <v>資訊裝置</v>
      </c>
      <c r="Q263" s="41">
        <f>IFERROR(__xludf.DUMMYFUNCTION("""COMPUTED_VALUE"""),36.0)</f>
        <v>36</v>
      </c>
      <c r="R263" s="41">
        <f>IFERROR(__xludf.DUMMYFUNCTION("""COMPUTED_VALUE"""),36.0)</f>
        <v>36</v>
      </c>
      <c r="S263" s="41" t="str">
        <f>IFERROR(__xludf.DUMMYFUNCTION("""COMPUTED_VALUE"""),"NT$4,370")</f>
        <v>NT$4,370</v>
      </c>
      <c r="T263" s="41" t="str">
        <f>IFERROR(__xludf.DUMMYFUNCTION("""COMPUTED_VALUE"""),"Dell 27吋 SE2722H")</f>
        <v>Dell 27吋 SE2722H</v>
      </c>
      <c r="U263" s="41"/>
      <c r="V263" s="41"/>
      <c r="W263" s="41"/>
      <c r="X263" s="45" t="str">
        <f>IFERROR(__xludf.DUMMYFUNCTION("""COMPUTED_VALUE"""),"")</f>
        <v/>
      </c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</row>
    <row r="264">
      <c r="B264" s="41"/>
      <c r="C264" s="41" t="str">
        <f>IFERROR(__xludf.DUMMYFUNCTION("""COMPUTED_VALUE"""),"滿三年更換")</f>
        <v>滿三年更換</v>
      </c>
      <c r="D264" s="41" t="str">
        <f>IFERROR(__xludf.DUMMYFUNCTION("""COMPUTED_VALUE"""),"TW")</f>
        <v>TW</v>
      </c>
      <c r="E264" s="41"/>
      <c r="F264" s="41"/>
      <c r="G264" s="41"/>
      <c r="H264" s="65" t="str">
        <f>IFERROR(__xludf.DUMMYFUNCTION("""COMPUTED_VALUE"""),"研發中心:軟體工程部:後端團隊")</f>
        <v>研發中心:軟體工程部:後端團隊</v>
      </c>
      <c r="I264" s="41" t="str">
        <f>IFERROR(__xludf.DUMMYFUNCTION("""COMPUTED_VALUE"""),"資訊裝置")</f>
        <v>資訊裝置</v>
      </c>
      <c r="J264" s="41" t="str">
        <f>IFERROR(__xludf.DUMMYFUNCTION("""COMPUTED_VALUE"""),"AICHMP02102024")</f>
        <v>AICHMP02102024</v>
      </c>
      <c r="K264" s="41" t="str">
        <f>IFERROR(__xludf.DUMMYFUNCTION("""COMPUTED_VALUE"""),"Macbook Pro")</f>
        <v>Macbook Pro</v>
      </c>
      <c r="L264" s="41" t="str">
        <f>IFERROR(__xludf.DUMMYFUNCTION("""COMPUTED_VALUE"""),"C02F527LML85")</f>
        <v>C02F527LML85</v>
      </c>
      <c r="M264" s="41" t="str">
        <f>IFERROR(__xludf.DUMMYFUNCTION("""COMPUTED_VALUE"""),"羅芃")</f>
        <v>羅芃</v>
      </c>
      <c r="N264" s="65">
        <f>IFERROR(__xludf.DUMMYFUNCTION("""COMPUTED_VALUE"""),44230.0)</f>
        <v>44230</v>
      </c>
      <c r="O264" s="45">
        <f>IFERROR(__xludf.DUMMYFUNCTION("""COMPUTED_VALUE"""),61250.0)</f>
        <v>61250</v>
      </c>
      <c r="P264" s="41" t="str">
        <f>IFERROR(__xludf.DUMMYFUNCTION("""COMPUTED_VALUE"""),"資訊裝置")</f>
        <v>資訊裝置</v>
      </c>
      <c r="Q264" s="41">
        <f>IFERROR(__xludf.DUMMYFUNCTION("""COMPUTED_VALUE"""),36.0)</f>
        <v>36</v>
      </c>
      <c r="R264" s="41">
        <f>IFERROR(__xludf.DUMMYFUNCTION("""COMPUTED_VALUE"""),36.0)</f>
        <v>36</v>
      </c>
      <c r="S264" s="41" t="str">
        <f>IFERROR(__xludf.DUMMYFUNCTION("""COMPUTED_VALUE"""),"NT$61,250")</f>
        <v>NT$61,250</v>
      </c>
      <c r="T264" s="41" t="str">
        <f>IFERROR(__xludf.DUMMYFUNCTION("""COMPUTED_VALUE"""),"MBP13 (2020, Four Thunderbolt 3 ports) I7/32GBRAM/512GBSSD")</f>
        <v>MBP13 (2020, Four Thunderbolt 3 ports) I7/32GBRAM/512GBSSD</v>
      </c>
      <c r="U264" s="41"/>
      <c r="V264" s="41"/>
      <c r="W264" s="41"/>
      <c r="X264" s="45" t="str">
        <f>IFERROR(__xludf.DUMMYFUNCTION("""COMPUTED_VALUE"""),"")</f>
        <v/>
      </c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</row>
    <row r="265">
      <c r="B265" s="41"/>
      <c r="C265" s="41" t="str">
        <f>IFERROR(__xludf.DUMMYFUNCTION("""COMPUTED_VALUE"""),"滿三年更換")</f>
        <v>滿三年更換</v>
      </c>
      <c r="D265" s="41" t="str">
        <f>IFERROR(__xludf.DUMMYFUNCTION("""COMPUTED_VALUE"""),"TW")</f>
        <v>TW</v>
      </c>
      <c r="E265" s="41"/>
      <c r="F265" s="41"/>
      <c r="G265" s="41"/>
      <c r="H265" s="65" t="str">
        <f>IFERROR(__xludf.DUMMYFUNCTION("""COMPUTED_VALUE"""),"研發中心:軟體工程部:後端團隊")</f>
        <v>研發中心:軟體工程部:後端團隊</v>
      </c>
      <c r="I265" s="41" t="str">
        <f>IFERROR(__xludf.DUMMYFUNCTION("""COMPUTED_VALUE"""),"資訊裝置")</f>
        <v>資訊裝置</v>
      </c>
      <c r="J265" s="41" t="str">
        <f>IFERROR(__xludf.DUMMYFUNCTION("""COMPUTED_VALUE"""),"AICHMN02101092")</f>
        <v>AICHMN02101092</v>
      </c>
      <c r="K265" s="41" t="str">
        <f>IFERROR(__xludf.DUMMYFUNCTION("""COMPUTED_VALUE"""),"螢幕")</f>
        <v>螢幕</v>
      </c>
      <c r="L265" s="41" t="str">
        <f>IFERROR(__xludf.DUMMYFUNCTION("""COMPUTED_VALUE"""),"CN-0CYKT7-WSL00-0BR-C75W-A09")</f>
        <v>CN-0CYKT7-WSL00-0BR-C75W-A09</v>
      </c>
      <c r="M265" s="41" t="str">
        <f>IFERROR(__xludf.DUMMYFUNCTION("""COMPUTED_VALUE"""),"羅芃")</f>
        <v>羅芃</v>
      </c>
      <c r="N265" s="65">
        <f>IFERROR(__xludf.DUMMYFUNCTION("""COMPUTED_VALUE"""),44215.0)</f>
        <v>44215</v>
      </c>
      <c r="O265" s="45">
        <f>IFERROR(__xludf.DUMMYFUNCTION("""COMPUTED_VALUE"""),8400.0)</f>
        <v>8400</v>
      </c>
      <c r="P265" s="41" t="str">
        <f>IFERROR(__xludf.DUMMYFUNCTION("""COMPUTED_VALUE"""),"資訊裝置")</f>
        <v>資訊裝置</v>
      </c>
      <c r="Q265" s="41">
        <f>IFERROR(__xludf.DUMMYFUNCTION("""COMPUTED_VALUE"""),36.0)</f>
        <v>36</v>
      </c>
      <c r="R265" s="41">
        <f>IFERROR(__xludf.DUMMYFUNCTION("""COMPUTED_VALUE"""),36.0)</f>
        <v>36</v>
      </c>
      <c r="S265" s="41" t="str">
        <f>IFERROR(__xludf.DUMMYFUNCTION("""COMPUTED_VALUE"""),"NT$8,400")</f>
        <v>NT$8,400</v>
      </c>
      <c r="T265" s="41" t="str">
        <f>IFERROR(__xludf.DUMMYFUNCTION("""COMPUTED_VALUE"""),"Dell 24吋 U2419H")</f>
        <v>Dell 24吋 U2419H</v>
      </c>
      <c r="U265" s="41"/>
      <c r="V265" s="41"/>
      <c r="W265" s="41"/>
      <c r="X265" s="45" t="str">
        <f>IFERROR(__xludf.DUMMYFUNCTION("""COMPUTED_VALUE"""),"")</f>
        <v/>
      </c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</row>
    <row r="266">
      <c r="B266" s="41"/>
      <c r="C266" s="41" t="str">
        <f>IFERROR(__xludf.DUMMYFUNCTION("""COMPUTED_VALUE"""),"滿三年更換")</f>
        <v>滿三年更換</v>
      </c>
      <c r="D266" s="41" t="str">
        <f>IFERROR(__xludf.DUMMYFUNCTION("""COMPUTED_VALUE"""),"TW")</f>
        <v>TW</v>
      </c>
      <c r="E266" s="41"/>
      <c r="F266" s="41"/>
      <c r="G266" s="41"/>
      <c r="H266" s="65" t="str">
        <f>IFERROR(__xludf.DUMMYFUNCTION("""COMPUTED_VALUE"""),"研發中心:軟體工程部:後端團隊")</f>
        <v>研發中心:軟體工程部:後端團隊</v>
      </c>
      <c r="I266" s="41" t="str">
        <f>IFERROR(__xludf.DUMMYFUNCTION("""COMPUTED_VALUE"""),"資訊裝置")</f>
        <v>資訊裝置</v>
      </c>
      <c r="J266" s="41" t="str">
        <f>IFERROR(__xludf.DUMMYFUNCTION("""COMPUTED_VALUE"""),"AICHMN02101093")</f>
        <v>AICHMN02101093</v>
      </c>
      <c r="K266" s="41" t="str">
        <f>IFERROR(__xludf.DUMMYFUNCTION("""COMPUTED_VALUE"""),"螢幕")</f>
        <v>螢幕</v>
      </c>
      <c r="L266" s="41" t="str">
        <f>IFERROR(__xludf.DUMMYFUNCTION("""COMPUTED_VALUE"""),"CN-0941GG-QDC00-08N-4Y7S-A09")</f>
        <v>CN-0941GG-QDC00-08N-4Y7S-A09</v>
      </c>
      <c r="M266" s="41" t="str">
        <f>IFERROR(__xludf.DUMMYFUNCTION("""COMPUTED_VALUE"""),"羅芃")</f>
        <v>羅芃</v>
      </c>
      <c r="N266" s="65">
        <f>IFERROR(__xludf.DUMMYFUNCTION("""COMPUTED_VALUE"""),44216.0)</f>
        <v>44216</v>
      </c>
      <c r="O266" s="45">
        <f>IFERROR(__xludf.DUMMYFUNCTION("""COMPUTED_VALUE"""),7216.0)</f>
        <v>7216</v>
      </c>
      <c r="P266" s="41" t="str">
        <f>IFERROR(__xludf.DUMMYFUNCTION("""COMPUTED_VALUE"""),"資訊裝置")</f>
        <v>資訊裝置</v>
      </c>
      <c r="Q266" s="41">
        <f>IFERROR(__xludf.DUMMYFUNCTION("""COMPUTED_VALUE"""),36.0)</f>
        <v>36</v>
      </c>
      <c r="R266" s="41">
        <f>IFERROR(__xludf.DUMMYFUNCTION("""COMPUTED_VALUE"""),36.0)</f>
        <v>36</v>
      </c>
      <c r="S266" s="41" t="str">
        <f>IFERROR(__xludf.DUMMYFUNCTION("""COMPUTED_VALUE"""),"NT$7,216")</f>
        <v>NT$7,216</v>
      </c>
      <c r="T266" s="41" t="str">
        <f>IFERROR(__xludf.DUMMYFUNCTION("""COMPUTED_VALUE"""),"Dell 24吋 U2419H")</f>
        <v>Dell 24吋 U2419H</v>
      </c>
      <c r="U266" s="41"/>
      <c r="V266" s="41"/>
      <c r="W266" s="41"/>
      <c r="X266" s="45" t="str">
        <f>IFERROR(__xludf.DUMMYFUNCTION("""COMPUTED_VALUE"""),"")</f>
        <v/>
      </c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</row>
    <row r="267">
      <c r="B267" s="41"/>
      <c r="C267" s="41" t="str">
        <f>IFERROR(__xludf.DUMMYFUNCTION("""COMPUTED_VALUE"""),"滿三年更換")</f>
        <v>滿三年更換</v>
      </c>
      <c r="D267" s="41" t="str">
        <f>IFERROR(__xludf.DUMMYFUNCTION("""COMPUTED_VALUE"""),"TW")</f>
        <v>TW</v>
      </c>
      <c r="E267" s="41"/>
      <c r="F267" s="41"/>
      <c r="G267" s="41"/>
      <c r="H267" s="65" t="str">
        <f>IFERROR(__xludf.DUMMYFUNCTION("""COMPUTED_VALUE"""),"研發中心:軟體工程部:IOS團隊")</f>
        <v>研發中心:軟體工程部:IOS團隊</v>
      </c>
      <c r="I267" s="41" t="str">
        <f>IFERROR(__xludf.DUMMYFUNCTION("""COMPUTED_VALUE"""),"資訊裝置")</f>
        <v>資訊裝置</v>
      </c>
      <c r="J267" s="41" t="str">
        <f>IFERROR(__xludf.DUMMYFUNCTION("""COMPUTED_VALUE"""),"AICHMP02203046")</f>
        <v>AICHMP02203046</v>
      </c>
      <c r="K267" s="41" t="str">
        <f>IFERROR(__xludf.DUMMYFUNCTION("""COMPUTED_VALUE"""),"Macbook Pro")</f>
        <v>Macbook Pro</v>
      </c>
      <c r="L267" s="41" t="str">
        <f>IFERROR(__xludf.DUMMYFUNCTION("""COMPUTED_VALUE"""),"NQF9VJV4GM")</f>
        <v>NQF9VJV4GM</v>
      </c>
      <c r="M267" s="41" t="str">
        <f>IFERROR(__xludf.DUMMYFUNCTION("""COMPUTED_VALUE"""),"蘇健豪")</f>
        <v>蘇健豪</v>
      </c>
      <c r="N267" s="65">
        <f>IFERROR(__xludf.DUMMYFUNCTION("""COMPUTED_VALUE"""),44644.0)</f>
        <v>44644</v>
      </c>
      <c r="O267" s="45">
        <f>IFERROR(__xludf.DUMMYFUNCTION("""COMPUTED_VALUE"""),68300.0)</f>
        <v>68300</v>
      </c>
      <c r="P267" s="41" t="str">
        <f>IFERROR(__xludf.DUMMYFUNCTION("""COMPUTED_VALUE"""),"資訊裝置")</f>
        <v>資訊裝置</v>
      </c>
      <c r="Q267" s="41">
        <f>IFERROR(__xludf.DUMMYFUNCTION("""COMPUTED_VALUE"""),36.0)</f>
        <v>36</v>
      </c>
      <c r="R267" s="41">
        <f>IFERROR(__xludf.DUMMYFUNCTION("""COMPUTED_VALUE"""),36.0)</f>
        <v>36</v>
      </c>
      <c r="S267" s="41" t="str">
        <f>IFERROR(__xludf.DUMMYFUNCTION("""COMPUTED_VALUE"""),"NT$68,300")</f>
        <v>NT$68,300</v>
      </c>
      <c r="T267" s="41" t="str">
        <f>IFERROR(__xludf.DUMMYFUNCTION("""COMPUTED_VALUE"""),"MBP14 (2021) M1Pro/32GBRAM/512GBSSD")</f>
        <v>MBP14 (2021) M1Pro/32GBRAM/512GBSSD</v>
      </c>
      <c r="U267" s="41"/>
      <c r="V267" s="41"/>
      <c r="W267" s="41"/>
      <c r="X267" s="45" t="str">
        <f>IFERROR(__xludf.DUMMYFUNCTION("""COMPUTED_VALUE"""),"")</f>
        <v/>
      </c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</row>
    <row r="268">
      <c r="B268" s="41"/>
      <c r="C268" s="41" t="str">
        <f>IFERROR(__xludf.DUMMYFUNCTION("""COMPUTED_VALUE"""),"滿三年更換")</f>
        <v>滿三年更換</v>
      </c>
      <c r="D268" s="41" t="str">
        <f>IFERROR(__xludf.DUMMYFUNCTION("""COMPUTED_VALUE"""),"TW")</f>
        <v>TW</v>
      </c>
      <c r="E268" s="41"/>
      <c r="F268" s="41"/>
      <c r="G268" s="41"/>
      <c r="H268" s="65" t="str">
        <f>IFERROR(__xludf.DUMMYFUNCTION("""COMPUTED_VALUE"""),"研發中心:軟體工程部:IOS團隊")</f>
        <v>研發中心:軟體工程部:IOS團隊</v>
      </c>
      <c r="I268" s="41" t="str">
        <f>IFERROR(__xludf.DUMMYFUNCTION("""COMPUTED_VALUE"""),"資訊裝置")</f>
        <v>資訊裝置</v>
      </c>
      <c r="J268" s="41" t="str">
        <f>IFERROR(__xludf.DUMMYFUNCTION("""COMPUTED_VALUE"""),"AICHIP02102049")</f>
        <v>AICHIP02102049</v>
      </c>
      <c r="K268" s="41" t="str">
        <f>IFERROR(__xludf.DUMMYFUNCTION("""COMPUTED_VALUE"""),"iPad")</f>
        <v>iPad</v>
      </c>
      <c r="L268" s="41" t="str">
        <f>IFERROR(__xludf.DUMMYFUNCTION("""COMPUTED_VALUE"""),"DMPCPQ15MF3M")</f>
        <v>DMPCPQ15MF3M</v>
      </c>
      <c r="M268" s="41" t="str">
        <f>IFERROR(__xludf.DUMMYFUNCTION("""COMPUTED_VALUE"""),"蘇健豪")</f>
        <v>蘇健豪</v>
      </c>
      <c r="N268" s="65">
        <f>IFERROR(__xludf.DUMMYFUNCTION("""COMPUTED_VALUE"""),44236.0)</f>
        <v>44236</v>
      </c>
      <c r="O268" s="45">
        <f>IFERROR(__xludf.DUMMYFUNCTION("""COMPUTED_VALUE"""),8640.0)</f>
        <v>8640</v>
      </c>
      <c r="P268" s="41" t="str">
        <f>IFERROR(__xludf.DUMMYFUNCTION("""COMPUTED_VALUE"""),"資訊裝置")</f>
        <v>資訊裝置</v>
      </c>
      <c r="Q268" s="41">
        <f>IFERROR(__xludf.DUMMYFUNCTION("""COMPUTED_VALUE"""),36.0)</f>
        <v>36</v>
      </c>
      <c r="R268" s="41">
        <f>IFERROR(__xludf.DUMMYFUNCTION("""COMPUTED_VALUE"""),36.0)</f>
        <v>36</v>
      </c>
      <c r="S268" s="41" t="str">
        <f>IFERROR(__xludf.DUMMYFUNCTION("""COMPUTED_VALUE"""),"NT$8,640")</f>
        <v>NT$8,640</v>
      </c>
      <c r="T268" s="41" t="str">
        <f>IFERROR(__xludf.DUMMYFUNCTION("""COMPUTED_VALUE"""),"iPad (第七代) 32GB WIFI(A2197)")</f>
        <v>iPad (第七代) 32GB WIFI(A2197)</v>
      </c>
      <c r="U268" s="41"/>
      <c r="V268" s="41"/>
      <c r="W268" s="41"/>
      <c r="X268" s="45" t="str">
        <f>IFERROR(__xludf.DUMMYFUNCTION("""COMPUTED_VALUE"""),"")</f>
        <v/>
      </c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</row>
    <row r="269">
      <c r="B269" s="41"/>
      <c r="C269" s="41" t="str">
        <f>IFERROR(__xludf.DUMMYFUNCTION("""COMPUTED_VALUE"""),"滿三年更換")</f>
        <v>滿三年更換</v>
      </c>
      <c r="D269" s="41" t="str">
        <f>IFERROR(__xludf.DUMMYFUNCTION("""COMPUTED_VALUE"""),"TW")</f>
        <v>TW</v>
      </c>
      <c r="E269" s="41"/>
      <c r="F269" s="41"/>
      <c r="G269" s="41"/>
      <c r="H269" s="65" t="str">
        <f>IFERROR(__xludf.DUMMYFUNCTION("""COMPUTED_VALUE"""),"研發中心:軟體工程部:IOS團隊")</f>
        <v>研發中心:軟體工程部:IOS團隊</v>
      </c>
      <c r="I269" s="41" t="str">
        <f>IFERROR(__xludf.DUMMYFUNCTION("""COMPUTED_VALUE"""),"資訊裝置")</f>
        <v>資訊裝置</v>
      </c>
      <c r="J269" s="41" t="str">
        <f>IFERROR(__xludf.DUMMYFUNCTION("""COMPUTED_VALUE"""),"AICHMN02301124")</f>
        <v>AICHMN02301124</v>
      </c>
      <c r="K269" s="41" t="str">
        <f>IFERROR(__xludf.DUMMYFUNCTION("""COMPUTED_VALUE"""),"螢幕")</f>
        <v>螢幕</v>
      </c>
      <c r="L269" s="41" t="str">
        <f>IFERROR(__xludf.DUMMYFUNCTION("""COMPUTED_VALUE"""),"PB2T082A00434")</f>
        <v>PB2T082A00434</v>
      </c>
      <c r="M269" s="41" t="str">
        <f>IFERROR(__xludf.DUMMYFUNCTION("""COMPUTED_VALUE"""),"蘇健豪")</f>
        <v>蘇健豪</v>
      </c>
      <c r="N269" s="65">
        <f>IFERROR(__xludf.DUMMYFUNCTION("""COMPUTED_VALUE"""),44942.0)</f>
        <v>44942</v>
      </c>
      <c r="O269" s="41"/>
      <c r="P269" s="41" t="str">
        <f>IFERROR(__xludf.DUMMYFUNCTION("""COMPUTED_VALUE"""),"資訊裝置")</f>
        <v>資訊裝置</v>
      </c>
      <c r="Q269" s="41">
        <f>IFERROR(__xludf.DUMMYFUNCTION("""COMPUTED_VALUE"""),36.0)</f>
        <v>36</v>
      </c>
      <c r="R269" s="41">
        <f>IFERROR(__xludf.DUMMYFUNCTION("""COMPUTED_VALUE"""),33.0)</f>
        <v>33</v>
      </c>
      <c r="S269" s="41" t="str">
        <f>IFERROR(__xludf.DUMMYFUNCTION("""COMPUTED_VALUE"""),"NT$0")</f>
        <v>NT$0</v>
      </c>
      <c r="T269" s="41" t="str">
        <f>IFERROR(__xludf.DUMMYFUNCTION("""COMPUTED_VALUE"""),"MSI LCD PRO MP341CQW 3PB2")</f>
        <v>MSI LCD PRO MP341CQW 3PB2</v>
      </c>
      <c r="U269" s="41"/>
      <c r="V269" s="41"/>
      <c r="W269" s="41"/>
      <c r="X269" s="45" t="str">
        <f>IFERROR(__xludf.DUMMYFUNCTION("""COMPUTED_VALUE"""),"")</f>
        <v/>
      </c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</row>
    <row r="270">
      <c r="B270" s="41"/>
      <c r="C270" s="41" t="str">
        <f>IFERROR(__xludf.DUMMYFUNCTION("""COMPUTED_VALUE"""),"新人購入")</f>
        <v>新人購入</v>
      </c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5" t="str">
        <f>IFERROR(__xludf.DUMMYFUNCTION("""COMPUTED_VALUE"""),"")</f>
        <v/>
      </c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</row>
    <row r="271"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5" t="str">
        <f>IFERROR(__xludf.DUMMYFUNCTION("""COMPUTED_VALUE"""),"")</f>
        <v/>
      </c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</row>
    <row r="272"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5" t="str">
        <f>IFERROR(__xludf.DUMMYFUNCTION("""COMPUTED_VALUE"""),"")</f>
        <v/>
      </c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</row>
    <row r="273"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5" t="str">
        <f>IFERROR(__xludf.DUMMYFUNCTION("""COMPUTED_VALUE"""),"")</f>
        <v/>
      </c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</row>
    <row r="274"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5" t="str">
        <f>IFERROR(__xludf.DUMMYFUNCTION("""COMPUTED_VALUE"""),"")</f>
        <v/>
      </c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</row>
    <row r="275"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5" t="str">
        <f>IFERROR(__xludf.DUMMYFUNCTION("""COMPUTED_VALUE"""),"")</f>
        <v/>
      </c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</row>
    <row r="276"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5" t="str">
        <f>IFERROR(__xludf.DUMMYFUNCTION("""COMPUTED_VALUE"""),"")</f>
        <v/>
      </c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</row>
    <row r="277"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5" t="str">
        <f>IFERROR(__xludf.DUMMYFUNCTION("""COMPUTED_VALUE"""),"")</f>
        <v/>
      </c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</row>
    <row r="278"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5" t="str">
        <f>IFERROR(__xludf.DUMMYFUNCTION("""COMPUTED_VALUE"""),"")</f>
        <v/>
      </c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</row>
    <row r="279"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5" t="str">
        <f>IFERROR(__xludf.DUMMYFUNCTION("""COMPUTED_VALUE"""),"")</f>
        <v/>
      </c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</row>
    <row r="280"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5" t="str">
        <f>IFERROR(__xludf.DUMMYFUNCTION("""COMPUTED_VALUE"""),"")</f>
        <v/>
      </c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</row>
    <row r="281"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5" t="str">
        <f>IFERROR(__xludf.DUMMYFUNCTION("""COMPUTED_VALUE"""),"")</f>
        <v/>
      </c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</row>
    <row r="282"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5" t="str">
        <f>IFERROR(__xludf.DUMMYFUNCTION("""COMPUTED_VALUE"""),"")</f>
        <v/>
      </c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</row>
    <row r="283"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5" t="str">
        <f>IFERROR(__xludf.DUMMYFUNCTION("""COMPUTED_VALUE"""),"")</f>
        <v/>
      </c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</row>
    <row r="284"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5" t="str">
        <f>IFERROR(__xludf.DUMMYFUNCTION("""COMPUTED_VALUE"""),"")</f>
        <v/>
      </c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</row>
    <row r="285"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5" t="str">
        <f>IFERROR(__xludf.DUMMYFUNCTION("""COMPUTED_VALUE"""),"")</f>
        <v/>
      </c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</row>
    <row r="286"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5" t="str">
        <f>IFERROR(__xludf.DUMMYFUNCTION("""COMPUTED_VALUE"""),"")</f>
        <v/>
      </c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</row>
    <row r="287"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5" t="str">
        <f>IFERROR(__xludf.DUMMYFUNCTION("""COMPUTED_VALUE"""),"")</f>
        <v/>
      </c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</row>
    <row r="288"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5" t="str">
        <f>IFERROR(__xludf.DUMMYFUNCTION("""COMPUTED_VALUE"""),"")</f>
        <v/>
      </c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</row>
    <row r="289"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5" t="str">
        <f>IFERROR(__xludf.DUMMYFUNCTION("""COMPUTED_VALUE"""),"")</f>
        <v/>
      </c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</row>
    <row r="290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5" t="str">
        <f>IFERROR(__xludf.DUMMYFUNCTION("""COMPUTED_VALUE"""),"")</f>
        <v/>
      </c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</row>
    <row r="291"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5" t="str">
        <f>IFERROR(__xludf.DUMMYFUNCTION("""COMPUTED_VALUE"""),"")</f>
        <v/>
      </c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</row>
    <row r="292"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5" t="str">
        <f>IFERROR(__xludf.DUMMYFUNCTION("""COMPUTED_VALUE"""),"")</f>
        <v/>
      </c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</row>
    <row r="293"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5" t="str">
        <f>IFERROR(__xludf.DUMMYFUNCTION("""COMPUTED_VALUE"""),"")</f>
        <v/>
      </c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</row>
    <row r="294"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5" t="str">
        <f>IFERROR(__xludf.DUMMYFUNCTION("""COMPUTED_VALUE"""),"")</f>
        <v/>
      </c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</row>
    <row r="295"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5" t="str">
        <f>IFERROR(__xludf.DUMMYFUNCTION("""COMPUTED_VALUE"""),"")</f>
        <v/>
      </c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</row>
    <row r="296"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5" t="str">
        <f>IFERROR(__xludf.DUMMYFUNCTION("""COMPUTED_VALUE"""),"")</f>
        <v/>
      </c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</row>
    <row r="297"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5" t="str">
        <f>IFERROR(__xludf.DUMMYFUNCTION("""COMPUTED_VALUE"""),"")</f>
        <v/>
      </c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</row>
    <row r="298"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5" t="str">
        <f>IFERROR(__xludf.DUMMYFUNCTION("""COMPUTED_VALUE"""),"")</f>
        <v/>
      </c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</row>
    <row r="299"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5" t="str">
        <f>IFERROR(__xludf.DUMMYFUNCTION("""COMPUTED_VALUE"""),"")</f>
        <v/>
      </c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</row>
    <row r="300"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5" t="str">
        <f>IFERROR(__xludf.DUMMYFUNCTION("""COMPUTED_VALUE"""),"")</f>
        <v/>
      </c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</row>
    <row r="301"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5" t="str">
        <f>IFERROR(__xludf.DUMMYFUNCTION("""COMPUTED_VALUE"""),"")</f>
        <v/>
      </c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</row>
    <row r="302"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5" t="str">
        <f>IFERROR(__xludf.DUMMYFUNCTION("""COMPUTED_VALUE"""),"")</f>
        <v/>
      </c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</row>
    <row r="303"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5" t="str">
        <f>IFERROR(__xludf.DUMMYFUNCTION("""COMPUTED_VALUE"""),"")</f>
        <v/>
      </c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</row>
    <row r="304"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5" t="str">
        <f>IFERROR(__xludf.DUMMYFUNCTION("""COMPUTED_VALUE"""),"")</f>
        <v/>
      </c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</row>
    <row r="305"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5" t="str">
        <f>IFERROR(__xludf.DUMMYFUNCTION("""COMPUTED_VALUE"""),"")</f>
        <v/>
      </c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</row>
    <row r="306"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5" t="str">
        <f>IFERROR(__xludf.DUMMYFUNCTION("""COMPUTED_VALUE"""),"")</f>
        <v/>
      </c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</row>
    <row r="307"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5" t="str">
        <f>IFERROR(__xludf.DUMMYFUNCTION("""COMPUTED_VALUE"""),"")</f>
        <v/>
      </c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</row>
    <row r="308"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5" t="str">
        <f>IFERROR(__xludf.DUMMYFUNCTION("""COMPUTED_VALUE"""),"")</f>
        <v/>
      </c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</row>
    <row r="309"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5" t="str">
        <f>IFERROR(__xludf.DUMMYFUNCTION("""COMPUTED_VALUE"""),"")</f>
        <v/>
      </c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</row>
    <row r="310"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5" t="str">
        <f>IFERROR(__xludf.DUMMYFUNCTION("""COMPUTED_VALUE"""),"")</f>
        <v/>
      </c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</row>
    <row r="311"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5" t="str">
        <f>IFERROR(__xludf.DUMMYFUNCTION("""COMPUTED_VALUE"""),"")</f>
        <v/>
      </c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</row>
    <row r="312"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5" t="str">
        <f>IFERROR(__xludf.DUMMYFUNCTION("""COMPUTED_VALUE"""),"")</f>
        <v/>
      </c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</row>
    <row r="313"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5" t="str">
        <f>IFERROR(__xludf.DUMMYFUNCTION("""COMPUTED_VALUE"""),"")</f>
        <v/>
      </c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</row>
    <row r="314"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5" t="str">
        <f>IFERROR(__xludf.DUMMYFUNCTION("""COMPUTED_VALUE"""),"")</f>
        <v/>
      </c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</row>
    <row r="315"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5" t="str">
        <f>IFERROR(__xludf.DUMMYFUNCTION("""COMPUTED_VALUE"""),"")</f>
        <v/>
      </c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</row>
    <row r="316"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5" t="str">
        <f>IFERROR(__xludf.DUMMYFUNCTION("""COMPUTED_VALUE"""),"")</f>
        <v/>
      </c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</row>
    <row r="317"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5" t="str">
        <f>IFERROR(__xludf.DUMMYFUNCTION("""COMPUTED_VALUE"""),"")</f>
        <v/>
      </c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</row>
    <row r="318"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5" t="str">
        <f>IFERROR(__xludf.DUMMYFUNCTION("""COMPUTED_VALUE"""),"")</f>
        <v/>
      </c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</row>
    <row r="319"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5" t="str">
        <f>IFERROR(__xludf.DUMMYFUNCTION("""COMPUTED_VALUE"""),"")</f>
        <v/>
      </c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</row>
    <row r="320"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5" t="str">
        <f>IFERROR(__xludf.DUMMYFUNCTION("""COMPUTED_VALUE"""),"")</f>
        <v/>
      </c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</row>
    <row r="321"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5" t="str">
        <f>IFERROR(__xludf.DUMMYFUNCTION("""COMPUTED_VALUE"""),"")</f>
        <v/>
      </c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</row>
    <row r="322"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5" t="str">
        <f>IFERROR(__xludf.DUMMYFUNCTION("""COMPUTED_VALUE"""),"")</f>
        <v/>
      </c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</row>
    <row r="323"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5" t="str">
        <f>IFERROR(__xludf.DUMMYFUNCTION("""COMPUTED_VALUE"""),"")</f>
        <v/>
      </c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</row>
    <row r="324"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5" t="str">
        <f>IFERROR(__xludf.DUMMYFUNCTION("""COMPUTED_VALUE"""),"")</f>
        <v/>
      </c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</row>
    <row r="325"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5" t="str">
        <f>IFERROR(__xludf.DUMMYFUNCTION("""COMPUTED_VALUE"""),"")</f>
        <v/>
      </c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</row>
    <row r="326"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5" t="str">
        <f>IFERROR(__xludf.DUMMYFUNCTION("""COMPUTED_VALUE"""),"")</f>
        <v/>
      </c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</row>
    <row r="327"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5" t="str">
        <f>IFERROR(__xludf.DUMMYFUNCTION("""COMPUTED_VALUE"""),"")</f>
        <v/>
      </c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</row>
    <row r="328"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5" t="str">
        <f>IFERROR(__xludf.DUMMYFUNCTION("""COMPUTED_VALUE"""),"")</f>
        <v/>
      </c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</row>
    <row r="329"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5" t="str">
        <f>IFERROR(__xludf.DUMMYFUNCTION("""COMPUTED_VALUE"""),"")</f>
        <v/>
      </c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</row>
    <row r="330"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5" t="str">
        <f>IFERROR(__xludf.DUMMYFUNCTION("""COMPUTED_VALUE"""),"")</f>
        <v/>
      </c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</row>
    <row r="331"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5" t="str">
        <f>IFERROR(__xludf.DUMMYFUNCTION("""COMPUTED_VALUE"""),"")</f>
        <v/>
      </c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</row>
    <row r="332"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5" t="str">
        <f>IFERROR(__xludf.DUMMYFUNCTION("""COMPUTED_VALUE"""),"")</f>
        <v/>
      </c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</row>
    <row r="333"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5" t="str">
        <f>IFERROR(__xludf.DUMMYFUNCTION("""COMPUTED_VALUE"""),"")</f>
        <v/>
      </c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</row>
    <row r="334"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5" t="str">
        <f>IFERROR(__xludf.DUMMYFUNCTION("""COMPUTED_VALUE"""),"")</f>
        <v/>
      </c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</row>
    <row r="335"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5" t="str">
        <f>IFERROR(__xludf.DUMMYFUNCTION("""COMPUTED_VALUE"""),"")</f>
        <v/>
      </c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</row>
    <row r="336"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5" t="str">
        <f>IFERROR(__xludf.DUMMYFUNCTION("""COMPUTED_VALUE"""),"")</f>
        <v/>
      </c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</row>
    <row r="337"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5" t="str">
        <f>IFERROR(__xludf.DUMMYFUNCTION("""COMPUTED_VALUE"""),"")</f>
        <v/>
      </c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</row>
    <row r="338"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5" t="str">
        <f>IFERROR(__xludf.DUMMYFUNCTION("""COMPUTED_VALUE"""),"")</f>
        <v/>
      </c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</row>
    <row r="339"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5" t="str">
        <f>IFERROR(__xludf.DUMMYFUNCTION("""COMPUTED_VALUE"""),"")</f>
        <v/>
      </c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</row>
    <row r="340"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5" t="str">
        <f>IFERROR(__xludf.DUMMYFUNCTION("""COMPUTED_VALUE"""),"")</f>
        <v/>
      </c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</row>
    <row r="341"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5" t="str">
        <f>IFERROR(__xludf.DUMMYFUNCTION("""COMPUTED_VALUE"""),"")</f>
        <v/>
      </c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</row>
    <row r="342"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5" t="str">
        <f>IFERROR(__xludf.DUMMYFUNCTION("""COMPUTED_VALUE"""),"")</f>
        <v/>
      </c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</row>
    <row r="343"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5" t="str">
        <f>IFERROR(__xludf.DUMMYFUNCTION("""COMPUTED_VALUE"""),"")</f>
        <v/>
      </c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</row>
    <row r="344"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5" t="str">
        <f>IFERROR(__xludf.DUMMYFUNCTION("""COMPUTED_VALUE"""),"")</f>
        <v/>
      </c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</row>
    <row r="345"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5" t="str">
        <f>IFERROR(__xludf.DUMMYFUNCTION("""COMPUTED_VALUE"""),"")</f>
        <v/>
      </c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</row>
    <row r="346"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5" t="str">
        <f>IFERROR(__xludf.DUMMYFUNCTION("""COMPUTED_VALUE"""),"")</f>
        <v/>
      </c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</row>
    <row r="347"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5" t="str">
        <f>IFERROR(__xludf.DUMMYFUNCTION("""COMPUTED_VALUE"""),"")</f>
        <v/>
      </c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</row>
    <row r="348"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5" t="str">
        <f>IFERROR(__xludf.DUMMYFUNCTION("""COMPUTED_VALUE"""),"")</f>
        <v/>
      </c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</row>
    <row r="349"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5" t="str">
        <f>IFERROR(__xludf.DUMMYFUNCTION("""COMPUTED_VALUE"""),"")</f>
        <v/>
      </c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</row>
    <row r="350"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5" t="str">
        <f>IFERROR(__xludf.DUMMYFUNCTION("""COMPUTED_VALUE"""),"")</f>
        <v/>
      </c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</row>
    <row r="351"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5" t="str">
        <f>IFERROR(__xludf.DUMMYFUNCTION("""COMPUTED_VALUE"""),"")</f>
        <v/>
      </c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</row>
    <row r="352"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5" t="str">
        <f>IFERROR(__xludf.DUMMYFUNCTION("""COMPUTED_VALUE"""),"")</f>
        <v/>
      </c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</row>
    <row r="353"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5" t="str">
        <f>IFERROR(__xludf.DUMMYFUNCTION("""COMPUTED_VALUE"""),"")</f>
        <v/>
      </c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</row>
    <row r="354"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5" t="str">
        <f>IFERROR(__xludf.DUMMYFUNCTION("""COMPUTED_VALUE"""),"")</f>
        <v/>
      </c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</row>
    <row r="355"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5" t="str">
        <f>IFERROR(__xludf.DUMMYFUNCTION("""COMPUTED_VALUE"""),"")</f>
        <v/>
      </c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</row>
    <row r="356"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5" t="str">
        <f>IFERROR(__xludf.DUMMYFUNCTION("""COMPUTED_VALUE"""),"")</f>
        <v/>
      </c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</row>
    <row r="357"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5" t="str">
        <f>IFERROR(__xludf.DUMMYFUNCTION("""COMPUTED_VALUE"""),"")</f>
        <v/>
      </c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</row>
    <row r="358"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5" t="str">
        <f>IFERROR(__xludf.DUMMYFUNCTION("""COMPUTED_VALUE"""),"")</f>
        <v/>
      </c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</row>
    <row r="359"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5" t="str">
        <f>IFERROR(__xludf.DUMMYFUNCTION("""COMPUTED_VALUE"""),"")</f>
        <v/>
      </c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</row>
    <row r="360"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5" t="str">
        <f>IFERROR(__xludf.DUMMYFUNCTION("""COMPUTED_VALUE"""),"")</f>
        <v/>
      </c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</row>
    <row r="361"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5" t="str">
        <f>IFERROR(__xludf.DUMMYFUNCTION("""COMPUTED_VALUE"""),"")</f>
        <v/>
      </c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</row>
    <row r="362"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5" t="str">
        <f>IFERROR(__xludf.DUMMYFUNCTION("""COMPUTED_VALUE"""),"")</f>
        <v/>
      </c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</row>
    <row r="363"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5" t="str">
        <f>IFERROR(__xludf.DUMMYFUNCTION("""COMPUTED_VALUE"""),"")</f>
        <v/>
      </c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</row>
    <row r="364"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5" t="str">
        <f>IFERROR(__xludf.DUMMYFUNCTION("""COMPUTED_VALUE"""),"")</f>
        <v/>
      </c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</row>
    <row r="365"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5" t="str">
        <f>IFERROR(__xludf.DUMMYFUNCTION("""COMPUTED_VALUE"""),"")</f>
        <v/>
      </c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</row>
    <row r="366"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5" t="str">
        <f>IFERROR(__xludf.DUMMYFUNCTION("""COMPUTED_VALUE"""),"")</f>
        <v/>
      </c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</row>
    <row r="367"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5" t="str">
        <f>IFERROR(__xludf.DUMMYFUNCTION("""COMPUTED_VALUE"""),"")</f>
        <v/>
      </c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</row>
    <row r="368"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5" t="str">
        <f>IFERROR(__xludf.DUMMYFUNCTION("""COMPUTED_VALUE"""),"")</f>
        <v/>
      </c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</row>
    <row r="369"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5" t="str">
        <f>IFERROR(__xludf.DUMMYFUNCTION("""COMPUTED_VALUE"""),"")</f>
        <v/>
      </c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</row>
    <row r="370"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5" t="str">
        <f>IFERROR(__xludf.DUMMYFUNCTION("""COMPUTED_VALUE"""),"")</f>
        <v/>
      </c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</row>
    <row r="371"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5" t="str">
        <f>IFERROR(__xludf.DUMMYFUNCTION("""COMPUTED_VALUE"""),"")</f>
        <v/>
      </c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</row>
    <row r="372"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5" t="str">
        <f>IFERROR(__xludf.DUMMYFUNCTION("""COMPUTED_VALUE"""),"")</f>
        <v/>
      </c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</row>
    <row r="373"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5" t="str">
        <f>IFERROR(__xludf.DUMMYFUNCTION("""COMPUTED_VALUE"""),"")</f>
        <v/>
      </c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</row>
    <row r="374"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5" t="str">
        <f>IFERROR(__xludf.DUMMYFUNCTION("""COMPUTED_VALUE"""),"")</f>
        <v/>
      </c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</row>
    <row r="375"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5" t="str">
        <f>IFERROR(__xludf.DUMMYFUNCTION("""COMPUTED_VALUE"""),"")</f>
        <v/>
      </c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</row>
    <row r="376"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5" t="str">
        <f>IFERROR(__xludf.DUMMYFUNCTION("""COMPUTED_VALUE"""),"")</f>
        <v/>
      </c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</row>
    <row r="377"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5" t="str">
        <f>IFERROR(__xludf.DUMMYFUNCTION("""COMPUTED_VALUE"""),"")</f>
        <v/>
      </c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</row>
    <row r="378"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5" t="str">
        <f>IFERROR(__xludf.DUMMYFUNCTION("""COMPUTED_VALUE"""),"")</f>
        <v/>
      </c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</row>
    <row r="379"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5" t="str">
        <f>IFERROR(__xludf.DUMMYFUNCTION("""COMPUTED_VALUE"""),"")</f>
        <v/>
      </c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</row>
    <row r="380"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5" t="str">
        <f>IFERROR(__xludf.DUMMYFUNCTION("""COMPUTED_VALUE"""),"")</f>
        <v/>
      </c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</row>
    <row r="381"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5" t="str">
        <f>IFERROR(__xludf.DUMMYFUNCTION("""COMPUTED_VALUE"""),"")</f>
        <v/>
      </c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</row>
    <row r="382"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5" t="str">
        <f>IFERROR(__xludf.DUMMYFUNCTION("""COMPUTED_VALUE"""),"")</f>
        <v/>
      </c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</row>
    <row r="383"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5" t="str">
        <f>IFERROR(__xludf.DUMMYFUNCTION("""COMPUTED_VALUE"""),"")</f>
        <v/>
      </c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</row>
    <row r="384"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5" t="str">
        <f>IFERROR(__xludf.DUMMYFUNCTION("""COMPUTED_VALUE"""),"")</f>
        <v/>
      </c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</row>
    <row r="385"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5" t="str">
        <f>IFERROR(__xludf.DUMMYFUNCTION("""COMPUTED_VALUE"""),"")</f>
        <v/>
      </c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</row>
    <row r="386"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5" t="str">
        <f>IFERROR(__xludf.DUMMYFUNCTION("""COMPUTED_VALUE"""),"")</f>
        <v/>
      </c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</row>
    <row r="387"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5" t="str">
        <f>IFERROR(__xludf.DUMMYFUNCTION("""COMPUTED_VALUE"""),"")</f>
        <v/>
      </c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</row>
    <row r="388"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5" t="str">
        <f>IFERROR(__xludf.DUMMYFUNCTION("""COMPUTED_VALUE"""),"")</f>
        <v/>
      </c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</row>
    <row r="389"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5" t="str">
        <f>IFERROR(__xludf.DUMMYFUNCTION("""COMPUTED_VALUE"""),"")</f>
        <v/>
      </c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</row>
    <row r="390"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5" t="str">
        <f>IFERROR(__xludf.DUMMYFUNCTION("""COMPUTED_VALUE"""),"")</f>
        <v/>
      </c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</row>
    <row r="391"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5" t="str">
        <f>IFERROR(__xludf.DUMMYFUNCTION("""COMPUTED_VALUE"""),"")</f>
        <v/>
      </c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</row>
    <row r="392"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5" t="str">
        <f>IFERROR(__xludf.DUMMYFUNCTION("""COMPUTED_VALUE"""),"")</f>
        <v/>
      </c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</row>
    <row r="393"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5" t="str">
        <f>IFERROR(__xludf.DUMMYFUNCTION("""COMPUTED_VALUE"""),"")</f>
        <v/>
      </c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</row>
    <row r="394"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5" t="str">
        <f>IFERROR(__xludf.DUMMYFUNCTION("""COMPUTED_VALUE"""),"")</f>
        <v/>
      </c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</row>
    <row r="395"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5" t="str">
        <f>IFERROR(__xludf.DUMMYFUNCTION("""COMPUTED_VALUE"""),"")</f>
        <v/>
      </c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</row>
    <row r="396"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5" t="str">
        <f>IFERROR(__xludf.DUMMYFUNCTION("""COMPUTED_VALUE"""),"")</f>
        <v/>
      </c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</row>
    <row r="397"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5" t="str">
        <f>IFERROR(__xludf.DUMMYFUNCTION("""COMPUTED_VALUE"""),"")</f>
        <v/>
      </c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</row>
    <row r="398"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5" t="str">
        <f>IFERROR(__xludf.DUMMYFUNCTION("""COMPUTED_VALUE"""),"")</f>
        <v/>
      </c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</row>
    <row r="399"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5" t="str">
        <f>IFERROR(__xludf.DUMMYFUNCTION("""COMPUTED_VALUE"""),"")</f>
        <v/>
      </c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</row>
    <row r="400"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5" t="str">
        <f>IFERROR(__xludf.DUMMYFUNCTION("""COMPUTED_VALUE"""),"")</f>
        <v/>
      </c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</row>
    <row r="401"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5" t="str">
        <f>IFERROR(__xludf.DUMMYFUNCTION("""COMPUTED_VALUE"""),"")</f>
        <v/>
      </c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</row>
    <row r="402"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5" t="str">
        <f>IFERROR(__xludf.DUMMYFUNCTION("""COMPUTED_VALUE"""),"")</f>
        <v/>
      </c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</row>
    <row r="403"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5" t="str">
        <f>IFERROR(__xludf.DUMMYFUNCTION("""COMPUTED_VALUE"""),"")</f>
        <v/>
      </c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</row>
    <row r="404"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5" t="str">
        <f>IFERROR(__xludf.DUMMYFUNCTION("""COMPUTED_VALUE"""),"")</f>
        <v/>
      </c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</row>
    <row r="405"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5" t="str">
        <f>IFERROR(__xludf.DUMMYFUNCTION("""COMPUTED_VALUE"""),"")</f>
        <v/>
      </c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</row>
    <row r="406"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5" t="str">
        <f>IFERROR(__xludf.DUMMYFUNCTION("""COMPUTED_VALUE"""),"")</f>
        <v/>
      </c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</row>
    <row r="407"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5" t="str">
        <f>IFERROR(__xludf.DUMMYFUNCTION("""COMPUTED_VALUE"""),"")</f>
        <v/>
      </c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</row>
    <row r="408"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5" t="str">
        <f>IFERROR(__xludf.DUMMYFUNCTION("""COMPUTED_VALUE"""),"")</f>
        <v/>
      </c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</row>
    <row r="409"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5" t="str">
        <f>IFERROR(__xludf.DUMMYFUNCTION("""COMPUTED_VALUE"""),"")</f>
        <v/>
      </c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</row>
    <row r="410"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5" t="str">
        <f>IFERROR(__xludf.DUMMYFUNCTION("""COMPUTED_VALUE"""),"")</f>
        <v/>
      </c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</row>
    <row r="411"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5" t="str">
        <f>IFERROR(__xludf.DUMMYFUNCTION("""COMPUTED_VALUE"""),"")</f>
        <v/>
      </c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</row>
    <row r="412"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5" t="str">
        <f>IFERROR(__xludf.DUMMYFUNCTION("""COMPUTED_VALUE"""),"")</f>
        <v/>
      </c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</row>
    <row r="413"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5" t="str">
        <f>IFERROR(__xludf.DUMMYFUNCTION("""COMPUTED_VALUE"""),"")</f>
        <v/>
      </c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</row>
    <row r="414"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5" t="str">
        <f>IFERROR(__xludf.DUMMYFUNCTION("""COMPUTED_VALUE"""),"")</f>
        <v/>
      </c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</row>
    <row r="415"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5" t="str">
        <f>IFERROR(__xludf.DUMMYFUNCTION("""COMPUTED_VALUE"""),"")</f>
        <v/>
      </c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</row>
    <row r="416"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5" t="str">
        <f>IFERROR(__xludf.DUMMYFUNCTION("""COMPUTED_VALUE"""),"")</f>
        <v/>
      </c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</row>
    <row r="417"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5" t="str">
        <f>IFERROR(__xludf.DUMMYFUNCTION("""COMPUTED_VALUE"""),"")</f>
        <v/>
      </c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</row>
    <row r="418"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5" t="str">
        <f>IFERROR(__xludf.DUMMYFUNCTION("""COMPUTED_VALUE"""),"")</f>
        <v/>
      </c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</row>
    <row r="419"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5" t="str">
        <f>IFERROR(__xludf.DUMMYFUNCTION("""COMPUTED_VALUE"""),"")</f>
        <v/>
      </c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</row>
    <row r="420"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5" t="str">
        <f>IFERROR(__xludf.DUMMYFUNCTION("""COMPUTED_VALUE"""),"")</f>
        <v/>
      </c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</row>
    <row r="421"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5" t="str">
        <f>IFERROR(__xludf.DUMMYFUNCTION("""COMPUTED_VALUE"""),"")</f>
        <v/>
      </c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</row>
    <row r="422"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5" t="str">
        <f>IFERROR(__xludf.DUMMYFUNCTION("""COMPUTED_VALUE"""),"")</f>
        <v/>
      </c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</row>
    <row r="423"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5" t="str">
        <f>IFERROR(__xludf.DUMMYFUNCTION("""COMPUTED_VALUE"""),"")</f>
        <v/>
      </c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</row>
    <row r="424"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5" t="str">
        <f>IFERROR(__xludf.DUMMYFUNCTION("""COMPUTED_VALUE"""),"")</f>
        <v/>
      </c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</row>
    <row r="425"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5" t="str">
        <f>IFERROR(__xludf.DUMMYFUNCTION("""COMPUTED_VALUE"""),"")</f>
        <v/>
      </c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</row>
    <row r="426"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5" t="str">
        <f>IFERROR(__xludf.DUMMYFUNCTION("""COMPUTED_VALUE"""),"")</f>
        <v/>
      </c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</row>
    <row r="427"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5" t="str">
        <f>IFERROR(__xludf.DUMMYFUNCTION("""COMPUTED_VALUE"""),"")</f>
        <v/>
      </c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</row>
    <row r="428"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5" t="str">
        <f>IFERROR(__xludf.DUMMYFUNCTION("""COMPUTED_VALUE"""),"")</f>
        <v/>
      </c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</row>
    <row r="429"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5" t="str">
        <f>IFERROR(__xludf.DUMMYFUNCTION("""COMPUTED_VALUE"""),"")</f>
        <v/>
      </c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</row>
    <row r="430"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5" t="str">
        <f>IFERROR(__xludf.DUMMYFUNCTION("""COMPUTED_VALUE"""),"")</f>
        <v/>
      </c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</row>
    <row r="431"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5" t="str">
        <f>IFERROR(__xludf.DUMMYFUNCTION("""COMPUTED_VALUE"""),"")</f>
        <v/>
      </c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</row>
    <row r="432"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5" t="str">
        <f>IFERROR(__xludf.DUMMYFUNCTION("""COMPUTED_VALUE"""),"")</f>
        <v/>
      </c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</row>
    <row r="433"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5" t="str">
        <f>IFERROR(__xludf.DUMMYFUNCTION("""COMPUTED_VALUE"""),"")</f>
        <v/>
      </c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</row>
    <row r="434"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5" t="str">
        <f>IFERROR(__xludf.DUMMYFUNCTION("""COMPUTED_VALUE"""),"")</f>
        <v/>
      </c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</row>
    <row r="435"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5" t="str">
        <f>IFERROR(__xludf.DUMMYFUNCTION("""COMPUTED_VALUE"""),"")</f>
        <v/>
      </c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</row>
    <row r="436"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5" t="str">
        <f>IFERROR(__xludf.DUMMYFUNCTION("""COMPUTED_VALUE"""),"")</f>
        <v/>
      </c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</row>
    <row r="437"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5" t="str">
        <f>IFERROR(__xludf.DUMMYFUNCTION("""COMPUTED_VALUE"""),"")</f>
        <v/>
      </c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</row>
    <row r="438"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5" t="str">
        <f>IFERROR(__xludf.DUMMYFUNCTION("""COMPUTED_VALUE"""),"")</f>
        <v/>
      </c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</row>
    <row r="439"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5" t="str">
        <f>IFERROR(__xludf.DUMMYFUNCTION("""COMPUTED_VALUE"""),"")</f>
        <v/>
      </c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</row>
    <row r="440"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5" t="str">
        <f>IFERROR(__xludf.DUMMYFUNCTION("""COMPUTED_VALUE"""),"")</f>
        <v/>
      </c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</row>
    <row r="441"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5" t="str">
        <f>IFERROR(__xludf.DUMMYFUNCTION("""COMPUTED_VALUE"""),"")</f>
        <v/>
      </c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</row>
    <row r="442"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5" t="str">
        <f>IFERROR(__xludf.DUMMYFUNCTION("""COMPUTED_VALUE"""),"")</f>
        <v/>
      </c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</row>
    <row r="443"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5" t="str">
        <f>IFERROR(__xludf.DUMMYFUNCTION("""COMPUTED_VALUE"""),"")</f>
        <v/>
      </c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</row>
    <row r="444"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5" t="str">
        <f>IFERROR(__xludf.DUMMYFUNCTION("""COMPUTED_VALUE"""),"")</f>
        <v/>
      </c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</row>
    <row r="445"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5" t="str">
        <f>IFERROR(__xludf.DUMMYFUNCTION("""COMPUTED_VALUE"""),"")</f>
        <v/>
      </c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</row>
    <row r="446"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5" t="str">
        <f>IFERROR(__xludf.DUMMYFUNCTION("""COMPUTED_VALUE"""),"")</f>
        <v/>
      </c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</row>
    <row r="447"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5" t="str">
        <f>IFERROR(__xludf.DUMMYFUNCTION("""COMPUTED_VALUE"""),"")</f>
        <v/>
      </c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</row>
    <row r="448"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5" t="str">
        <f>IFERROR(__xludf.DUMMYFUNCTION("""COMPUTED_VALUE"""),"")</f>
        <v/>
      </c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</row>
    <row r="449"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5" t="str">
        <f>IFERROR(__xludf.DUMMYFUNCTION("""COMPUTED_VALUE"""),"")</f>
        <v/>
      </c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</row>
    <row r="450"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5" t="str">
        <f>IFERROR(__xludf.DUMMYFUNCTION("""COMPUTED_VALUE"""),"")</f>
        <v/>
      </c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</row>
    <row r="451"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5" t="str">
        <f>IFERROR(__xludf.DUMMYFUNCTION("""COMPUTED_VALUE"""),"")</f>
        <v/>
      </c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</row>
    <row r="452"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5" t="str">
        <f>IFERROR(__xludf.DUMMYFUNCTION("""COMPUTED_VALUE"""),"")</f>
        <v/>
      </c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</row>
    <row r="453"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5" t="str">
        <f>IFERROR(__xludf.DUMMYFUNCTION("""COMPUTED_VALUE"""),"")</f>
        <v/>
      </c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</row>
    <row r="454"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5" t="str">
        <f>IFERROR(__xludf.DUMMYFUNCTION("""COMPUTED_VALUE"""),"")</f>
        <v/>
      </c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</row>
    <row r="455"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5" t="str">
        <f>IFERROR(__xludf.DUMMYFUNCTION("""COMPUTED_VALUE"""),"")</f>
        <v/>
      </c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</row>
    <row r="456"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5" t="str">
        <f>IFERROR(__xludf.DUMMYFUNCTION("""COMPUTED_VALUE"""),"")</f>
        <v/>
      </c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</row>
    <row r="457"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5" t="str">
        <f>IFERROR(__xludf.DUMMYFUNCTION("""COMPUTED_VALUE"""),"")</f>
        <v/>
      </c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</row>
    <row r="458"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5" t="str">
        <f>IFERROR(__xludf.DUMMYFUNCTION("""COMPUTED_VALUE"""),"")</f>
        <v/>
      </c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</row>
    <row r="459"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5" t="str">
        <f>IFERROR(__xludf.DUMMYFUNCTION("""COMPUTED_VALUE"""),"")</f>
        <v/>
      </c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</row>
    <row r="460"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5" t="str">
        <f>IFERROR(__xludf.DUMMYFUNCTION("""COMPUTED_VALUE"""),"")</f>
        <v/>
      </c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</row>
    <row r="461"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5" t="str">
        <f>IFERROR(__xludf.DUMMYFUNCTION("""COMPUTED_VALUE"""),"")</f>
        <v/>
      </c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</row>
    <row r="462"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5" t="str">
        <f>IFERROR(__xludf.DUMMYFUNCTION("""COMPUTED_VALUE"""),"")</f>
        <v/>
      </c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</row>
    <row r="463"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5" t="str">
        <f>IFERROR(__xludf.DUMMYFUNCTION("""COMPUTED_VALUE"""),"")</f>
        <v/>
      </c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</row>
    <row r="464"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5" t="str">
        <f>IFERROR(__xludf.DUMMYFUNCTION("""COMPUTED_VALUE"""),"")</f>
        <v/>
      </c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</row>
    <row r="465"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5" t="str">
        <f>IFERROR(__xludf.DUMMYFUNCTION("""COMPUTED_VALUE"""),"")</f>
        <v/>
      </c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</row>
    <row r="466"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5" t="str">
        <f>IFERROR(__xludf.DUMMYFUNCTION("""COMPUTED_VALUE"""),"")</f>
        <v/>
      </c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</row>
    <row r="467"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5" t="str">
        <f>IFERROR(__xludf.DUMMYFUNCTION("""COMPUTED_VALUE"""),"")</f>
        <v/>
      </c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</row>
    <row r="468"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5" t="str">
        <f>IFERROR(__xludf.DUMMYFUNCTION("""COMPUTED_VALUE"""),"")</f>
        <v/>
      </c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</row>
    <row r="469"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5" t="str">
        <f>IFERROR(__xludf.DUMMYFUNCTION("""COMPUTED_VALUE"""),"")</f>
        <v/>
      </c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</row>
    <row r="470"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5" t="str">
        <f>IFERROR(__xludf.DUMMYFUNCTION("""COMPUTED_VALUE"""),"")</f>
        <v/>
      </c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</row>
    <row r="471"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5" t="str">
        <f>IFERROR(__xludf.DUMMYFUNCTION("""COMPUTED_VALUE"""),"")</f>
        <v/>
      </c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</row>
    <row r="472"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5" t="str">
        <f>IFERROR(__xludf.DUMMYFUNCTION("""COMPUTED_VALUE"""),"")</f>
        <v/>
      </c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</row>
    <row r="473"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5" t="str">
        <f>IFERROR(__xludf.DUMMYFUNCTION("""COMPUTED_VALUE"""),"")</f>
        <v/>
      </c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</row>
    <row r="474"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5" t="str">
        <f>IFERROR(__xludf.DUMMYFUNCTION("""COMPUTED_VALUE"""),"")</f>
        <v/>
      </c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</row>
    <row r="475"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5" t="str">
        <f>IFERROR(__xludf.DUMMYFUNCTION("""COMPUTED_VALUE"""),"")</f>
        <v/>
      </c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</row>
    <row r="476"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5" t="str">
        <f>IFERROR(__xludf.DUMMYFUNCTION("""COMPUTED_VALUE"""),"")</f>
        <v/>
      </c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</row>
    <row r="477"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5" t="str">
        <f>IFERROR(__xludf.DUMMYFUNCTION("""COMPUTED_VALUE"""),"")</f>
        <v/>
      </c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</row>
    <row r="478"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5" t="str">
        <f>IFERROR(__xludf.DUMMYFUNCTION("""COMPUTED_VALUE"""),"")</f>
        <v/>
      </c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</row>
    <row r="479"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5" t="str">
        <f>IFERROR(__xludf.DUMMYFUNCTION("""COMPUTED_VALUE"""),"")</f>
        <v/>
      </c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</row>
    <row r="480"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5" t="str">
        <f>IFERROR(__xludf.DUMMYFUNCTION("""COMPUTED_VALUE"""),"")</f>
        <v/>
      </c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</row>
    <row r="481"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5" t="str">
        <f>IFERROR(__xludf.DUMMYFUNCTION("""COMPUTED_VALUE"""),"")</f>
        <v/>
      </c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</row>
    <row r="482"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5" t="str">
        <f>IFERROR(__xludf.DUMMYFUNCTION("""COMPUTED_VALUE"""),"")</f>
        <v/>
      </c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</row>
    <row r="483"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5" t="str">
        <f>IFERROR(__xludf.DUMMYFUNCTION("""COMPUTED_VALUE"""),"")</f>
        <v/>
      </c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</row>
    <row r="484"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5" t="str">
        <f>IFERROR(__xludf.DUMMYFUNCTION("""COMPUTED_VALUE"""),"")</f>
        <v/>
      </c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</row>
    <row r="485"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5" t="str">
        <f>IFERROR(__xludf.DUMMYFUNCTION("""COMPUTED_VALUE"""),"")</f>
        <v/>
      </c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</row>
    <row r="486"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5" t="str">
        <f>IFERROR(__xludf.DUMMYFUNCTION("""COMPUTED_VALUE"""),"")</f>
        <v/>
      </c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</row>
    <row r="487"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5" t="str">
        <f>IFERROR(__xludf.DUMMYFUNCTION("""COMPUTED_VALUE"""),"")</f>
        <v/>
      </c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</row>
    <row r="488"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5" t="str">
        <f>IFERROR(__xludf.DUMMYFUNCTION("""COMPUTED_VALUE"""),"")</f>
        <v/>
      </c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</row>
    <row r="489"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5" t="str">
        <f>IFERROR(__xludf.DUMMYFUNCTION("""COMPUTED_VALUE"""),"")</f>
        <v/>
      </c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</row>
    <row r="490"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5" t="str">
        <f>IFERROR(__xludf.DUMMYFUNCTION("""COMPUTED_VALUE"""),"")</f>
        <v/>
      </c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</row>
    <row r="491"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5" t="str">
        <f>IFERROR(__xludf.DUMMYFUNCTION("""COMPUTED_VALUE"""),"")</f>
        <v/>
      </c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</row>
    <row r="492"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5" t="str">
        <f>IFERROR(__xludf.DUMMYFUNCTION("""COMPUTED_VALUE"""),"")</f>
        <v/>
      </c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</row>
    <row r="493"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5" t="str">
        <f>IFERROR(__xludf.DUMMYFUNCTION("""COMPUTED_VALUE"""),"")</f>
        <v/>
      </c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</row>
    <row r="494"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5" t="str">
        <f>IFERROR(__xludf.DUMMYFUNCTION("""COMPUTED_VALUE"""),"")</f>
        <v/>
      </c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</row>
    <row r="495"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5" t="str">
        <f>IFERROR(__xludf.DUMMYFUNCTION("""COMPUTED_VALUE"""),"")</f>
        <v/>
      </c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</row>
    <row r="496"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5" t="str">
        <f>IFERROR(__xludf.DUMMYFUNCTION("""COMPUTED_VALUE"""),"")</f>
        <v/>
      </c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</row>
    <row r="497"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5" t="str">
        <f>IFERROR(__xludf.DUMMYFUNCTION("""COMPUTED_VALUE"""),"")</f>
        <v/>
      </c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</row>
    <row r="498"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5" t="str">
        <f>IFERROR(__xludf.DUMMYFUNCTION("""COMPUTED_VALUE"""),"")</f>
        <v/>
      </c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</row>
    <row r="499"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5" t="str">
        <f>IFERROR(__xludf.DUMMYFUNCTION("""COMPUTED_VALUE"""),"")</f>
        <v/>
      </c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</row>
    <row r="500"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5" t="str">
        <f>IFERROR(__xludf.DUMMYFUNCTION("""COMPUTED_VALUE"""),"")</f>
        <v/>
      </c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</row>
    <row r="501"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5" t="str">
        <f>IFERROR(__xludf.DUMMYFUNCTION("""COMPUTED_VALUE"""),"")</f>
        <v/>
      </c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</row>
    <row r="502"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5" t="str">
        <f>IFERROR(__xludf.DUMMYFUNCTION("""COMPUTED_VALUE"""),"")</f>
        <v/>
      </c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</row>
    <row r="503"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5" t="str">
        <f>IFERROR(__xludf.DUMMYFUNCTION("""COMPUTED_VALUE"""),"")</f>
        <v/>
      </c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</row>
    <row r="504"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5" t="str">
        <f>IFERROR(__xludf.DUMMYFUNCTION("""COMPUTED_VALUE"""),"")</f>
        <v/>
      </c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</row>
    <row r="505"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5" t="str">
        <f>IFERROR(__xludf.DUMMYFUNCTION("""COMPUTED_VALUE"""),"")</f>
        <v/>
      </c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</row>
    <row r="506"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5" t="str">
        <f>IFERROR(__xludf.DUMMYFUNCTION("""COMPUTED_VALUE"""),"")</f>
        <v/>
      </c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</row>
    <row r="507"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5" t="str">
        <f>IFERROR(__xludf.DUMMYFUNCTION("""COMPUTED_VALUE"""),"")</f>
        <v/>
      </c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</row>
    <row r="508"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5" t="str">
        <f>IFERROR(__xludf.DUMMYFUNCTION("""COMPUTED_VALUE"""),"")</f>
        <v/>
      </c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</row>
    <row r="509"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5" t="str">
        <f>IFERROR(__xludf.DUMMYFUNCTION("""COMPUTED_VALUE"""),"")</f>
        <v/>
      </c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</row>
    <row r="510"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5" t="str">
        <f>IFERROR(__xludf.DUMMYFUNCTION("""COMPUTED_VALUE"""),"")</f>
        <v/>
      </c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</row>
    <row r="511"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5" t="str">
        <f>IFERROR(__xludf.DUMMYFUNCTION("""COMPUTED_VALUE"""),"")</f>
        <v/>
      </c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</row>
    <row r="512"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5" t="str">
        <f>IFERROR(__xludf.DUMMYFUNCTION("""COMPUTED_VALUE"""),"")</f>
        <v/>
      </c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</row>
    <row r="513"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5" t="str">
        <f>IFERROR(__xludf.DUMMYFUNCTION("""COMPUTED_VALUE"""),"")</f>
        <v/>
      </c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</row>
    <row r="514"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5" t="str">
        <f>IFERROR(__xludf.DUMMYFUNCTION("""COMPUTED_VALUE"""),"")</f>
        <v/>
      </c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</row>
    <row r="515"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5" t="str">
        <f>IFERROR(__xludf.DUMMYFUNCTION("""COMPUTED_VALUE"""),"")</f>
        <v/>
      </c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</row>
    <row r="516"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5" t="str">
        <f>IFERROR(__xludf.DUMMYFUNCTION("""COMPUTED_VALUE"""),"")</f>
        <v/>
      </c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</row>
    <row r="517"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5" t="str">
        <f>IFERROR(__xludf.DUMMYFUNCTION("""COMPUTED_VALUE"""),"")</f>
        <v/>
      </c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</row>
    <row r="518"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5" t="str">
        <f>IFERROR(__xludf.DUMMYFUNCTION("""COMPUTED_VALUE"""),"")</f>
        <v/>
      </c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</row>
    <row r="519"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5" t="str">
        <f>IFERROR(__xludf.DUMMYFUNCTION("""COMPUTED_VALUE"""),"")</f>
        <v/>
      </c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</row>
    <row r="520"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5" t="str">
        <f>IFERROR(__xludf.DUMMYFUNCTION("""COMPUTED_VALUE"""),"")</f>
        <v/>
      </c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</row>
    <row r="521"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5" t="str">
        <f>IFERROR(__xludf.DUMMYFUNCTION("""COMPUTED_VALUE"""),"")</f>
        <v/>
      </c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</row>
    <row r="522"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5" t="str">
        <f>IFERROR(__xludf.DUMMYFUNCTION("""COMPUTED_VALUE"""),"")</f>
        <v/>
      </c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</row>
    <row r="523"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5" t="str">
        <f>IFERROR(__xludf.DUMMYFUNCTION("""COMPUTED_VALUE"""),"")</f>
        <v/>
      </c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</row>
    <row r="524"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5" t="str">
        <f>IFERROR(__xludf.DUMMYFUNCTION("""COMPUTED_VALUE"""),"")</f>
        <v/>
      </c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</row>
    <row r="525"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5" t="str">
        <f>IFERROR(__xludf.DUMMYFUNCTION("""COMPUTED_VALUE"""),"")</f>
        <v/>
      </c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</row>
    <row r="526"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5" t="str">
        <f>IFERROR(__xludf.DUMMYFUNCTION("""COMPUTED_VALUE"""),"")</f>
        <v/>
      </c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</row>
    <row r="527"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5" t="str">
        <f>IFERROR(__xludf.DUMMYFUNCTION("""COMPUTED_VALUE"""),"")</f>
        <v/>
      </c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</row>
    <row r="528"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5" t="str">
        <f>IFERROR(__xludf.DUMMYFUNCTION("""COMPUTED_VALUE"""),"")</f>
        <v/>
      </c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</row>
    <row r="529"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5" t="str">
        <f>IFERROR(__xludf.DUMMYFUNCTION("""COMPUTED_VALUE"""),"")</f>
        <v/>
      </c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</row>
    <row r="530"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5" t="str">
        <f>IFERROR(__xludf.DUMMYFUNCTION("""COMPUTED_VALUE"""),"")</f>
        <v/>
      </c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</row>
    <row r="531"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5" t="str">
        <f>IFERROR(__xludf.DUMMYFUNCTION("""COMPUTED_VALUE"""),"")</f>
        <v/>
      </c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</row>
    <row r="532"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5" t="str">
        <f>IFERROR(__xludf.DUMMYFUNCTION("""COMPUTED_VALUE"""),"")</f>
        <v/>
      </c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</row>
    <row r="533"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5" t="str">
        <f>IFERROR(__xludf.DUMMYFUNCTION("""COMPUTED_VALUE"""),"")</f>
        <v/>
      </c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</row>
    <row r="534"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5" t="str">
        <f>IFERROR(__xludf.DUMMYFUNCTION("""COMPUTED_VALUE"""),"")</f>
        <v/>
      </c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</row>
    <row r="535"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5" t="str">
        <f>IFERROR(__xludf.DUMMYFUNCTION("""COMPUTED_VALUE"""),"")</f>
        <v/>
      </c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</row>
    <row r="536"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5" t="str">
        <f>IFERROR(__xludf.DUMMYFUNCTION("""COMPUTED_VALUE"""),"")</f>
        <v/>
      </c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</row>
    <row r="537"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5" t="str">
        <f>IFERROR(__xludf.DUMMYFUNCTION("""COMPUTED_VALUE"""),"")</f>
        <v/>
      </c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</row>
    <row r="538"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5" t="str">
        <f>IFERROR(__xludf.DUMMYFUNCTION("""COMPUTED_VALUE"""),"")</f>
        <v/>
      </c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</row>
    <row r="539"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5" t="str">
        <f>IFERROR(__xludf.DUMMYFUNCTION("""COMPUTED_VALUE"""),"")</f>
        <v/>
      </c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</row>
    <row r="540"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5" t="str">
        <f>IFERROR(__xludf.DUMMYFUNCTION("""COMPUTED_VALUE"""),"")</f>
        <v/>
      </c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</row>
    <row r="541"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5" t="str">
        <f>IFERROR(__xludf.DUMMYFUNCTION("""COMPUTED_VALUE"""),"")</f>
        <v/>
      </c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</row>
    <row r="542"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5" t="str">
        <f>IFERROR(__xludf.DUMMYFUNCTION("""COMPUTED_VALUE"""),"")</f>
        <v/>
      </c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</row>
    <row r="543"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5" t="str">
        <f>IFERROR(__xludf.DUMMYFUNCTION("""COMPUTED_VALUE"""),"")</f>
        <v/>
      </c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</row>
    <row r="544"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5" t="str">
        <f>IFERROR(__xludf.DUMMYFUNCTION("""COMPUTED_VALUE"""),"")</f>
        <v/>
      </c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</row>
    <row r="545"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5" t="str">
        <f>IFERROR(__xludf.DUMMYFUNCTION("""COMPUTED_VALUE"""),"")</f>
        <v/>
      </c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</row>
    <row r="546"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5" t="str">
        <f>IFERROR(__xludf.DUMMYFUNCTION("""COMPUTED_VALUE"""),"")</f>
        <v/>
      </c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</row>
    <row r="547"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5" t="str">
        <f>IFERROR(__xludf.DUMMYFUNCTION("""COMPUTED_VALUE"""),"")</f>
        <v/>
      </c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</row>
    <row r="548"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5" t="str">
        <f>IFERROR(__xludf.DUMMYFUNCTION("""COMPUTED_VALUE"""),"")</f>
        <v/>
      </c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</row>
    <row r="549"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5" t="str">
        <f>IFERROR(__xludf.DUMMYFUNCTION("""COMPUTED_VALUE"""),"")</f>
        <v/>
      </c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</row>
    <row r="550"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5" t="str">
        <f>IFERROR(__xludf.DUMMYFUNCTION("""COMPUTED_VALUE"""),"")</f>
        <v/>
      </c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</row>
    <row r="551"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5" t="str">
        <f>IFERROR(__xludf.DUMMYFUNCTION("""COMPUTED_VALUE"""),"")</f>
        <v/>
      </c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</row>
    <row r="552"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5" t="str">
        <f>IFERROR(__xludf.DUMMYFUNCTION("""COMPUTED_VALUE"""),"")</f>
        <v/>
      </c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</row>
    <row r="553"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5" t="str">
        <f>IFERROR(__xludf.DUMMYFUNCTION("""COMPUTED_VALUE"""),"")</f>
        <v/>
      </c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</row>
    <row r="554"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5" t="str">
        <f>IFERROR(__xludf.DUMMYFUNCTION("""COMPUTED_VALUE"""),"")</f>
        <v/>
      </c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</row>
    <row r="555"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5" t="str">
        <f>IFERROR(__xludf.DUMMYFUNCTION("""COMPUTED_VALUE"""),"")</f>
        <v/>
      </c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</row>
    <row r="556"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5" t="str">
        <f>IFERROR(__xludf.DUMMYFUNCTION("""COMPUTED_VALUE"""),"")</f>
        <v/>
      </c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</row>
    <row r="557"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5" t="str">
        <f>IFERROR(__xludf.DUMMYFUNCTION("""COMPUTED_VALUE"""),"")</f>
        <v/>
      </c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</row>
    <row r="558"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5" t="str">
        <f>IFERROR(__xludf.DUMMYFUNCTION("""COMPUTED_VALUE"""),"")</f>
        <v/>
      </c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</row>
    <row r="559"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5" t="str">
        <f>IFERROR(__xludf.DUMMYFUNCTION("""COMPUTED_VALUE"""),"")</f>
        <v/>
      </c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</row>
    <row r="560"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5" t="str">
        <f>IFERROR(__xludf.DUMMYFUNCTION("""COMPUTED_VALUE"""),"")</f>
        <v/>
      </c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</row>
    <row r="561"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5" t="str">
        <f>IFERROR(__xludf.DUMMYFUNCTION("""COMPUTED_VALUE"""),"")</f>
        <v/>
      </c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</row>
    <row r="562"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5" t="str">
        <f>IFERROR(__xludf.DUMMYFUNCTION("""COMPUTED_VALUE"""),"")</f>
        <v/>
      </c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</row>
    <row r="563"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5" t="str">
        <f>IFERROR(__xludf.DUMMYFUNCTION("""COMPUTED_VALUE"""),"")</f>
        <v/>
      </c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</row>
    <row r="564"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5" t="str">
        <f>IFERROR(__xludf.DUMMYFUNCTION("""COMPUTED_VALUE"""),"")</f>
        <v/>
      </c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</row>
    <row r="565"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5" t="str">
        <f>IFERROR(__xludf.DUMMYFUNCTION("""COMPUTED_VALUE"""),"")</f>
        <v/>
      </c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</row>
    <row r="566"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5" t="str">
        <f>IFERROR(__xludf.DUMMYFUNCTION("""COMPUTED_VALUE"""),"")</f>
        <v/>
      </c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</row>
    <row r="567"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5" t="str">
        <f>IFERROR(__xludf.DUMMYFUNCTION("""COMPUTED_VALUE"""),"")</f>
        <v/>
      </c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</row>
    <row r="568"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5" t="str">
        <f>IFERROR(__xludf.DUMMYFUNCTION("""COMPUTED_VALUE"""),"")</f>
        <v/>
      </c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</row>
    <row r="569"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5" t="str">
        <f>IFERROR(__xludf.DUMMYFUNCTION("""COMPUTED_VALUE"""),"")</f>
        <v/>
      </c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</row>
    <row r="570"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5" t="str">
        <f>IFERROR(__xludf.DUMMYFUNCTION("""COMPUTED_VALUE"""),"")</f>
        <v/>
      </c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</row>
    <row r="571"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5" t="str">
        <f>IFERROR(__xludf.DUMMYFUNCTION("""COMPUTED_VALUE"""),"")</f>
        <v/>
      </c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</row>
    <row r="572"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5" t="str">
        <f>IFERROR(__xludf.DUMMYFUNCTION("""COMPUTED_VALUE"""),"")</f>
        <v/>
      </c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</row>
    <row r="573"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5" t="str">
        <f>IFERROR(__xludf.DUMMYFUNCTION("""COMPUTED_VALUE"""),"")</f>
        <v/>
      </c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</row>
    <row r="574"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5" t="str">
        <f>IFERROR(__xludf.DUMMYFUNCTION("""COMPUTED_VALUE"""),"")</f>
        <v/>
      </c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</row>
    <row r="575"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5" t="str">
        <f>IFERROR(__xludf.DUMMYFUNCTION("""COMPUTED_VALUE"""),"")</f>
        <v/>
      </c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</row>
    <row r="576"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5" t="str">
        <f>IFERROR(__xludf.DUMMYFUNCTION("""COMPUTED_VALUE"""),"")</f>
        <v/>
      </c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</row>
    <row r="577"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5" t="str">
        <f>IFERROR(__xludf.DUMMYFUNCTION("""COMPUTED_VALUE"""),"")</f>
        <v/>
      </c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</row>
    <row r="578"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5" t="str">
        <f>IFERROR(__xludf.DUMMYFUNCTION("""COMPUTED_VALUE"""),"")</f>
        <v/>
      </c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</row>
    <row r="579"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5" t="str">
        <f>IFERROR(__xludf.DUMMYFUNCTION("""COMPUTED_VALUE"""),"")</f>
        <v/>
      </c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</row>
    <row r="580"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5" t="str">
        <f>IFERROR(__xludf.DUMMYFUNCTION("""COMPUTED_VALUE"""),"")</f>
        <v/>
      </c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</row>
    <row r="581"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5" t="str">
        <f>IFERROR(__xludf.DUMMYFUNCTION("""COMPUTED_VALUE"""),"")</f>
        <v/>
      </c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</row>
    <row r="582"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5" t="str">
        <f>IFERROR(__xludf.DUMMYFUNCTION("""COMPUTED_VALUE"""),"")</f>
        <v/>
      </c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</row>
    <row r="583"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5" t="str">
        <f>IFERROR(__xludf.DUMMYFUNCTION("""COMPUTED_VALUE"""),"")</f>
        <v/>
      </c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</row>
    <row r="584"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5" t="str">
        <f>IFERROR(__xludf.DUMMYFUNCTION("""COMPUTED_VALUE"""),"")</f>
        <v/>
      </c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</row>
    <row r="585"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5" t="str">
        <f>IFERROR(__xludf.DUMMYFUNCTION("""COMPUTED_VALUE"""),"")</f>
        <v/>
      </c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</row>
    <row r="586"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5" t="str">
        <f>IFERROR(__xludf.DUMMYFUNCTION("""COMPUTED_VALUE"""),"")</f>
        <v/>
      </c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</row>
    <row r="587"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5" t="str">
        <f>IFERROR(__xludf.DUMMYFUNCTION("""COMPUTED_VALUE"""),"")</f>
        <v/>
      </c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</row>
    <row r="588"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5" t="str">
        <f>IFERROR(__xludf.DUMMYFUNCTION("""COMPUTED_VALUE"""),"")</f>
        <v/>
      </c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</row>
    <row r="589"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5" t="str">
        <f>IFERROR(__xludf.DUMMYFUNCTION("""COMPUTED_VALUE"""),"")</f>
        <v/>
      </c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</row>
    <row r="590"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5" t="str">
        <f>IFERROR(__xludf.DUMMYFUNCTION("""COMPUTED_VALUE"""),"")</f>
        <v/>
      </c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</row>
    <row r="591"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5" t="str">
        <f>IFERROR(__xludf.DUMMYFUNCTION("""COMPUTED_VALUE"""),"")</f>
        <v/>
      </c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</row>
    <row r="592"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5" t="str">
        <f>IFERROR(__xludf.DUMMYFUNCTION("""COMPUTED_VALUE"""),"")</f>
        <v/>
      </c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</row>
    <row r="593"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5" t="str">
        <f>IFERROR(__xludf.DUMMYFUNCTION("""COMPUTED_VALUE"""),"")</f>
        <v/>
      </c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</row>
    <row r="594"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5" t="str">
        <f>IFERROR(__xludf.DUMMYFUNCTION("""COMPUTED_VALUE"""),"")</f>
        <v/>
      </c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</row>
    <row r="595"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5" t="str">
        <f>IFERROR(__xludf.DUMMYFUNCTION("""COMPUTED_VALUE"""),"")</f>
        <v/>
      </c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</row>
    <row r="596"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5" t="str">
        <f>IFERROR(__xludf.DUMMYFUNCTION("""COMPUTED_VALUE"""),"")</f>
        <v/>
      </c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</row>
    <row r="597"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5" t="str">
        <f>IFERROR(__xludf.DUMMYFUNCTION("""COMPUTED_VALUE"""),"")</f>
        <v/>
      </c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</row>
    <row r="598"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5" t="str">
        <f>IFERROR(__xludf.DUMMYFUNCTION("""COMPUTED_VALUE"""),"")</f>
        <v/>
      </c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</row>
    <row r="599"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5" t="str">
        <f>IFERROR(__xludf.DUMMYFUNCTION("""COMPUTED_VALUE"""),"")</f>
        <v/>
      </c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</row>
    <row r="600"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5" t="str">
        <f>IFERROR(__xludf.DUMMYFUNCTION("""COMPUTED_VALUE"""),"")</f>
        <v/>
      </c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</row>
    <row r="601"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5" t="str">
        <f>IFERROR(__xludf.DUMMYFUNCTION("""COMPUTED_VALUE"""),"")</f>
        <v/>
      </c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</row>
    <row r="602"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5" t="str">
        <f>IFERROR(__xludf.DUMMYFUNCTION("""COMPUTED_VALUE"""),"")</f>
        <v/>
      </c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</row>
    <row r="603"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5" t="str">
        <f>IFERROR(__xludf.DUMMYFUNCTION("""COMPUTED_VALUE"""),"")</f>
        <v/>
      </c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</row>
    <row r="604"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5" t="str">
        <f>IFERROR(__xludf.DUMMYFUNCTION("""COMPUTED_VALUE"""),"")</f>
        <v/>
      </c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</row>
    <row r="605"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5" t="str">
        <f>IFERROR(__xludf.DUMMYFUNCTION("""COMPUTED_VALUE"""),"")</f>
        <v/>
      </c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</row>
    <row r="606"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5" t="str">
        <f>IFERROR(__xludf.DUMMYFUNCTION("""COMPUTED_VALUE"""),"")</f>
        <v/>
      </c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</row>
    <row r="607"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5" t="str">
        <f>IFERROR(__xludf.DUMMYFUNCTION("""COMPUTED_VALUE"""),"")</f>
        <v/>
      </c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</row>
    <row r="608"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5" t="str">
        <f>IFERROR(__xludf.DUMMYFUNCTION("""COMPUTED_VALUE"""),"")</f>
        <v/>
      </c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</row>
    <row r="609"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5" t="str">
        <f>IFERROR(__xludf.DUMMYFUNCTION("""COMPUTED_VALUE"""),"")</f>
        <v/>
      </c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</row>
    <row r="610"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5" t="str">
        <f>IFERROR(__xludf.DUMMYFUNCTION("""COMPUTED_VALUE"""),"")</f>
        <v/>
      </c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</row>
    <row r="611"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5" t="str">
        <f>IFERROR(__xludf.DUMMYFUNCTION("""COMPUTED_VALUE"""),"")</f>
        <v/>
      </c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</row>
    <row r="612"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5" t="str">
        <f>IFERROR(__xludf.DUMMYFUNCTION("""COMPUTED_VALUE"""),"")</f>
        <v/>
      </c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</row>
    <row r="613"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5" t="str">
        <f>IFERROR(__xludf.DUMMYFUNCTION("""COMPUTED_VALUE"""),"")</f>
        <v/>
      </c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</row>
    <row r="614"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5" t="str">
        <f>IFERROR(__xludf.DUMMYFUNCTION("""COMPUTED_VALUE"""),"")</f>
        <v/>
      </c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</row>
    <row r="615"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5" t="str">
        <f>IFERROR(__xludf.DUMMYFUNCTION("""COMPUTED_VALUE"""),"")</f>
        <v/>
      </c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</row>
    <row r="616"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5" t="str">
        <f>IFERROR(__xludf.DUMMYFUNCTION("""COMPUTED_VALUE"""),"")</f>
        <v/>
      </c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</row>
    <row r="617"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5" t="str">
        <f>IFERROR(__xludf.DUMMYFUNCTION("""COMPUTED_VALUE"""),"")</f>
        <v/>
      </c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</row>
    <row r="618"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5" t="str">
        <f>IFERROR(__xludf.DUMMYFUNCTION("""COMPUTED_VALUE"""),"")</f>
        <v/>
      </c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</row>
    <row r="619"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5" t="str">
        <f>IFERROR(__xludf.DUMMYFUNCTION("""COMPUTED_VALUE"""),"")</f>
        <v/>
      </c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</row>
    <row r="620"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5" t="str">
        <f>IFERROR(__xludf.DUMMYFUNCTION("""COMPUTED_VALUE"""),"")</f>
        <v/>
      </c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</row>
    <row r="621"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5" t="str">
        <f>IFERROR(__xludf.DUMMYFUNCTION("""COMPUTED_VALUE"""),"")</f>
        <v/>
      </c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</row>
    <row r="622"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5" t="str">
        <f>IFERROR(__xludf.DUMMYFUNCTION("""COMPUTED_VALUE"""),"")</f>
        <v/>
      </c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</row>
    <row r="623"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5" t="str">
        <f>IFERROR(__xludf.DUMMYFUNCTION("""COMPUTED_VALUE"""),"")</f>
        <v/>
      </c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</row>
    <row r="624"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5" t="str">
        <f>IFERROR(__xludf.DUMMYFUNCTION("""COMPUTED_VALUE"""),"")</f>
        <v/>
      </c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</row>
    <row r="625"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5" t="str">
        <f>IFERROR(__xludf.DUMMYFUNCTION("""COMPUTED_VALUE"""),"")</f>
        <v/>
      </c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</row>
    <row r="626"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5" t="str">
        <f>IFERROR(__xludf.DUMMYFUNCTION("""COMPUTED_VALUE"""),"")</f>
        <v/>
      </c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</row>
    <row r="627"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5" t="str">
        <f>IFERROR(__xludf.DUMMYFUNCTION("""COMPUTED_VALUE"""),"")</f>
        <v/>
      </c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</row>
    <row r="628"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5" t="str">
        <f>IFERROR(__xludf.DUMMYFUNCTION("""COMPUTED_VALUE"""),"")</f>
        <v/>
      </c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</row>
    <row r="629"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5" t="str">
        <f>IFERROR(__xludf.DUMMYFUNCTION("""COMPUTED_VALUE"""),"")</f>
        <v/>
      </c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</row>
    <row r="630"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5" t="str">
        <f>IFERROR(__xludf.DUMMYFUNCTION("""COMPUTED_VALUE"""),"")</f>
        <v/>
      </c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</row>
    <row r="631"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5" t="str">
        <f>IFERROR(__xludf.DUMMYFUNCTION("""COMPUTED_VALUE"""),"")</f>
        <v/>
      </c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</row>
    <row r="632"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5" t="str">
        <f>IFERROR(__xludf.DUMMYFUNCTION("""COMPUTED_VALUE"""),"")</f>
        <v/>
      </c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</row>
    <row r="633"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5" t="str">
        <f>IFERROR(__xludf.DUMMYFUNCTION("""COMPUTED_VALUE"""),"")</f>
        <v/>
      </c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</row>
    <row r="634"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5" t="str">
        <f>IFERROR(__xludf.DUMMYFUNCTION("""COMPUTED_VALUE"""),"")</f>
        <v/>
      </c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</row>
    <row r="635"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5" t="str">
        <f>IFERROR(__xludf.DUMMYFUNCTION("""COMPUTED_VALUE"""),"")</f>
        <v/>
      </c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</row>
    <row r="636"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5" t="str">
        <f>IFERROR(__xludf.DUMMYFUNCTION("""COMPUTED_VALUE"""),"")</f>
        <v/>
      </c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</row>
    <row r="637"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5" t="str">
        <f>IFERROR(__xludf.DUMMYFUNCTION("""COMPUTED_VALUE"""),"")</f>
        <v/>
      </c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</row>
    <row r="638"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5" t="str">
        <f>IFERROR(__xludf.DUMMYFUNCTION("""COMPUTED_VALUE"""),"")</f>
        <v/>
      </c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</row>
    <row r="639"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5" t="str">
        <f>IFERROR(__xludf.DUMMYFUNCTION("""COMPUTED_VALUE"""),"")</f>
        <v/>
      </c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</row>
    <row r="640"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5" t="str">
        <f>IFERROR(__xludf.DUMMYFUNCTION("""COMPUTED_VALUE"""),"")</f>
        <v/>
      </c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</row>
    <row r="641"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5" t="str">
        <f>IFERROR(__xludf.DUMMYFUNCTION("""COMPUTED_VALUE"""),"")</f>
        <v/>
      </c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</row>
    <row r="642"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5" t="str">
        <f>IFERROR(__xludf.DUMMYFUNCTION("""COMPUTED_VALUE"""),"")</f>
        <v/>
      </c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</row>
    <row r="643"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5" t="str">
        <f>IFERROR(__xludf.DUMMYFUNCTION("""COMPUTED_VALUE"""),"")</f>
        <v/>
      </c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</row>
    <row r="644"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5" t="str">
        <f>IFERROR(__xludf.DUMMYFUNCTION("""COMPUTED_VALUE"""),"")</f>
        <v/>
      </c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</row>
    <row r="645"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5" t="str">
        <f>IFERROR(__xludf.DUMMYFUNCTION("""COMPUTED_VALUE"""),"")</f>
        <v/>
      </c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</row>
    <row r="646"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5" t="str">
        <f>IFERROR(__xludf.DUMMYFUNCTION("""COMPUTED_VALUE"""),"")</f>
        <v/>
      </c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</row>
    <row r="647"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5" t="str">
        <f>IFERROR(__xludf.DUMMYFUNCTION("""COMPUTED_VALUE"""),"")</f>
        <v/>
      </c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</row>
    <row r="648"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5" t="str">
        <f>IFERROR(__xludf.DUMMYFUNCTION("""COMPUTED_VALUE"""),"")</f>
        <v/>
      </c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</row>
    <row r="649"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5" t="str">
        <f>IFERROR(__xludf.DUMMYFUNCTION("""COMPUTED_VALUE"""),"")</f>
        <v/>
      </c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</row>
    <row r="650"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5" t="str">
        <f>IFERROR(__xludf.DUMMYFUNCTION("""COMPUTED_VALUE"""),"")</f>
        <v/>
      </c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</row>
    <row r="651"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5" t="str">
        <f>IFERROR(__xludf.DUMMYFUNCTION("""COMPUTED_VALUE"""),"")</f>
        <v/>
      </c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</row>
    <row r="652"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5" t="str">
        <f>IFERROR(__xludf.DUMMYFUNCTION("""COMPUTED_VALUE"""),"")</f>
        <v/>
      </c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</row>
    <row r="653"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5" t="str">
        <f>IFERROR(__xludf.DUMMYFUNCTION("""COMPUTED_VALUE"""),"")</f>
        <v/>
      </c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</row>
    <row r="654"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5" t="str">
        <f>IFERROR(__xludf.DUMMYFUNCTION("""COMPUTED_VALUE"""),"")</f>
        <v/>
      </c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</row>
    <row r="655"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5" t="str">
        <f>IFERROR(__xludf.DUMMYFUNCTION("""COMPUTED_VALUE"""),"")</f>
        <v/>
      </c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</row>
    <row r="656"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5" t="str">
        <f>IFERROR(__xludf.DUMMYFUNCTION("""COMPUTED_VALUE"""),"")</f>
        <v/>
      </c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</row>
    <row r="657"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5" t="str">
        <f>IFERROR(__xludf.DUMMYFUNCTION("""COMPUTED_VALUE"""),"")</f>
        <v/>
      </c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</row>
    <row r="658"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5" t="str">
        <f>IFERROR(__xludf.DUMMYFUNCTION("""COMPUTED_VALUE"""),"")</f>
        <v/>
      </c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</row>
    <row r="659"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5" t="str">
        <f>IFERROR(__xludf.DUMMYFUNCTION("""COMPUTED_VALUE"""),"")</f>
        <v/>
      </c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</row>
    <row r="660"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5" t="str">
        <f>IFERROR(__xludf.DUMMYFUNCTION("""COMPUTED_VALUE"""),"")</f>
        <v/>
      </c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</row>
    <row r="661"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5" t="str">
        <f>IFERROR(__xludf.DUMMYFUNCTION("""COMPUTED_VALUE"""),"")</f>
        <v/>
      </c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</row>
    <row r="662"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5" t="str">
        <f>IFERROR(__xludf.DUMMYFUNCTION("""COMPUTED_VALUE"""),"")</f>
        <v/>
      </c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</row>
    <row r="663"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5" t="str">
        <f>IFERROR(__xludf.DUMMYFUNCTION("""COMPUTED_VALUE"""),"")</f>
        <v/>
      </c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</row>
    <row r="664"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5" t="str">
        <f>IFERROR(__xludf.DUMMYFUNCTION("""COMPUTED_VALUE"""),"")</f>
        <v/>
      </c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</row>
    <row r="665"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5" t="str">
        <f>IFERROR(__xludf.DUMMYFUNCTION("""COMPUTED_VALUE"""),"")</f>
        <v/>
      </c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</row>
    <row r="666"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5" t="str">
        <f>IFERROR(__xludf.DUMMYFUNCTION("""COMPUTED_VALUE"""),"")</f>
        <v/>
      </c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</row>
    <row r="667"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5" t="str">
        <f>IFERROR(__xludf.DUMMYFUNCTION("""COMPUTED_VALUE"""),"")</f>
        <v/>
      </c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</row>
    <row r="668"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5" t="str">
        <f>IFERROR(__xludf.DUMMYFUNCTION("""COMPUTED_VALUE"""),"")</f>
        <v/>
      </c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</row>
    <row r="669"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5" t="str">
        <f>IFERROR(__xludf.DUMMYFUNCTION("""COMPUTED_VALUE"""),"")</f>
        <v/>
      </c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</row>
    <row r="670"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5" t="str">
        <f>IFERROR(__xludf.DUMMYFUNCTION("""COMPUTED_VALUE"""),"")</f>
        <v/>
      </c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</row>
    <row r="671"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5" t="str">
        <f>IFERROR(__xludf.DUMMYFUNCTION("""COMPUTED_VALUE"""),"")</f>
        <v/>
      </c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</row>
    <row r="672"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5" t="str">
        <f>IFERROR(__xludf.DUMMYFUNCTION("""COMPUTED_VALUE"""),"")</f>
        <v/>
      </c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</row>
    <row r="673"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5" t="str">
        <f>IFERROR(__xludf.DUMMYFUNCTION("""COMPUTED_VALUE"""),"")</f>
        <v/>
      </c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</row>
    <row r="674"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5" t="str">
        <f>IFERROR(__xludf.DUMMYFUNCTION("""COMPUTED_VALUE"""),"")</f>
        <v/>
      </c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</row>
    <row r="675"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5" t="str">
        <f>IFERROR(__xludf.DUMMYFUNCTION("""COMPUTED_VALUE"""),"")</f>
        <v/>
      </c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</row>
    <row r="676"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5" t="str">
        <f>IFERROR(__xludf.DUMMYFUNCTION("""COMPUTED_VALUE"""),"")</f>
        <v/>
      </c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</row>
    <row r="677"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5" t="str">
        <f>IFERROR(__xludf.DUMMYFUNCTION("""COMPUTED_VALUE"""),"")</f>
        <v/>
      </c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</row>
    <row r="678"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5" t="str">
        <f>IFERROR(__xludf.DUMMYFUNCTION("""COMPUTED_VALUE"""),"")</f>
        <v/>
      </c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</row>
    <row r="679"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5" t="str">
        <f>IFERROR(__xludf.DUMMYFUNCTION("""COMPUTED_VALUE"""),"")</f>
        <v/>
      </c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</row>
    <row r="680"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5" t="str">
        <f>IFERROR(__xludf.DUMMYFUNCTION("""COMPUTED_VALUE"""),"")</f>
        <v/>
      </c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</row>
    <row r="681"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5" t="str">
        <f>IFERROR(__xludf.DUMMYFUNCTION("""COMPUTED_VALUE"""),"")</f>
        <v/>
      </c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</row>
    <row r="682"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5" t="str">
        <f>IFERROR(__xludf.DUMMYFUNCTION("""COMPUTED_VALUE"""),"")</f>
        <v/>
      </c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</row>
    <row r="683"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5" t="str">
        <f>IFERROR(__xludf.DUMMYFUNCTION("""COMPUTED_VALUE"""),"")</f>
        <v/>
      </c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</row>
    <row r="684"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5" t="str">
        <f>IFERROR(__xludf.DUMMYFUNCTION("""COMPUTED_VALUE"""),"")</f>
        <v/>
      </c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</row>
    <row r="685"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5" t="str">
        <f>IFERROR(__xludf.DUMMYFUNCTION("""COMPUTED_VALUE"""),"")</f>
        <v/>
      </c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</row>
    <row r="686"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5" t="str">
        <f>IFERROR(__xludf.DUMMYFUNCTION("""COMPUTED_VALUE"""),"")</f>
        <v/>
      </c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</row>
    <row r="687"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5" t="str">
        <f>IFERROR(__xludf.DUMMYFUNCTION("""COMPUTED_VALUE"""),"")</f>
        <v/>
      </c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</row>
    <row r="688"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5" t="str">
        <f>IFERROR(__xludf.DUMMYFUNCTION("""COMPUTED_VALUE"""),"")</f>
        <v/>
      </c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</row>
    <row r="689"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5" t="str">
        <f>IFERROR(__xludf.DUMMYFUNCTION("""COMPUTED_VALUE"""),"")</f>
        <v/>
      </c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</row>
    <row r="690"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5" t="str">
        <f>IFERROR(__xludf.DUMMYFUNCTION("""COMPUTED_VALUE"""),"")</f>
        <v/>
      </c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</row>
    <row r="691"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5" t="str">
        <f>IFERROR(__xludf.DUMMYFUNCTION("""COMPUTED_VALUE"""),"")</f>
        <v/>
      </c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</row>
    <row r="692"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5" t="str">
        <f>IFERROR(__xludf.DUMMYFUNCTION("""COMPUTED_VALUE"""),"")</f>
        <v/>
      </c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</row>
    <row r="693"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5" t="str">
        <f>IFERROR(__xludf.DUMMYFUNCTION("""COMPUTED_VALUE"""),"")</f>
        <v/>
      </c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</row>
    <row r="694"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5" t="str">
        <f>IFERROR(__xludf.DUMMYFUNCTION("""COMPUTED_VALUE"""),"")</f>
        <v/>
      </c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</row>
    <row r="695"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5" t="str">
        <f>IFERROR(__xludf.DUMMYFUNCTION("""COMPUTED_VALUE"""),"")</f>
        <v/>
      </c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</row>
    <row r="696"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5" t="str">
        <f>IFERROR(__xludf.DUMMYFUNCTION("""COMPUTED_VALUE"""),"")</f>
        <v/>
      </c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</row>
    <row r="697"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5" t="str">
        <f>IFERROR(__xludf.DUMMYFUNCTION("""COMPUTED_VALUE"""),"")</f>
        <v/>
      </c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</row>
    <row r="698"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5" t="str">
        <f>IFERROR(__xludf.DUMMYFUNCTION("""COMPUTED_VALUE"""),"")</f>
        <v/>
      </c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</row>
    <row r="699"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5" t="str">
        <f>IFERROR(__xludf.DUMMYFUNCTION("""COMPUTED_VALUE"""),"")</f>
        <v/>
      </c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</row>
    <row r="700"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5" t="str">
        <f>IFERROR(__xludf.DUMMYFUNCTION("""COMPUTED_VALUE"""),"")</f>
        <v/>
      </c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</row>
    <row r="701"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5" t="str">
        <f>IFERROR(__xludf.DUMMYFUNCTION("""COMPUTED_VALUE"""),"")</f>
        <v/>
      </c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</row>
    <row r="702"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5" t="str">
        <f>IFERROR(__xludf.DUMMYFUNCTION("""COMPUTED_VALUE"""),"")</f>
        <v/>
      </c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</row>
    <row r="703"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5" t="str">
        <f>IFERROR(__xludf.DUMMYFUNCTION("""COMPUTED_VALUE"""),"")</f>
        <v/>
      </c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</row>
    <row r="704"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5" t="str">
        <f>IFERROR(__xludf.DUMMYFUNCTION("""COMPUTED_VALUE"""),"")</f>
        <v/>
      </c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</row>
    <row r="705"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5" t="str">
        <f>IFERROR(__xludf.DUMMYFUNCTION("""COMPUTED_VALUE"""),"")</f>
        <v/>
      </c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</row>
    <row r="706"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5" t="str">
        <f>IFERROR(__xludf.DUMMYFUNCTION("""COMPUTED_VALUE"""),"")</f>
        <v/>
      </c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</row>
    <row r="707"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5" t="str">
        <f>IFERROR(__xludf.DUMMYFUNCTION("""COMPUTED_VALUE"""),"")</f>
        <v/>
      </c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</row>
    <row r="708"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5" t="str">
        <f>IFERROR(__xludf.DUMMYFUNCTION("""COMPUTED_VALUE"""),"")</f>
        <v/>
      </c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</row>
    <row r="709"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5" t="str">
        <f>IFERROR(__xludf.DUMMYFUNCTION("""COMPUTED_VALUE"""),"")</f>
        <v/>
      </c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</row>
    <row r="710"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5" t="str">
        <f>IFERROR(__xludf.DUMMYFUNCTION("""COMPUTED_VALUE"""),"")</f>
        <v/>
      </c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</row>
    <row r="711"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5" t="str">
        <f>IFERROR(__xludf.DUMMYFUNCTION("""COMPUTED_VALUE"""),"")</f>
        <v/>
      </c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</row>
    <row r="712"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5" t="str">
        <f>IFERROR(__xludf.DUMMYFUNCTION("""COMPUTED_VALUE"""),"")</f>
        <v/>
      </c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</row>
    <row r="713"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5" t="str">
        <f>IFERROR(__xludf.DUMMYFUNCTION("""COMPUTED_VALUE"""),"")</f>
        <v/>
      </c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</row>
    <row r="714"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5" t="str">
        <f>IFERROR(__xludf.DUMMYFUNCTION("""COMPUTED_VALUE"""),"")</f>
        <v/>
      </c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</row>
    <row r="715"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5" t="str">
        <f>IFERROR(__xludf.DUMMYFUNCTION("""COMPUTED_VALUE"""),"")</f>
        <v/>
      </c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</row>
    <row r="716"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5" t="str">
        <f>IFERROR(__xludf.DUMMYFUNCTION("""COMPUTED_VALUE"""),"")</f>
        <v/>
      </c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</row>
    <row r="717"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5" t="str">
        <f>IFERROR(__xludf.DUMMYFUNCTION("""COMPUTED_VALUE"""),"")</f>
        <v/>
      </c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</row>
    <row r="718"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5" t="str">
        <f>IFERROR(__xludf.DUMMYFUNCTION("""COMPUTED_VALUE"""),"")</f>
        <v/>
      </c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</row>
    <row r="719"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5" t="str">
        <f>IFERROR(__xludf.DUMMYFUNCTION("""COMPUTED_VALUE"""),"")</f>
        <v/>
      </c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</row>
    <row r="720"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5" t="str">
        <f>IFERROR(__xludf.DUMMYFUNCTION("""COMPUTED_VALUE"""),"")</f>
        <v/>
      </c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</row>
    <row r="721"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5" t="str">
        <f>IFERROR(__xludf.DUMMYFUNCTION("""COMPUTED_VALUE"""),"")</f>
        <v/>
      </c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</row>
    <row r="722"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5" t="str">
        <f>IFERROR(__xludf.DUMMYFUNCTION("""COMPUTED_VALUE"""),"")</f>
        <v/>
      </c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</row>
    <row r="723"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5" t="str">
        <f>IFERROR(__xludf.DUMMYFUNCTION("""COMPUTED_VALUE"""),"")</f>
        <v/>
      </c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</row>
    <row r="724"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5" t="str">
        <f>IFERROR(__xludf.DUMMYFUNCTION("""COMPUTED_VALUE"""),"")</f>
        <v/>
      </c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</row>
    <row r="725"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5" t="str">
        <f>IFERROR(__xludf.DUMMYFUNCTION("""COMPUTED_VALUE"""),"")</f>
        <v/>
      </c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</row>
    <row r="726"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5" t="str">
        <f>IFERROR(__xludf.DUMMYFUNCTION("""COMPUTED_VALUE"""),"")</f>
        <v/>
      </c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</row>
    <row r="727"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5" t="str">
        <f>IFERROR(__xludf.DUMMYFUNCTION("""COMPUTED_VALUE"""),"")</f>
        <v/>
      </c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</row>
    <row r="728"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5" t="str">
        <f>IFERROR(__xludf.DUMMYFUNCTION("""COMPUTED_VALUE"""),"")</f>
        <v/>
      </c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</row>
    <row r="729"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5" t="str">
        <f>IFERROR(__xludf.DUMMYFUNCTION("""COMPUTED_VALUE"""),"")</f>
        <v/>
      </c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</row>
    <row r="730"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5" t="str">
        <f>IFERROR(__xludf.DUMMYFUNCTION("""COMPUTED_VALUE"""),"")</f>
        <v/>
      </c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</row>
    <row r="731"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5" t="str">
        <f>IFERROR(__xludf.DUMMYFUNCTION("""COMPUTED_VALUE"""),"")</f>
        <v/>
      </c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</row>
    <row r="732"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5" t="str">
        <f>IFERROR(__xludf.DUMMYFUNCTION("""COMPUTED_VALUE"""),"")</f>
        <v/>
      </c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</row>
    <row r="733"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5" t="str">
        <f>IFERROR(__xludf.DUMMYFUNCTION("""COMPUTED_VALUE"""),"")</f>
        <v/>
      </c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</row>
    <row r="734"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5" t="str">
        <f>IFERROR(__xludf.DUMMYFUNCTION("""COMPUTED_VALUE"""),"")</f>
        <v/>
      </c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</row>
    <row r="735"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5" t="str">
        <f>IFERROR(__xludf.DUMMYFUNCTION("""COMPUTED_VALUE"""),"")</f>
        <v/>
      </c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</row>
    <row r="736"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5" t="str">
        <f>IFERROR(__xludf.DUMMYFUNCTION("""COMPUTED_VALUE"""),"")</f>
        <v/>
      </c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</row>
    <row r="737"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5" t="str">
        <f>IFERROR(__xludf.DUMMYFUNCTION("""COMPUTED_VALUE"""),"")</f>
        <v/>
      </c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</row>
    <row r="738"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5" t="str">
        <f>IFERROR(__xludf.DUMMYFUNCTION("""COMPUTED_VALUE"""),"")</f>
        <v/>
      </c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</row>
    <row r="739"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5" t="str">
        <f>IFERROR(__xludf.DUMMYFUNCTION("""COMPUTED_VALUE"""),"")</f>
        <v/>
      </c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</row>
    <row r="740"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5" t="str">
        <f>IFERROR(__xludf.DUMMYFUNCTION("""COMPUTED_VALUE"""),"")</f>
        <v/>
      </c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</row>
    <row r="741"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5" t="str">
        <f>IFERROR(__xludf.DUMMYFUNCTION("""COMPUTED_VALUE"""),"")</f>
        <v/>
      </c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</row>
    <row r="742"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5" t="str">
        <f>IFERROR(__xludf.DUMMYFUNCTION("""COMPUTED_VALUE"""),"")</f>
        <v/>
      </c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</row>
    <row r="743"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5" t="str">
        <f>IFERROR(__xludf.DUMMYFUNCTION("""COMPUTED_VALUE"""),"")</f>
        <v/>
      </c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</row>
    <row r="744"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5" t="str">
        <f>IFERROR(__xludf.DUMMYFUNCTION("""COMPUTED_VALUE"""),"")</f>
        <v/>
      </c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</row>
    <row r="745"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5" t="str">
        <f>IFERROR(__xludf.DUMMYFUNCTION("""COMPUTED_VALUE"""),"")</f>
        <v/>
      </c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</row>
    <row r="746"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5" t="str">
        <f>IFERROR(__xludf.DUMMYFUNCTION("""COMPUTED_VALUE"""),"")</f>
        <v/>
      </c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</row>
    <row r="747"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5" t="str">
        <f>IFERROR(__xludf.DUMMYFUNCTION("""COMPUTED_VALUE"""),"")</f>
        <v/>
      </c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</row>
    <row r="748"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5" t="str">
        <f>IFERROR(__xludf.DUMMYFUNCTION("""COMPUTED_VALUE"""),"")</f>
        <v/>
      </c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</row>
    <row r="749"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5" t="str">
        <f>IFERROR(__xludf.DUMMYFUNCTION("""COMPUTED_VALUE"""),"")</f>
        <v/>
      </c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</row>
    <row r="750"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5" t="str">
        <f>IFERROR(__xludf.DUMMYFUNCTION("""COMPUTED_VALUE"""),"")</f>
        <v/>
      </c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</row>
    <row r="751"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5" t="str">
        <f>IFERROR(__xludf.DUMMYFUNCTION("""COMPUTED_VALUE"""),"")</f>
        <v/>
      </c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</row>
    <row r="752"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5" t="str">
        <f>IFERROR(__xludf.DUMMYFUNCTION("""COMPUTED_VALUE"""),"")</f>
        <v/>
      </c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</row>
    <row r="753"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5" t="str">
        <f>IFERROR(__xludf.DUMMYFUNCTION("""COMPUTED_VALUE"""),"")</f>
        <v/>
      </c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</row>
    <row r="754"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5" t="str">
        <f>IFERROR(__xludf.DUMMYFUNCTION("""COMPUTED_VALUE"""),"")</f>
        <v/>
      </c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</row>
    <row r="755"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5" t="str">
        <f>IFERROR(__xludf.DUMMYFUNCTION("""COMPUTED_VALUE"""),"")</f>
        <v/>
      </c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</row>
    <row r="756"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5" t="str">
        <f>IFERROR(__xludf.DUMMYFUNCTION("""COMPUTED_VALUE"""),"")</f>
        <v/>
      </c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</row>
    <row r="757"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5" t="str">
        <f>IFERROR(__xludf.DUMMYFUNCTION("""COMPUTED_VALUE"""),"")</f>
        <v/>
      </c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</row>
    <row r="758"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5" t="str">
        <f>IFERROR(__xludf.DUMMYFUNCTION("""COMPUTED_VALUE"""),"")</f>
        <v/>
      </c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</row>
    <row r="759"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5" t="str">
        <f>IFERROR(__xludf.DUMMYFUNCTION("""COMPUTED_VALUE"""),"")</f>
        <v/>
      </c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</row>
    <row r="760"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5" t="str">
        <f>IFERROR(__xludf.DUMMYFUNCTION("""COMPUTED_VALUE"""),"")</f>
        <v/>
      </c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</row>
    <row r="761"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5" t="str">
        <f>IFERROR(__xludf.DUMMYFUNCTION("""COMPUTED_VALUE"""),"")</f>
        <v/>
      </c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</row>
    <row r="762"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5" t="str">
        <f>IFERROR(__xludf.DUMMYFUNCTION("""COMPUTED_VALUE"""),"")</f>
        <v/>
      </c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</row>
    <row r="763"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5" t="str">
        <f>IFERROR(__xludf.DUMMYFUNCTION("""COMPUTED_VALUE"""),"")</f>
        <v/>
      </c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</row>
    <row r="764"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5" t="str">
        <f>IFERROR(__xludf.DUMMYFUNCTION("""COMPUTED_VALUE"""),"")</f>
        <v/>
      </c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</row>
    <row r="765"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5" t="str">
        <f>IFERROR(__xludf.DUMMYFUNCTION("""COMPUTED_VALUE"""),"")</f>
        <v/>
      </c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</row>
    <row r="766"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5" t="str">
        <f>IFERROR(__xludf.DUMMYFUNCTION("""COMPUTED_VALUE"""),"")</f>
        <v/>
      </c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</row>
    <row r="767"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5" t="str">
        <f>IFERROR(__xludf.DUMMYFUNCTION("""COMPUTED_VALUE"""),"")</f>
        <v/>
      </c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</row>
    <row r="768"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5" t="str">
        <f>IFERROR(__xludf.DUMMYFUNCTION("""COMPUTED_VALUE"""),"")</f>
        <v/>
      </c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</row>
    <row r="769"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5" t="str">
        <f>IFERROR(__xludf.DUMMYFUNCTION("""COMPUTED_VALUE"""),"")</f>
        <v/>
      </c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</row>
    <row r="770"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5" t="str">
        <f>IFERROR(__xludf.DUMMYFUNCTION("""COMPUTED_VALUE"""),"")</f>
        <v/>
      </c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</row>
    <row r="771"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5" t="str">
        <f>IFERROR(__xludf.DUMMYFUNCTION("""COMPUTED_VALUE"""),"")</f>
        <v/>
      </c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</row>
    <row r="772"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5" t="str">
        <f>IFERROR(__xludf.DUMMYFUNCTION("""COMPUTED_VALUE"""),"")</f>
        <v/>
      </c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</row>
    <row r="773"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5" t="str">
        <f>IFERROR(__xludf.DUMMYFUNCTION("""COMPUTED_VALUE"""),"")</f>
        <v/>
      </c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</row>
    <row r="774"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5" t="str">
        <f>IFERROR(__xludf.DUMMYFUNCTION("""COMPUTED_VALUE"""),"")</f>
        <v/>
      </c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</row>
    <row r="775"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5" t="str">
        <f>IFERROR(__xludf.DUMMYFUNCTION("""COMPUTED_VALUE"""),"")</f>
        <v/>
      </c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</row>
    <row r="776"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5" t="str">
        <f>IFERROR(__xludf.DUMMYFUNCTION("""COMPUTED_VALUE"""),"")</f>
        <v/>
      </c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</row>
    <row r="777"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5" t="str">
        <f>IFERROR(__xludf.DUMMYFUNCTION("""COMPUTED_VALUE"""),"")</f>
        <v/>
      </c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</row>
    <row r="778"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5" t="str">
        <f>IFERROR(__xludf.DUMMYFUNCTION("""COMPUTED_VALUE"""),"")</f>
        <v/>
      </c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</row>
    <row r="779"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5" t="str">
        <f>IFERROR(__xludf.DUMMYFUNCTION("""COMPUTED_VALUE"""),"")</f>
        <v/>
      </c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</row>
    <row r="780"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5" t="str">
        <f>IFERROR(__xludf.DUMMYFUNCTION("""COMPUTED_VALUE"""),"")</f>
        <v/>
      </c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</row>
    <row r="781"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5" t="str">
        <f>IFERROR(__xludf.DUMMYFUNCTION("""COMPUTED_VALUE"""),"")</f>
        <v/>
      </c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</row>
    <row r="782"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5" t="str">
        <f>IFERROR(__xludf.DUMMYFUNCTION("""COMPUTED_VALUE"""),"")</f>
        <v/>
      </c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</row>
    <row r="783"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5" t="str">
        <f>IFERROR(__xludf.DUMMYFUNCTION("""COMPUTED_VALUE"""),"")</f>
        <v/>
      </c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</row>
    <row r="784"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5" t="str">
        <f>IFERROR(__xludf.DUMMYFUNCTION("""COMPUTED_VALUE"""),"")</f>
        <v/>
      </c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</row>
    <row r="785"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5" t="str">
        <f>IFERROR(__xludf.DUMMYFUNCTION("""COMPUTED_VALUE"""),"")</f>
        <v/>
      </c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</row>
    <row r="786"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5" t="str">
        <f>IFERROR(__xludf.DUMMYFUNCTION("""COMPUTED_VALUE"""),"")</f>
        <v/>
      </c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</row>
    <row r="787"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5" t="str">
        <f>IFERROR(__xludf.DUMMYFUNCTION("""COMPUTED_VALUE"""),"")</f>
        <v/>
      </c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</row>
    <row r="788"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5" t="str">
        <f>IFERROR(__xludf.DUMMYFUNCTION("""COMPUTED_VALUE"""),"")</f>
        <v/>
      </c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</row>
    <row r="789"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5" t="str">
        <f>IFERROR(__xludf.DUMMYFUNCTION("""COMPUTED_VALUE"""),"")</f>
        <v/>
      </c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</row>
    <row r="790"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5" t="str">
        <f>IFERROR(__xludf.DUMMYFUNCTION("""COMPUTED_VALUE"""),"")</f>
        <v/>
      </c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</row>
    <row r="791"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5" t="str">
        <f>IFERROR(__xludf.DUMMYFUNCTION("""COMPUTED_VALUE"""),"")</f>
        <v/>
      </c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</row>
    <row r="792"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5" t="str">
        <f>IFERROR(__xludf.DUMMYFUNCTION("""COMPUTED_VALUE"""),"")</f>
        <v/>
      </c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</row>
    <row r="793"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5" t="str">
        <f>IFERROR(__xludf.DUMMYFUNCTION("""COMPUTED_VALUE"""),"")</f>
        <v/>
      </c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</row>
    <row r="794"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5" t="str">
        <f>IFERROR(__xludf.DUMMYFUNCTION("""COMPUTED_VALUE"""),"")</f>
        <v/>
      </c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</row>
    <row r="795"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5" t="str">
        <f>IFERROR(__xludf.DUMMYFUNCTION("""COMPUTED_VALUE"""),"")</f>
        <v/>
      </c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</row>
    <row r="796"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5" t="str">
        <f>IFERROR(__xludf.DUMMYFUNCTION("""COMPUTED_VALUE"""),"")</f>
        <v/>
      </c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</row>
    <row r="797"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5" t="str">
        <f>IFERROR(__xludf.DUMMYFUNCTION("""COMPUTED_VALUE"""),"")</f>
        <v/>
      </c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</row>
    <row r="798"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5" t="str">
        <f>IFERROR(__xludf.DUMMYFUNCTION("""COMPUTED_VALUE"""),"")</f>
        <v/>
      </c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</row>
    <row r="799"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5" t="str">
        <f>IFERROR(__xludf.DUMMYFUNCTION("""COMPUTED_VALUE"""),"")</f>
        <v/>
      </c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</row>
    <row r="800"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5" t="str">
        <f>IFERROR(__xludf.DUMMYFUNCTION("""COMPUTED_VALUE"""),"")</f>
        <v/>
      </c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</row>
    <row r="801"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5" t="str">
        <f>IFERROR(__xludf.DUMMYFUNCTION("""COMPUTED_VALUE"""),"")</f>
        <v/>
      </c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</row>
    <row r="802"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5" t="str">
        <f>IFERROR(__xludf.DUMMYFUNCTION("""COMPUTED_VALUE"""),"")</f>
        <v/>
      </c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</row>
    <row r="803"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5" t="str">
        <f>IFERROR(__xludf.DUMMYFUNCTION("""COMPUTED_VALUE"""),"")</f>
        <v/>
      </c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</row>
    <row r="804"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5" t="str">
        <f>IFERROR(__xludf.DUMMYFUNCTION("""COMPUTED_VALUE"""),"")</f>
        <v/>
      </c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</row>
    <row r="805"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5" t="str">
        <f>IFERROR(__xludf.DUMMYFUNCTION("""COMPUTED_VALUE"""),"")</f>
        <v/>
      </c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</row>
    <row r="806"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5" t="str">
        <f>IFERROR(__xludf.DUMMYFUNCTION("""COMPUTED_VALUE"""),"")</f>
        <v/>
      </c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</row>
    <row r="807"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5" t="str">
        <f>IFERROR(__xludf.DUMMYFUNCTION("""COMPUTED_VALUE"""),"")</f>
        <v/>
      </c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</row>
    <row r="808"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5" t="str">
        <f>IFERROR(__xludf.DUMMYFUNCTION("""COMPUTED_VALUE"""),"")</f>
        <v/>
      </c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</row>
    <row r="809"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5" t="str">
        <f>IFERROR(__xludf.DUMMYFUNCTION("""COMPUTED_VALUE"""),"")</f>
        <v/>
      </c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</row>
    <row r="810"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5" t="str">
        <f>IFERROR(__xludf.DUMMYFUNCTION("""COMPUTED_VALUE"""),"")</f>
        <v/>
      </c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</row>
    <row r="811"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5" t="str">
        <f>IFERROR(__xludf.DUMMYFUNCTION("""COMPUTED_VALUE"""),"")</f>
        <v/>
      </c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</row>
    <row r="812"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5" t="str">
        <f>IFERROR(__xludf.DUMMYFUNCTION("""COMPUTED_VALUE"""),"")</f>
        <v/>
      </c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</row>
    <row r="813"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5" t="str">
        <f>IFERROR(__xludf.DUMMYFUNCTION("""COMPUTED_VALUE"""),"")</f>
        <v/>
      </c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</row>
    <row r="814"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5" t="str">
        <f>IFERROR(__xludf.DUMMYFUNCTION("""COMPUTED_VALUE"""),"")</f>
        <v/>
      </c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</row>
    <row r="815"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5" t="str">
        <f>IFERROR(__xludf.DUMMYFUNCTION("""COMPUTED_VALUE"""),"")</f>
        <v/>
      </c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</row>
    <row r="816"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5" t="str">
        <f>IFERROR(__xludf.DUMMYFUNCTION("""COMPUTED_VALUE"""),"")</f>
        <v/>
      </c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</row>
    <row r="817"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5" t="str">
        <f>IFERROR(__xludf.DUMMYFUNCTION("""COMPUTED_VALUE"""),"")</f>
        <v/>
      </c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</row>
    <row r="818"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5" t="str">
        <f>IFERROR(__xludf.DUMMYFUNCTION("""COMPUTED_VALUE"""),"")</f>
        <v/>
      </c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</row>
    <row r="819"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5" t="str">
        <f>IFERROR(__xludf.DUMMYFUNCTION("""COMPUTED_VALUE"""),"")</f>
        <v/>
      </c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</row>
    <row r="820"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5" t="str">
        <f>IFERROR(__xludf.DUMMYFUNCTION("""COMPUTED_VALUE"""),"")</f>
        <v/>
      </c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</row>
    <row r="821"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5" t="str">
        <f>IFERROR(__xludf.DUMMYFUNCTION("""COMPUTED_VALUE"""),"")</f>
        <v/>
      </c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</row>
    <row r="822"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5" t="str">
        <f>IFERROR(__xludf.DUMMYFUNCTION("""COMPUTED_VALUE"""),"")</f>
        <v/>
      </c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</row>
    <row r="823"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5" t="str">
        <f>IFERROR(__xludf.DUMMYFUNCTION("""COMPUTED_VALUE"""),"")</f>
        <v/>
      </c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</row>
    <row r="824"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5" t="str">
        <f>IFERROR(__xludf.DUMMYFUNCTION("""COMPUTED_VALUE"""),"")</f>
        <v/>
      </c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</row>
    <row r="825"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5" t="str">
        <f>IFERROR(__xludf.DUMMYFUNCTION("""COMPUTED_VALUE"""),"")</f>
        <v/>
      </c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</row>
    <row r="826"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5" t="str">
        <f>IFERROR(__xludf.DUMMYFUNCTION("""COMPUTED_VALUE"""),"")</f>
        <v/>
      </c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</row>
    <row r="827"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5" t="str">
        <f>IFERROR(__xludf.DUMMYFUNCTION("""COMPUTED_VALUE"""),"")</f>
        <v/>
      </c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</row>
    <row r="828"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5" t="str">
        <f>IFERROR(__xludf.DUMMYFUNCTION("""COMPUTED_VALUE"""),"")</f>
        <v/>
      </c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</row>
    <row r="829"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5" t="str">
        <f>IFERROR(__xludf.DUMMYFUNCTION("""COMPUTED_VALUE"""),"")</f>
        <v/>
      </c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</row>
    <row r="830"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5" t="str">
        <f>IFERROR(__xludf.DUMMYFUNCTION("""COMPUTED_VALUE"""),"")</f>
        <v/>
      </c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</row>
    <row r="831"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5" t="str">
        <f>IFERROR(__xludf.DUMMYFUNCTION("""COMPUTED_VALUE"""),"")</f>
        <v/>
      </c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</row>
    <row r="832"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5" t="str">
        <f>IFERROR(__xludf.DUMMYFUNCTION("""COMPUTED_VALUE"""),"")</f>
        <v/>
      </c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</row>
    <row r="833"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5" t="str">
        <f>IFERROR(__xludf.DUMMYFUNCTION("""COMPUTED_VALUE"""),"")</f>
        <v/>
      </c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</row>
    <row r="834"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5" t="str">
        <f>IFERROR(__xludf.DUMMYFUNCTION("""COMPUTED_VALUE"""),"")</f>
        <v/>
      </c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</row>
    <row r="835"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5" t="str">
        <f>IFERROR(__xludf.DUMMYFUNCTION("""COMPUTED_VALUE"""),"")</f>
        <v/>
      </c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</row>
    <row r="836"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5" t="str">
        <f>IFERROR(__xludf.DUMMYFUNCTION("""COMPUTED_VALUE"""),"")</f>
        <v/>
      </c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</row>
    <row r="837"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5" t="str">
        <f>IFERROR(__xludf.DUMMYFUNCTION("""COMPUTED_VALUE"""),"")</f>
        <v/>
      </c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</row>
    <row r="838"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5" t="str">
        <f>IFERROR(__xludf.DUMMYFUNCTION("""COMPUTED_VALUE"""),"")</f>
        <v/>
      </c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</row>
    <row r="839"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5" t="str">
        <f>IFERROR(__xludf.DUMMYFUNCTION("""COMPUTED_VALUE"""),"")</f>
        <v/>
      </c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</row>
    <row r="840"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5" t="str">
        <f>IFERROR(__xludf.DUMMYFUNCTION("""COMPUTED_VALUE"""),"")</f>
        <v/>
      </c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</row>
    <row r="841"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5" t="str">
        <f>IFERROR(__xludf.DUMMYFUNCTION("""COMPUTED_VALUE"""),"")</f>
        <v/>
      </c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</row>
    <row r="842"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5" t="str">
        <f>IFERROR(__xludf.DUMMYFUNCTION("""COMPUTED_VALUE"""),"")</f>
        <v/>
      </c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</row>
    <row r="843"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5" t="str">
        <f>IFERROR(__xludf.DUMMYFUNCTION("""COMPUTED_VALUE"""),"")</f>
        <v/>
      </c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</row>
    <row r="844"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5" t="str">
        <f>IFERROR(__xludf.DUMMYFUNCTION("""COMPUTED_VALUE"""),"")</f>
        <v/>
      </c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</row>
    <row r="845"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5" t="str">
        <f>IFERROR(__xludf.DUMMYFUNCTION("""COMPUTED_VALUE"""),"")</f>
        <v/>
      </c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</row>
    <row r="846"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5" t="str">
        <f>IFERROR(__xludf.DUMMYFUNCTION("""COMPUTED_VALUE"""),"")</f>
        <v/>
      </c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</row>
    <row r="847"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5" t="str">
        <f>IFERROR(__xludf.DUMMYFUNCTION("""COMPUTED_VALUE"""),"")</f>
        <v/>
      </c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</row>
    <row r="848"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5" t="str">
        <f>IFERROR(__xludf.DUMMYFUNCTION("""COMPUTED_VALUE"""),"")</f>
        <v/>
      </c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</row>
    <row r="849"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5" t="str">
        <f>IFERROR(__xludf.DUMMYFUNCTION("""COMPUTED_VALUE"""),"")</f>
        <v/>
      </c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</row>
    <row r="850"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5" t="str">
        <f>IFERROR(__xludf.DUMMYFUNCTION("""COMPUTED_VALUE"""),"")</f>
        <v/>
      </c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</row>
    <row r="851"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5" t="str">
        <f>IFERROR(__xludf.DUMMYFUNCTION("""COMPUTED_VALUE"""),"")</f>
        <v/>
      </c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</row>
    <row r="852"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5" t="str">
        <f>IFERROR(__xludf.DUMMYFUNCTION("""COMPUTED_VALUE"""),"")</f>
        <v/>
      </c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</row>
    <row r="853"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5" t="str">
        <f>IFERROR(__xludf.DUMMYFUNCTION("""COMPUTED_VALUE"""),"")</f>
        <v/>
      </c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</row>
    <row r="854"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5" t="str">
        <f>IFERROR(__xludf.DUMMYFUNCTION("""COMPUTED_VALUE"""),"")</f>
        <v/>
      </c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</row>
    <row r="855"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5" t="str">
        <f>IFERROR(__xludf.DUMMYFUNCTION("""COMPUTED_VALUE"""),"")</f>
        <v/>
      </c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</row>
    <row r="856"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5" t="str">
        <f>IFERROR(__xludf.DUMMYFUNCTION("""COMPUTED_VALUE"""),"")</f>
        <v/>
      </c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</row>
    <row r="857"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5" t="str">
        <f>IFERROR(__xludf.DUMMYFUNCTION("""COMPUTED_VALUE"""),"")</f>
        <v/>
      </c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</row>
    <row r="858"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5" t="str">
        <f>IFERROR(__xludf.DUMMYFUNCTION("""COMPUTED_VALUE"""),"")</f>
        <v/>
      </c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</row>
    <row r="859"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5" t="str">
        <f>IFERROR(__xludf.DUMMYFUNCTION("""COMPUTED_VALUE"""),"")</f>
        <v/>
      </c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</row>
    <row r="860"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5" t="str">
        <f>IFERROR(__xludf.DUMMYFUNCTION("""COMPUTED_VALUE"""),"")</f>
        <v/>
      </c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</row>
    <row r="861"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5" t="str">
        <f>IFERROR(__xludf.DUMMYFUNCTION("""COMPUTED_VALUE"""),"")</f>
        <v/>
      </c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</row>
    <row r="862"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5" t="str">
        <f>IFERROR(__xludf.DUMMYFUNCTION("""COMPUTED_VALUE"""),"")</f>
        <v/>
      </c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</row>
    <row r="863"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5" t="str">
        <f>IFERROR(__xludf.DUMMYFUNCTION("""COMPUTED_VALUE"""),"")</f>
        <v/>
      </c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</row>
    <row r="864"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5" t="str">
        <f>IFERROR(__xludf.DUMMYFUNCTION("""COMPUTED_VALUE"""),"")</f>
        <v/>
      </c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</row>
    <row r="865"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5" t="str">
        <f>IFERROR(__xludf.DUMMYFUNCTION("""COMPUTED_VALUE"""),"")</f>
        <v/>
      </c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</row>
    <row r="866"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5" t="str">
        <f>IFERROR(__xludf.DUMMYFUNCTION("""COMPUTED_VALUE"""),"")</f>
        <v/>
      </c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</row>
    <row r="867"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5" t="str">
        <f>IFERROR(__xludf.DUMMYFUNCTION("""COMPUTED_VALUE"""),"")</f>
        <v/>
      </c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</row>
    <row r="868"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5" t="str">
        <f>IFERROR(__xludf.DUMMYFUNCTION("""COMPUTED_VALUE"""),"")</f>
        <v/>
      </c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</row>
    <row r="869"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5" t="str">
        <f>IFERROR(__xludf.DUMMYFUNCTION("""COMPUTED_VALUE"""),"")</f>
        <v/>
      </c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</row>
    <row r="870"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5" t="str">
        <f>IFERROR(__xludf.DUMMYFUNCTION("""COMPUTED_VALUE"""),"")</f>
        <v/>
      </c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</row>
    <row r="871"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5" t="str">
        <f>IFERROR(__xludf.DUMMYFUNCTION("""COMPUTED_VALUE"""),"")</f>
        <v/>
      </c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</row>
    <row r="872"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5" t="str">
        <f>IFERROR(__xludf.DUMMYFUNCTION("""COMPUTED_VALUE"""),"")</f>
        <v/>
      </c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</row>
    <row r="873"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5" t="str">
        <f>IFERROR(__xludf.DUMMYFUNCTION("""COMPUTED_VALUE"""),"")</f>
        <v/>
      </c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</row>
    <row r="874"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5" t="str">
        <f>IFERROR(__xludf.DUMMYFUNCTION("""COMPUTED_VALUE"""),"")</f>
        <v/>
      </c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</row>
    <row r="875"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5" t="str">
        <f>IFERROR(__xludf.DUMMYFUNCTION("""COMPUTED_VALUE"""),"")</f>
        <v/>
      </c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</row>
    <row r="876"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5" t="str">
        <f>IFERROR(__xludf.DUMMYFUNCTION("""COMPUTED_VALUE"""),"")</f>
        <v/>
      </c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</row>
    <row r="877"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5" t="str">
        <f>IFERROR(__xludf.DUMMYFUNCTION("""COMPUTED_VALUE"""),"")</f>
        <v/>
      </c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</row>
    <row r="878"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5" t="str">
        <f>IFERROR(__xludf.DUMMYFUNCTION("""COMPUTED_VALUE"""),"")</f>
        <v/>
      </c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</row>
    <row r="879"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5" t="str">
        <f>IFERROR(__xludf.DUMMYFUNCTION("""COMPUTED_VALUE"""),"")</f>
        <v/>
      </c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</row>
    <row r="880"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5" t="str">
        <f>IFERROR(__xludf.DUMMYFUNCTION("""COMPUTED_VALUE"""),"")</f>
        <v/>
      </c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</row>
    <row r="881"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5" t="str">
        <f>IFERROR(__xludf.DUMMYFUNCTION("""COMPUTED_VALUE"""),"")</f>
        <v/>
      </c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</row>
    <row r="882"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5" t="str">
        <f>IFERROR(__xludf.DUMMYFUNCTION("""COMPUTED_VALUE"""),"")</f>
        <v/>
      </c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</row>
    <row r="883"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5" t="str">
        <f>IFERROR(__xludf.DUMMYFUNCTION("""COMPUTED_VALUE"""),"")</f>
        <v/>
      </c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</row>
    <row r="884"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5" t="str">
        <f>IFERROR(__xludf.DUMMYFUNCTION("""COMPUTED_VALUE"""),"")</f>
        <v/>
      </c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</row>
    <row r="885"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5" t="str">
        <f>IFERROR(__xludf.DUMMYFUNCTION("""COMPUTED_VALUE"""),"")</f>
        <v/>
      </c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</row>
    <row r="886"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5" t="str">
        <f>IFERROR(__xludf.DUMMYFUNCTION("""COMPUTED_VALUE"""),"")</f>
        <v/>
      </c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</row>
    <row r="887"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5" t="str">
        <f>IFERROR(__xludf.DUMMYFUNCTION("""COMPUTED_VALUE"""),"")</f>
        <v/>
      </c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</row>
    <row r="888"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5" t="str">
        <f>IFERROR(__xludf.DUMMYFUNCTION("""COMPUTED_VALUE"""),"")</f>
        <v/>
      </c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</row>
    <row r="889"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5" t="str">
        <f>IFERROR(__xludf.DUMMYFUNCTION("""COMPUTED_VALUE"""),"")</f>
        <v/>
      </c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</row>
    <row r="890"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5" t="str">
        <f>IFERROR(__xludf.DUMMYFUNCTION("""COMPUTED_VALUE"""),"")</f>
        <v/>
      </c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</row>
    <row r="891"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5" t="str">
        <f>IFERROR(__xludf.DUMMYFUNCTION("""COMPUTED_VALUE"""),"")</f>
        <v/>
      </c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</row>
    <row r="892"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5" t="str">
        <f>IFERROR(__xludf.DUMMYFUNCTION("""COMPUTED_VALUE"""),"")</f>
        <v/>
      </c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</row>
    <row r="893"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5" t="str">
        <f>IFERROR(__xludf.DUMMYFUNCTION("""COMPUTED_VALUE"""),"")</f>
        <v/>
      </c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</row>
    <row r="894"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5" t="str">
        <f>IFERROR(__xludf.DUMMYFUNCTION("""COMPUTED_VALUE"""),"")</f>
        <v/>
      </c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</row>
    <row r="895"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5" t="str">
        <f>IFERROR(__xludf.DUMMYFUNCTION("""COMPUTED_VALUE"""),"")</f>
        <v/>
      </c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</row>
    <row r="896"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5" t="str">
        <f>IFERROR(__xludf.DUMMYFUNCTION("""COMPUTED_VALUE"""),"")</f>
        <v/>
      </c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</row>
    <row r="897"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5" t="str">
        <f>IFERROR(__xludf.DUMMYFUNCTION("""COMPUTED_VALUE"""),"")</f>
        <v/>
      </c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</row>
    <row r="898"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5" t="str">
        <f>IFERROR(__xludf.DUMMYFUNCTION("""COMPUTED_VALUE"""),"")</f>
        <v/>
      </c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</row>
    <row r="899"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5" t="str">
        <f>IFERROR(__xludf.DUMMYFUNCTION("""COMPUTED_VALUE"""),"")</f>
        <v/>
      </c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</row>
    <row r="900"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5" t="str">
        <f>IFERROR(__xludf.DUMMYFUNCTION("""COMPUTED_VALUE"""),"")</f>
        <v/>
      </c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</row>
    <row r="901"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5" t="str">
        <f>IFERROR(__xludf.DUMMYFUNCTION("""COMPUTED_VALUE"""),"")</f>
        <v/>
      </c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</row>
    <row r="902"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5" t="str">
        <f>IFERROR(__xludf.DUMMYFUNCTION("""COMPUTED_VALUE"""),"")</f>
        <v/>
      </c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</row>
    <row r="903"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5" t="str">
        <f>IFERROR(__xludf.DUMMYFUNCTION("""COMPUTED_VALUE"""),"")</f>
        <v/>
      </c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</row>
    <row r="904"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5" t="str">
        <f>IFERROR(__xludf.DUMMYFUNCTION("""COMPUTED_VALUE"""),"")</f>
        <v/>
      </c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</row>
    <row r="905"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5" t="str">
        <f>IFERROR(__xludf.DUMMYFUNCTION("""COMPUTED_VALUE"""),"")</f>
        <v/>
      </c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</row>
    <row r="906"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5" t="str">
        <f>IFERROR(__xludf.DUMMYFUNCTION("""COMPUTED_VALUE"""),"")</f>
        <v/>
      </c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</row>
    <row r="907"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5" t="str">
        <f>IFERROR(__xludf.DUMMYFUNCTION("""COMPUTED_VALUE"""),"")</f>
        <v/>
      </c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</row>
    <row r="908"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5" t="str">
        <f>IFERROR(__xludf.DUMMYFUNCTION("""COMPUTED_VALUE"""),"")</f>
        <v/>
      </c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</row>
    <row r="909"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5" t="str">
        <f>IFERROR(__xludf.DUMMYFUNCTION("""COMPUTED_VALUE"""),"")</f>
        <v/>
      </c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</row>
    <row r="910"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5" t="str">
        <f>IFERROR(__xludf.DUMMYFUNCTION("""COMPUTED_VALUE"""),"")</f>
        <v/>
      </c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</row>
    <row r="911"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5" t="str">
        <f>IFERROR(__xludf.DUMMYFUNCTION("""COMPUTED_VALUE"""),"")</f>
        <v/>
      </c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</row>
    <row r="912"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5" t="str">
        <f>IFERROR(__xludf.DUMMYFUNCTION("""COMPUTED_VALUE"""),"")</f>
        <v/>
      </c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</row>
    <row r="913"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5" t="str">
        <f>IFERROR(__xludf.DUMMYFUNCTION("""COMPUTED_VALUE"""),"")</f>
        <v/>
      </c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</row>
    <row r="914"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5" t="str">
        <f>IFERROR(__xludf.DUMMYFUNCTION("""COMPUTED_VALUE"""),"")</f>
        <v/>
      </c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</row>
    <row r="915"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5" t="str">
        <f>IFERROR(__xludf.DUMMYFUNCTION("""COMPUTED_VALUE"""),"")</f>
        <v/>
      </c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</row>
    <row r="916"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5" t="str">
        <f>IFERROR(__xludf.DUMMYFUNCTION("""COMPUTED_VALUE"""),"")</f>
        <v/>
      </c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</row>
    <row r="917"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5" t="str">
        <f>IFERROR(__xludf.DUMMYFUNCTION("""COMPUTED_VALUE"""),"")</f>
        <v/>
      </c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</row>
    <row r="918"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5" t="str">
        <f>IFERROR(__xludf.DUMMYFUNCTION("""COMPUTED_VALUE"""),"")</f>
        <v/>
      </c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</row>
    <row r="919"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5" t="str">
        <f>IFERROR(__xludf.DUMMYFUNCTION("""COMPUTED_VALUE"""),"")</f>
        <v/>
      </c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</row>
    <row r="920"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5" t="str">
        <f>IFERROR(__xludf.DUMMYFUNCTION("""COMPUTED_VALUE"""),"")</f>
        <v/>
      </c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</row>
    <row r="921"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5" t="str">
        <f>IFERROR(__xludf.DUMMYFUNCTION("""COMPUTED_VALUE"""),"")</f>
        <v/>
      </c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</row>
    <row r="922"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5" t="str">
        <f>IFERROR(__xludf.DUMMYFUNCTION("""COMPUTED_VALUE"""),"")</f>
        <v/>
      </c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</row>
    <row r="923"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5" t="str">
        <f>IFERROR(__xludf.DUMMYFUNCTION("""COMPUTED_VALUE"""),"")</f>
        <v/>
      </c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</row>
    <row r="924"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5" t="str">
        <f>IFERROR(__xludf.DUMMYFUNCTION("""COMPUTED_VALUE"""),"")</f>
        <v/>
      </c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</row>
    <row r="925"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5" t="str">
        <f>IFERROR(__xludf.DUMMYFUNCTION("""COMPUTED_VALUE"""),"")</f>
        <v/>
      </c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</row>
    <row r="926"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5" t="str">
        <f>IFERROR(__xludf.DUMMYFUNCTION("""COMPUTED_VALUE"""),"")</f>
        <v/>
      </c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</row>
    <row r="927"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5" t="str">
        <f>IFERROR(__xludf.DUMMYFUNCTION("""COMPUTED_VALUE"""),"")</f>
        <v/>
      </c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</row>
    <row r="928"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5" t="str">
        <f>IFERROR(__xludf.DUMMYFUNCTION("""COMPUTED_VALUE"""),"")</f>
        <v/>
      </c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</row>
    <row r="929"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5" t="str">
        <f>IFERROR(__xludf.DUMMYFUNCTION("""COMPUTED_VALUE"""),"")</f>
        <v/>
      </c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</row>
    <row r="930"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5" t="str">
        <f>IFERROR(__xludf.DUMMYFUNCTION("""COMPUTED_VALUE"""),"")</f>
        <v/>
      </c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</row>
    <row r="931"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5" t="str">
        <f>IFERROR(__xludf.DUMMYFUNCTION("""COMPUTED_VALUE"""),"")</f>
        <v/>
      </c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</row>
    <row r="932"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5" t="str">
        <f>IFERROR(__xludf.DUMMYFUNCTION("""COMPUTED_VALUE"""),"")</f>
        <v/>
      </c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</row>
    <row r="933"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5" t="str">
        <f>IFERROR(__xludf.DUMMYFUNCTION("""COMPUTED_VALUE"""),"")</f>
        <v/>
      </c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</row>
    <row r="934"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5" t="str">
        <f>IFERROR(__xludf.DUMMYFUNCTION("""COMPUTED_VALUE"""),"")</f>
        <v/>
      </c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</row>
    <row r="935"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5" t="str">
        <f>IFERROR(__xludf.DUMMYFUNCTION("""COMPUTED_VALUE"""),"")</f>
        <v/>
      </c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</row>
    <row r="936"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5" t="str">
        <f>IFERROR(__xludf.DUMMYFUNCTION("""COMPUTED_VALUE"""),"")</f>
        <v/>
      </c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</row>
    <row r="937"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5" t="str">
        <f>IFERROR(__xludf.DUMMYFUNCTION("""COMPUTED_VALUE"""),"")</f>
        <v/>
      </c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</row>
    <row r="938"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5" t="str">
        <f>IFERROR(__xludf.DUMMYFUNCTION("""COMPUTED_VALUE"""),"")</f>
        <v/>
      </c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</row>
    <row r="939"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5" t="str">
        <f>IFERROR(__xludf.DUMMYFUNCTION("""COMPUTED_VALUE"""),"")</f>
        <v/>
      </c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</row>
    <row r="940"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5" t="str">
        <f>IFERROR(__xludf.DUMMYFUNCTION("""COMPUTED_VALUE"""),"")</f>
        <v/>
      </c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</row>
    <row r="941"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5" t="str">
        <f>IFERROR(__xludf.DUMMYFUNCTION("""COMPUTED_VALUE"""),"")</f>
        <v/>
      </c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</row>
    <row r="942"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5" t="str">
        <f>IFERROR(__xludf.DUMMYFUNCTION("""COMPUTED_VALUE"""),"")</f>
        <v/>
      </c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</row>
    <row r="943"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5" t="str">
        <f>IFERROR(__xludf.DUMMYFUNCTION("""COMPUTED_VALUE"""),"")</f>
        <v/>
      </c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</row>
    <row r="944"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5" t="str">
        <f>IFERROR(__xludf.DUMMYFUNCTION("""COMPUTED_VALUE"""),"")</f>
        <v/>
      </c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</row>
    <row r="945"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5" t="str">
        <f>IFERROR(__xludf.DUMMYFUNCTION("""COMPUTED_VALUE"""),"")</f>
        <v/>
      </c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</row>
    <row r="946"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5" t="str">
        <f>IFERROR(__xludf.DUMMYFUNCTION("""COMPUTED_VALUE"""),"")</f>
        <v/>
      </c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</row>
    <row r="947"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5" t="str">
        <f>IFERROR(__xludf.DUMMYFUNCTION("""COMPUTED_VALUE"""),"")</f>
        <v/>
      </c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</row>
    <row r="948"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5" t="str">
        <f>IFERROR(__xludf.DUMMYFUNCTION("""COMPUTED_VALUE"""),"")</f>
        <v/>
      </c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</row>
    <row r="949"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5" t="str">
        <f>IFERROR(__xludf.DUMMYFUNCTION("""COMPUTED_VALUE"""),"")</f>
        <v/>
      </c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</row>
    <row r="950"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5" t="str">
        <f>IFERROR(__xludf.DUMMYFUNCTION("""COMPUTED_VALUE"""),"")</f>
        <v/>
      </c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</row>
    <row r="951"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5" t="str">
        <f>IFERROR(__xludf.DUMMYFUNCTION("""COMPUTED_VALUE"""),"")</f>
        <v/>
      </c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</row>
    <row r="952"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5" t="str">
        <f>IFERROR(__xludf.DUMMYFUNCTION("""COMPUTED_VALUE"""),"")</f>
        <v/>
      </c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</row>
    <row r="953"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5" t="str">
        <f>IFERROR(__xludf.DUMMYFUNCTION("""COMPUTED_VALUE"""),"")</f>
        <v/>
      </c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</row>
    <row r="954"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5" t="str">
        <f>IFERROR(__xludf.DUMMYFUNCTION("""COMPUTED_VALUE"""),"")</f>
        <v/>
      </c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</row>
    <row r="955"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5" t="str">
        <f>IFERROR(__xludf.DUMMYFUNCTION("""COMPUTED_VALUE"""),"")</f>
        <v/>
      </c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</row>
    <row r="956"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5" t="str">
        <f>IFERROR(__xludf.DUMMYFUNCTION("""COMPUTED_VALUE"""),"")</f>
        <v/>
      </c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</row>
    <row r="957"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5" t="str">
        <f>IFERROR(__xludf.DUMMYFUNCTION("""COMPUTED_VALUE"""),"")</f>
        <v/>
      </c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</row>
    <row r="958"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5" t="str">
        <f>IFERROR(__xludf.DUMMYFUNCTION("""COMPUTED_VALUE"""),"")</f>
        <v/>
      </c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</row>
    <row r="959"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5" t="str">
        <f>IFERROR(__xludf.DUMMYFUNCTION("""COMPUTED_VALUE"""),"")</f>
        <v/>
      </c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</row>
    <row r="960"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5" t="str">
        <f>IFERROR(__xludf.DUMMYFUNCTION("""COMPUTED_VALUE"""),"")</f>
        <v/>
      </c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</row>
    <row r="961"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5" t="str">
        <f>IFERROR(__xludf.DUMMYFUNCTION("""COMPUTED_VALUE"""),"")</f>
        <v/>
      </c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</row>
    <row r="962"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5" t="str">
        <f>IFERROR(__xludf.DUMMYFUNCTION("""COMPUTED_VALUE"""),"")</f>
        <v/>
      </c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</row>
    <row r="963"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5" t="str">
        <f>IFERROR(__xludf.DUMMYFUNCTION("""COMPUTED_VALUE"""),"")</f>
        <v/>
      </c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</row>
    <row r="964"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5" t="str">
        <f>IFERROR(__xludf.DUMMYFUNCTION("""COMPUTED_VALUE"""),"")</f>
        <v/>
      </c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</row>
    <row r="965"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5" t="str">
        <f>IFERROR(__xludf.DUMMYFUNCTION("""COMPUTED_VALUE"""),"")</f>
        <v/>
      </c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</row>
    <row r="966"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5" t="str">
        <f>IFERROR(__xludf.DUMMYFUNCTION("""COMPUTED_VALUE"""),"")</f>
        <v/>
      </c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</row>
    <row r="967"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5" t="str">
        <f>IFERROR(__xludf.DUMMYFUNCTION("""COMPUTED_VALUE"""),"")</f>
        <v/>
      </c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</row>
    <row r="968"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5" t="str">
        <f>IFERROR(__xludf.DUMMYFUNCTION("""COMPUTED_VALUE"""),"")</f>
        <v/>
      </c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</row>
    <row r="969"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5" t="str">
        <f>IFERROR(__xludf.DUMMYFUNCTION("""COMPUTED_VALUE"""),"")</f>
        <v/>
      </c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</row>
    <row r="970"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5" t="str">
        <f>IFERROR(__xludf.DUMMYFUNCTION("""COMPUTED_VALUE"""),"")</f>
        <v/>
      </c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</row>
    <row r="971"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5" t="str">
        <f>IFERROR(__xludf.DUMMYFUNCTION("""COMPUTED_VALUE"""),"")</f>
        <v/>
      </c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</row>
    <row r="972"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5" t="str">
        <f>IFERROR(__xludf.DUMMYFUNCTION("""COMPUTED_VALUE"""),"")</f>
        <v/>
      </c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</row>
    <row r="973"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5" t="str">
        <f>IFERROR(__xludf.DUMMYFUNCTION("""COMPUTED_VALUE"""),"")</f>
        <v/>
      </c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</row>
    <row r="974"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5" t="str">
        <f>IFERROR(__xludf.DUMMYFUNCTION("""COMPUTED_VALUE"""),"")</f>
        <v/>
      </c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</row>
    <row r="975"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5" t="str">
        <f>IFERROR(__xludf.DUMMYFUNCTION("""COMPUTED_VALUE"""),"")</f>
        <v/>
      </c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</row>
    <row r="976"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5" t="str">
        <f>IFERROR(__xludf.DUMMYFUNCTION("""COMPUTED_VALUE"""),"")</f>
        <v/>
      </c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</row>
    <row r="977"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5" t="str">
        <f>IFERROR(__xludf.DUMMYFUNCTION("""COMPUTED_VALUE"""),"")</f>
        <v/>
      </c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</row>
    <row r="978"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5" t="str">
        <f>IFERROR(__xludf.DUMMYFUNCTION("""COMPUTED_VALUE"""),"")</f>
        <v/>
      </c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</row>
    <row r="979"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5" t="str">
        <f>IFERROR(__xludf.DUMMYFUNCTION("""COMPUTED_VALUE"""),"")</f>
        <v/>
      </c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</row>
    <row r="980"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5" t="str">
        <f>IFERROR(__xludf.DUMMYFUNCTION("""COMPUTED_VALUE"""),"")</f>
        <v/>
      </c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</row>
    <row r="981"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5" t="str">
        <f>IFERROR(__xludf.DUMMYFUNCTION("""COMPUTED_VALUE"""),"")</f>
        <v/>
      </c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</row>
    <row r="982"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5" t="str">
        <f>IFERROR(__xludf.DUMMYFUNCTION("""COMPUTED_VALUE"""),"")</f>
        <v/>
      </c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</row>
    <row r="983"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5" t="str">
        <f>IFERROR(__xludf.DUMMYFUNCTION("""COMPUTED_VALUE"""),"")</f>
        <v/>
      </c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</row>
    <row r="984"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5" t="str">
        <f>IFERROR(__xludf.DUMMYFUNCTION("""COMPUTED_VALUE"""),"")</f>
        <v/>
      </c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</row>
    <row r="985"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5" t="str">
        <f>IFERROR(__xludf.DUMMYFUNCTION("""COMPUTED_VALUE"""),"")</f>
        <v/>
      </c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</row>
    <row r="986"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5" t="str">
        <f>IFERROR(__xludf.DUMMYFUNCTION("""COMPUTED_VALUE"""),"")</f>
        <v/>
      </c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</row>
    <row r="987"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5" t="str">
        <f>IFERROR(__xludf.DUMMYFUNCTION("""COMPUTED_VALUE"""),"")</f>
        <v/>
      </c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</row>
    <row r="988"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5" t="str">
        <f>IFERROR(__xludf.DUMMYFUNCTION("""COMPUTED_VALUE"""),"")</f>
        <v/>
      </c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</row>
    <row r="989"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5" t="str">
        <f>IFERROR(__xludf.DUMMYFUNCTION("""COMPUTED_VALUE"""),"")</f>
        <v/>
      </c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</row>
    <row r="990"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5" t="str">
        <f>IFERROR(__xludf.DUMMYFUNCTION("""COMPUTED_VALUE"""),"")</f>
        <v/>
      </c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</row>
    <row r="991"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5" t="str">
        <f>IFERROR(__xludf.DUMMYFUNCTION("""COMPUTED_VALUE"""),"")</f>
        <v/>
      </c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</row>
    <row r="992"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5" t="str">
        <f>IFERROR(__xludf.DUMMYFUNCTION("""COMPUTED_VALUE"""),"")</f>
        <v/>
      </c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</row>
    <row r="993"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5" t="str">
        <f>IFERROR(__xludf.DUMMYFUNCTION("""COMPUTED_VALUE"""),"")</f>
        <v/>
      </c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</row>
    <row r="994"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5" t="str">
        <f>IFERROR(__xludf.DUMMYFUNCTION("""COMPUTED_VALUE"""),"")</f>
        <v/>
      </c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</row>
    <row r="995"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5" t="str">
        <f>IFERROR(__xludf.DUMMYFUNCTION("""COMPUTED_VALUE"""),"")</f>
        <v/>
      </c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</row>
    <row r="996"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5" t="str">
        <f>IFERROR(__xludf.DUMMYFUNCTION("""COMPUTED_VALUE"""),"")</f>
        <v/>
      </c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</row>
    <row r="997"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5" t="str">
        <f>IFERROR(__xludf.DUMMYFUNCTION("""COMPUTED_VALUE"""),"")</f>
        <v/>
      </c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</row>
    <row r="998"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5" t="str">
        <f>IFERROR(__xludf.DUMMYFUNCTION("""COMPUTED_VALUE"""),"")</f>
        <v/>
      </c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</cols>
  <sheetData>
    <row r="1">
      <c r="B1" s="41" t="str">
        <f>IFERROR(__xludf.DUMMYFUNCTION("IMPORTRANGE(""https://docs.google.com/spreadsheets/d/1DuUTd7fRVpaAXdkRQJDjjy7g3he8KwkmWaF0ctkE1ww/edit?gid=284830706#gid=284830706"",""2026 折舊費用攤提!A1:AJ"")"),"子公司")</f>
        <v>子公司</v>
      </c>
      <c r="C1" s="41" t="str">
        <f>IFERROR(__xludf.DUMMYFUNCTION("""COMPUTED_VALUE"""),"事業單位")</f>
        <v>事業單位</v>
      </c>
      <c r="D1" s="41" t="str">
        <f>IFERROR(__xludf.DUMMYFUNCTION("""COMPUTED_VALUE"""),"Si 編號")</f>
        <v>Si 編號</v>
      </c>
      <c r="E1" s="41" t="str">
        <f>IFERROR(__xludf.DUMMYFUNCTION("""COMPUTED_VALUE"""),"TA 編號")</f>
        <v>TA 編號</v>
      </c>
      <c r="F1" s="41" t="str">
        <f>IFERROR(__xludf.DUMMYFUNCTION("""COMPUTED_VALUE"""),"編號")</f>
        <v>編號</v>
      </c>
      <c r="G1" s="41" t="str">
        <f>IFERROR(__xludf.DUMMYFUNCTION("""COMPUTED_VALUE"""),"項目")</f>
        <v>項目</v>
      </c>
      <c r="H1" s="41" t="str">
        <f>IFERROR(__xludf.DUMMYFUNCTION("""COMPUTED_VALUE"""),"資產明細")</f>
        <v>資產明細</v>
      </c>
      <c r="I1" s="41" t="str">
        <f>IFERROR(__xludf.DUMMYFUNCTION("""COMPUTED_VALUE"""),"費用單位")</f>
        <v>費用單位</v>
      </c>
      <c r="J1" s="41" t="str">
        <f>IFERROR(__xludf.DUMMYFUNCTION("""COMPUTED_VALUE"""),"財編")</f>
        <v>財編</v>
      </c>
      <c r="K1" s="41" t="str">
        <f>IFERROR(__xludf.DUMMYFUNCTION("""COMPUTED_VALUE"""),"資產總表裝置名稱")</f>
        <v>資產總表裝置名稱</v>
      </c>
      <c r="L1" s="41" t="str">
        <f>IFERROR(__xludf.DUMMYFUNCTION("""COMPUTED_VALUE"""),"資產總表保管人")</f>
        <v>資產總表保管人</v>
      </c>
      <c r="M1" s="41" t="str">
        <f>IFERROR(__xludf.DUMMYFUNCTION("""COMPUTED_VALUE"""),"資產總表部門
(部分最新)")</f>
        <v>資產總表部門
(部分最新)</v>
      </c>
      <c r="N1" s="41" t="str">
        <f>IFERROR(__xludf.DUMMYFUNCTION("""COMPUTED_VALUE"""),"資產總表部門
(部分最新)")</f>
        <v>資產總表部門
(部分最新)</v>
      </c>
      <c r="O1" s="41" t="str">
        <f>IFERROR(__xludf.DUMMYFUNCTION("""COMPUTED_VALUE"""),"資產總表部門
(部分最新)")</f>
        <v>資產總表部門
(部分最新)</v>
      </c>
      <c r="P1" s="67">
        <f>IFERROR(__xludf.DUMMYFUNCTION("""COMPUTED_VALUE"""),46023.0)</f>
        <v>46023</v>
      </c>
      <c r="Q1" s="67">
        <f>IFERROR(__xludf.DUMMYFUNCTION("""COMPUTED_VALUE"""),46054.0)</f>
        <v>46054</v>
      </c>
      <c r="R1" s="67">
        <f>IFERROR(__xludf.DUMMYFUNCTION("""COMPUTED_VALUE"""),46082.0)</f>
        <v>46082</v>
      </c>
      <c r="S1" s="67">
        <f>IFERROR(__xludf.DUMMYFUNCTION("""COMPUTED_VALUE"""),46113.0)</f>
        <v>46113</v>
      </c>
      <c r="T1" s="67">
        <f>IFERROR(__xludf.DUMMYFUNCTION("""COMPUTED_VALUE"""),46143.0)</f>
        <v>46143</v>
      </c>
      <c r="U1" s="67">
        <f>IFERROR(__xludf.DUMMYFUNCTION("""COMPUTED_VALUE"""),46174.0)</f>
        <v>46174</v>
      </c>
      <c r="V1" s="67">
        <f>IFERROR(__xludf.DUMMYFUNCTION("""COMPUTED_VALUE"""),46204.0)</f>
        <v>46204</v>
      </c>
      <c r="W1" s="67">
        <f>IFERROR(__xludf.DUMMYFUNCTION("""COMPUTED_VALUE"""),46235.0)</f>
        <v>46235</v>
      </c>
      <c r="X1" s="67">
        <f>IFERROR(__xludf.DUMMYFUNCTION("""COMPUTED_VALUE"""),46266.0)</f>
        <v>46266</v>
      </c>
      <c r="Y1" s="67">
        <f>IFERROR(__xludf.DUMMYFUNCTION("""COMPUTED_VALUE"""),46296.0)</f>
        <v>46296</v>
      </c>
      <c r="Z1" s="67">
        <f>IFERROR(__xludf.DUMMYFUNCTION("""COMPUTED_VALUE"""),46327.0)</f>
        <v>46327</v>
      </c>
      <c r="AA1" s="67">
        <f>IFERROR(__xludf.DUMMYFUNCTION("""COMPUTED_VALUE"""),46357.0)</f>
        <v>46357</v>
      </c>
      <c r="AB1" s="41" t="str">
        <f>IFERROR(__xludf.DUMMYFUNCTION("""COMPUTED_VALUE"""),"2026 合計")</f>
        <v>2026 合計</v>
      </c>
    </row>
    <row r="2">
      <c r="B2" s="41" t="str">
        <f>IFERROR(__xludf.DUMMYFUNCTION("""COMPUTED_VALUE"""),"歸屬子公司，例如:TW、QLR")</f>
        <v>歸屬子公司，例如:TW、QLR</v>
      </c>
      <c r="C2" s="41" t="str">
        <f>IFERROR(__xludf.DUMMYFUNCTION("""COMPUTED_VALUE"""),"不需填寫")</f>
        <v>不需填寫</v>
      </c>
      <c r="D2" s="41" t="str">
        <f>IFERROR(__xludf.DUMMYFUNCTION("""COMPUTED_VALUE"""),"不需填寫")</f>
        <v>不需填寫</v>
      </c>
      <c r="E2" s="41" t="str">
        <f>IFERROR(__xludf.DUMMYFUNCTION("""COMPUTED_VALUE"""),"不需填寫")</f>
        <v>不需填寫</v>
      </c>
      <c r="F2" s="41" t="str">
        <f>IFERROR(__xludf.DUMMYFUNCTION("""COMPUTED_VALUE"""),"依資訊部管理方式設定")</f>
        <v>依資訊部管理方式設定</v>
      </c>
      <c r="G2" s="41" t="str">
        <f>IFERROR(__xludf.DUMMYFUNCTION("""COMPUTED_VALUE"""),"依資訊部管理方式設定")</f>
        <v>依資訊部管理方式設定</v>
      </c>
      <c r="H2" s="41" t="str">
        <f>IFERROR(__xludf.DUMMYFUNCTION("""COMPUTED_VALUE"""),"依資訊部管理方式設定")</f>
        <v>依資訊部管理方式設定</v>
      </c>
      <c r="I2" s="41" t="str">
        <f>IFERROR(__xludf.DUMMYFUNCTION("""COMPUTED_VALUE"""),"需按中心/部門/團隊規格，例如：行銷營運中心:銷售營運部:導入教練團隊")</f>
        <v>需按中心/部門/團隊規格，例如：行銷營運中心:銷售營運部:導入教練團隊</v>
      </c>
      <c r="J2" s="41" t="str">
        <f>IFERROR(__xludf.DUMMYFUNCTION("""COMPUTED_VALUE"""),"依資訊部管理方式設定")</f>
        <v>依資訊部管理方式設定</v>
      </c>
      <c r="K2" s="41" t="str">
        <f>IFERROR(__xludf.DUMMYFUNCTION("""COMPUTED_VALUE"""),"依資訊部管理方式設定")</f>
        <v>依資訊部管理方式設定</v>
      </c>
      <c r="L2" s="41" t="str">
        <f>IFERROR(__xludf.DUMMYFUNCTION("""COMPUTED_VALUE"""),"依資訊部管理方式設定")</f>
        <v>依資訊部管理方式設定</v>
      </c>
      <c r="M2" s="41" t="str">
        <f>IFERROR(__xludf.DUMMYFUNCTION("""COMPUTED_VALUE"""),"依資訊部管理方式設定")</f>
        <v>依資訊部管理方式設定</v>
      </c>
      <c r="N2" s="41" t="str">
        <f>IFERROR(__xludf.DUMMYFUNCTION("""COMPUTED_VALUE"""),"依資訊部管理方式設定")</f>
        <v>依資訊部管理方式設定</v>
      </c>
      <c r="O2" s="41" t="str">
        <f>IFERROR(__xludf.DUMMYFUNCTION("""COMPUTED_VALUE"""),"依資訊部管理方式設定")</f>
        <v>依資訊部管理方式設定</v>
      </c>
      <c r="P2" s="41" t="str">
        <f>IFERROR(__xludf.DUMMYFUNCTION("""COMPUTED_VALUE"""),"依財務部匯出資料填寫，例如：300")</f>
        <v>依財務部匯出資料填寫，例如：300</v>
      </c>
      <c r="Q2" s="41" t="str">
        <f>IFERROR(__xludf.DUMMYFUNCTION("""COMPUTED_VALUE"""),"依財務部匯出資料填寫，例如：300")</f>
        <v>依財務部匯出資料填寫，例如：300</v>
      </c>
      <c r="R2" s="41" t="str">
        <f>IFERROR(__xludf.DUMMYFUNCTION("""COMPUTED_VALUE"""),"依財務部匯出資料填寫，例如：300")</f>
        <v>依財務部匯出資料填寫，例如：300</v>
      </c>
      <c r="S2" s="41" t="str">
        <f>IFERROR(__xludf.DUMMYFUNCTION("""COMPUTED_VALUE"""),"依財務部匯出資料填寫，例如：300")</f>
        <v>依財務部匯出資料填寫，例如：300</v>
      </c>
      <c r="T2" s="41" t="str">
        <f>IFERROR(__xludf.DUMMYFUNCTION("""COMPUTED_VALUE"""),"依財務部匯出資料填寫，例如：300")</f>
        <v>依財務部匯出資料填寫，例如：300</v>
      </c>
      <c r="U2" s="41" t="str">
        <f>IFERROR(__xludf.DUMMYFUNCTION("""COMPUTED_VALUE"""),"依財務部匯出資料填寫，例如：300")</f>
        <v>依財務部匯出資料填寫，例如：300</v>
      </c>
      <c r="V2" s="41" t="str">
        <f>IFERROR(__xludf.DUMMYFUNCTION("""COMPUTED_VALUE"""),"依財務部匯出資料填寫，例如：300")</f>
        <v>依財務部匯出資料填寫，例如：300</v>
      </c>
      <c r="W2" s="41" t="str">
        <f>IFERROR(__xludf.DUMMYFUNCTION("""COMPUTED_VALUE"""),"依財務部匯出資料填寫，例如：300")</f>
        <v>依財務部匯出資料填寫，例如：300</v>
      </c>
      <c r="X2" s="41" t="str">
        <f>IFERROR(__xludf.DUMMYFUNCTION("""COMPUTED_VALUE"""),"依財務部匯出資料填寫，例如：300")</f>
        <v>依財務部匯出資料填寫，例如：300</v>
      </c>
      <c r="Y2" s="41" t="str">
        <f>IFERROR(__xludf.DUMMYFUNCTION("""COMPUTED_VALUE"""),"依財務部匯出資料填寫，例如：300")</f>
        <v>依財務部匯出資料填寫，例如：300</v>
      </c>
      <c r="Z2" s="41" t="str">
        <f>IFERROR(__xludf.DUMMYFUNCTION("""COMPUTED_VALUE"""),"依財務部匯出資料填寫，例如：300")</f>
        <v>依財務部匯出資料填寫，例如：300</v>
      </c>
      <c r="AA2" s="41" t="str">
        <f>IFERROR(__xludf.DUMMYFUNCTION("""COMPUTED_VALUE"""),"依財務部匯出資料填寫，例如：300")</f>
        <v>依財務部匯出資料填寫，例如：300</v>
      </c>
      <c r="AB2" s="41" t="str">
        <f>IFERROR(__xludf.DUMMYFUNCTION("""COMPUTED_VALUE"""),"依財務部匯出資料填寫，例如：300")</f>
        <v>依財務部匯出資料填寫，例如：300</v>
      </c>
    </row>
    <row r="3">
      <c r="B3" s="41"/>
      <c r="C3" s="41"/>
      <c r="D3" s="41"/>
      <c r="E3" s="41"/>
      <c r="F3" s="41"/>
      <c r="G3" s="41"/>
      <c r="H3" s="41"/>
      <c r="I3" s="41"/>
      <c r="J3" s="41" t="str">
        <f>IFERROR(__xludf.DUMMYFUNCTION("""COMPUTED_VALUE"""),"AICHIP02302087")</f>
        <v>AICHIP02302087</v>
      </c>
      <c r="K3" s="41" t="str">
        <f>IFERROR(__xludf.DUMMYFUNCTION("""COMPUTED_VALUE"""),"iPad Pro")</f>
        <v>iPad Pro</v>
      </c>
      <c r="L3" s="41" t="str">
        <f>IFERROR(__xludf.DUMMYFUNCTION("""COMPUTED_VALUE"""),"陳又嘉")</f>
        <v>陳又嘉</v>
      </c>
      <c r="M3" s="41" t="str">
        <f>IFERROR(__xludf.DUMMYFUNCTION("""COMPUTED_VALUE"""),"研發中心")</f>
        <v>研發中心</v>
      </c>
      <c r="N3" s="41" t="str">
        <f>IFERROR(__xludf.DUMMYFUNCTION("""COMPUTED_VALUE"""),"軟體工程部")</f>
        <v>軟體工程部</v>
      </c>
      <c r="O3" s="41" t="str">
        <f>IFERROR(__xludf.DUMMYFUNCTION("""COMPUTED_VALUE"""),"QE團隊")</f>
        <v>QE團隊</v>
      </c>
      <c r="P3" s="68">
        <f>IFERROR(__xludf.DUMMYFUNCTION("""COMPUTED_VALUE"""),931.0)</f>
        <v>931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68">
        <f>IFERROR(__xludf.DUMMYFUNCTION("""COMPUTED_VALUE"""),931.0)</f>
        <v>931</v>
      </c>
    </row>
    <row r="4">
      <c r="B4" s="41"/>
      <c r="C4" s="41"/>
      <c r="D4" s="41"/>
      <c r="E4" s="41"/>
      <c r="F4" s="41"/>
      <c r="G4" s="41"/>
      <c r="H4" s="41"/>
      <c r="I4" s="41"/>
      <c r="J4" s="41" t="str">
        <f>IFERROR(__xludf.DUMMYFUNCTION("""COMPUTED_VALUE"""),"AICHIP02302088")</f>
        <v>AICHIP02302088</v>
      </c>
      <c r="K4" s="41" t="str">
        <f>IFERROR(__xludf.DUMMYFUNCTION("""COMPUTED_VALUE"""),"iPad")</f>
        <v>iPad</v>
      </c>
      <c r="L4" s="41" t="str">
        <f>IFERROR(__xludf.DUMMYFUNCTION("""COMPUTED_VALUE"""),"郭哲宇")</f>
        <v>郭哲宇</v>
      </c>
      <c r="M4" s="41" t="str">
        <f>IFERROR(__xludf.DUMMYFUNCTION("""COMPUTED_VALUE"""),"研發中心")</f>
        <v>研發中心</v>
      </c>
      <c r="N4" s="41" t="str">
        <f>IFERROR(__xludf.DUMMYFUNCTION("""COMPUTED_VALUE"""),"軟體工程部")</f>
        <v>軟體工程部</v>
      </c>
      <c r="O4" s="41" t="str">
        <f>IFERROR(__xludf.DUMMYFUNCTION("""COMPUTED_VALUE"""),"QE團隊")</f>
        <v>QE團隊</v>
      </c>
      <c r="P4" s="68">
        <f>IFERROR(__xludf.DUMMYFUNCTION("""COMPUTED_VALUE"""),366.0)</f>
        <v>366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68">
        <f>IFERROR(__xludf.DUMMYFUNCTION("""COMPUTED_VALUE"""),366.0)</f>
        <v>366</v>
      </c>
    </row>
    <row r="5">
      <c r="B5" s="41"/>
      <c r="C5" s="41"/>
      <c r="D5" s="41"/>
      <c r="E5" s="41"/>
      <c r="F5" s="41"/>
      <c r="G5" s="41"/>
      <c r="H5" s="41"/>
      <c r="I5" s="41"/>
      <c r="J5" s="41" t="str">
        <f>IFERROR(__xludf.DUMMYFUNCTION("""COMPUTED_VALUE"""),"AICHMA02302052")</f>
        <v>AICHMA02302052</v>
      </c>
      <c r="K5" s="41" t="str">
        <f>IFERROR(__xludf.DUMMYFUNCTION("""COMPUTED_VALUE"""),"Macbook Air")</f>
        <v>Macbook Air</v>
      </c>
      <c r="L5" s="41" t="str">
        <f>IFERROR(__xludf.DUMMYFUNCTION("""COMPUTED_VALUE"""),"楊靖國")</f>
        <v>楊靖國</v>
      </c>
      <c r="M5" s="41" t="str">
        <f>IFERROR(__xludf.DUMMYFUNCTION("""COMPUTED_VALUE"""),"研發中心")</f>
        <v>研發中心</v>
      </c>
      <c r="N5" s="41" t="str">
        <f>IFERROR(__xludf.DUMMYFUNCTION("""COMPUTED_VALUE"""),"軟體工程部")</f>
        <v>軟體工程部</v>
      </c>
      <c r="O5" s="41" t="str">
        <f>IFERROR(__xludf.DUMMYFUNCTION("""COMPUTED_VALUE"""),"後端團隊")</f>
        <v>後端團隊</v>
      </c>
      <c r="P5" s="68">
        <f>IFERROR(__xludf.DUMMYFUNCTION("""COMPUTED_VALUE"""),1872.0)</f>
        <v>1872</v>
      </c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68">
        <f>IFERROR(__xludf.DUMMYFUNCTION("""COMPUTED_VALUE"""),1872.0)</f>
        <v>1872</v>
      </c>
    </row>
    <row r="6">
      <c r="B6" s="41"/>
      <c r="C6" s="41"/>
      <c r="D6" s="41"/>
      <c r="E6" s="41"/>
      <c r="F6" s="41"/>
      <c r="G6" s="41"/>
      <c r="H6" s="41"/>
      <c r="I6" s="41"/>
      <c r="J6" s="41" t="str">
        <f>IFERROR(__xludf.DUMMYFUNCTION("""COMPUTED_VALUE"""),"AICHIP02303091")</f>
        <v>AICHIP02303091</v>
      </c>
      <c r="K6" s="41" t="str">
        <f>IFERROR(__xludf.DUMMYFUNCTION("""COMPUTED_VALUE"""),"iPad 9")</f>
        <v>iPad 9</v>
      </c>
      <c r="L6" s="41" t="str">
        <f>IFERROR(__xludf.DUMMYFUNCTION("""COMPUTED_VALUE"""),"詹承峰")</f>
        <v>詹承峰</v>
      </c>
      <c r="M6" s="41" t="str">
        <f>IFERROR(__xludf.DUMMYFUNCTION("""COMPUTED_VALUE"""),"行銷營運中心")</f>
        <v>行銷營運中心</v>
      </c>
      <c r="N6" s="41" t="str">
        <f>IFERROR(__xludf.DUMMYFUNCTION("""COMPUTED_VALUE"""),"銷售營運部")</f>
        <v>銷售營運部</v>
      </c>
      <c r="O6" s="41" t="str">
        <f>IFERROR(__xludf.DUMMYFUNCTION("""COMPUTED_VALUE"""),"銷售顧問團隊")</f>
        <v>銷售顧問團隊</v>
      </c>
      <c r="P6" s="68">
        <f>IFERROR(__xludf.DUMMYFUNCTION("""COMPUTED_VALUE"""),262.0)</f>
        <v>262</v>
      </c>
      <c r="Q6" s="68">
        <f>IFERROR(__xludf.DUMMYFUNCTION("""COMPUTED_VALUE"""),262.0)</f>
        <v>262</v>
      </c>
      <c r="R6" s="41"/>
      <c r="S6" s="41"/>
      <c r="T6" s="41"/>
      <c r="U6" s="41"/>
      <c r="V6" s="41"/>
      <c r="W6" s="41"/>
      <c r="X6" s="41"/>
      <c r="Y6" s="41"/>
      <c r="Z6" s="41"/>
      <c r="AA6" s="41"/>
      <c r="AB6" s="68">
        <f>IFERROR(__xludf.DUMMYFUNCTION("""COMPUTED_VALUE"""),524.0)</f>
        <v>524</v>
      </c>
    </row>
    <row r="7">
      <c r="B7" s="41"/>
      <c r="C7" s="41"/>
      <c r="D7" s="41"/>
      <c r="E7" s="41"/>
      <c r="F7" s="41"/>
      <c r="G7" s="41"/>
      <c r="H7" s="41"/>
      <c r="I7" s="41"/>
      <c r="J7" s="41" t="str">
        <f>IFERROR(__xludf.DUMMYFUNCTION("""COMPUTED_VALUE"""),"AICHMP02304058")</f>
        <v>AICHMP02304058</v>
      </c>
      <c r="K7" s="41" t="str">
        <f>IFERROR(__xludf.DUMMYFUNCTION("""COMPUTED_VALUE"""),"Macbook Pro")</f>
        <v>Macbook Pro</v>
      </c>
      <c r="L7" s="41" t="str">
        <f>IFERROR(__xludf.DUMMYFUNCTION("""COMPUTED_VALUE"""),"蕭佑霖")</f>
        <v>蕭佑霖</v>
      </c>
      <c r="M7" s="41" t="str">
        <f>IFERROR(__xludf.DUMMYFUNCTION("""COMPUTED_VALUE"""),"研發中心")</f>
        <v>研發中心</v>
      </c>
      <c r="N7" s="41" t="str">
        <f>IFERROR(__xludf.DUMMYFUNCTION("""COMPUTED_VALUE"""),"軟體工程部")</f>
        <v>軟體工程部</v>
      </c>
      <c r="O7" s="41" t="str">
        <f>IFERROR(__xludf.DUMMYFUNCTION("""COMPUTED_VALUE"""),"前端團隊")</f>
        <v>前端團隊</v>
      </c>
      <c r="P7" s="68">
        <f>IFERROR(__xludf.DUMMYFUNCTION("""COMPUTED_VALUE"""),2092.0)</f>
        <v>2092</v>
      </c>
      <c r="Q7" s="68">
        <f>IFERROR(__xludf.DUMMYFUNCTION("""COMPUTED_VALUE"""),2092.0)</f>
        <v>2092</v>
      </c>
      <c r="R7" s="68">
        <f>IFERROR(__xludf.DUMMYFUNCTION("""COMPUTED_VALUE"""),2092.0)</f>
        <v>2092</v>
      </c>
      <c r="S7" s="41"/>
      <c r="T7" s="41"/>
      <c r="U7" s="41"/>
      <c r="V7" s="41"/>
      <c r="W7" s="41"/>
      <c r="X7" s="41"/>
      <c r="Y7" s="41"/>
      <c r="Z7" s="41"/>
      <c r="AA7" s="41"/>
      <c r="AB7" s="68">
        <f>IFERROR(__xludf.DUMMYFUNCTION("""COMPUTED_VALUE"""),6276.0)</f>
        <v>6276</v>
      </c>
    </row>
    <row r="8">
      <c r="B8" s="41"/>
      <c r="C8" s="41"/>
      <c r="D8" s="41"/>
      <c r="E8" s="41"/>
      <c r="F8" s="41"/>
      <c r="G8" s="41"/>
      <c r="H8" s="41"/>
      <c r="I8" s="41"/>
      <c r="J8" s="41" t="str">
        <f>IFERROR(__xludf.DUMMYFUNCTION("""COMPUTED_VALUE"""),"AICHNB02304001")</f>
        <v>AICHNB02304001</v>
      </c>
      <c r="K8" s="41" t="str">
        <f>IFERROR(__xludf.DUMMYFUNCTION("""COMPUTED_VALUE"""),"Windows 筆電")</f>
        <v>Windows 筆電</v>
      </c>
      <c r="L8" s="41" t="str">
        <f>IFERROR(__xludf.DUMMYFUNCTION("""COMPUTED_VALUE"""),"陳紫芸")</f>
        <v>陳紫芸</v>
      </c>
      <c r="M8" s="41" t="str">
        <f>IFERROR(__xludf.DUMMYFUNCTION("""COMPUTED_VALUE"""),"財務中心")</f>
        <v>財務中心</v>
      </c>
      <c r="N8" s="41" t="str">
        <f>IFERROR(__xludf.DUMMYFUNCTION("""COMPUTED_VALUE"""),"財務部")</f>
        <v>財務部</v>
      </c>
      <c r="O8" s="41"/>
      <c r="P8" s="68">
        <f>IFERROR(__xludf.DUMMYFUNCTION("""COMPUTED_VALUE"""),976.0)</f>
        <v>976</v>
      </c>
      <c r="Q8" s="68">
        <f>IFERROR(__xludf.DUMMYFUNCTION("""COMPUTED_VALUE"""),976.0)</f>
        <v>976</v>
      </c>
      <c r="R8" s="68">
        <f>IFERROR(__xludf.DUMMYFUNCTION("""COMPUTED_VALUE"""),976.0)</f>
        <v>976</v>
      </c>
      <c r="S8" s="41"/>
      <c r="T8" s="41"/>
      <c r="U8" s="41"/>
      <c r="V8" s="41"/>
      <c r="W8" s="41"/>
      <c r="X8" s="41"/>
      <c r="Y8" s="41"/>
      <c r="Z8" s="41"/>
      <c r="AA8" s="41"/>
      <c r="AB8" s="68">
        <f>IFERROR(__xludf.DUMMYFUNCTION("""COMPUTED_VALUE"""),2928.0)</f>
        <v>2928</v>
      </c>
    </row>
    <row r="9">
      <c r="B9" s="41"/>
      <c r="C9" s="41"/>
      <c r="D9" s="41"/>
      <c r="E9" s="41"/>
      <c r="F9" s="41"/>
      <c r="G9" s="41"/>
      <c r="H9" s="41"/>
      <c r="I9" s="41"/>
      <c r="J9" s="41" t="str">
        <f>IFERROR(__xludf.DUMMYFUNCTION("""COMPUTED_VALUE"""),"AICHMP02304060")</f>
        <v>AICHMP02304060</v>
      </c>
      <c r="K9" s="41" t="str">
        <f>IFERROR(__xludf.DUMMYFUNCTION("""COMPUTED_VALUE"""),"Macbook Pro")</f>
        <v>Macbook Pro</v>
      </c>
      <c r="L9" s="41" t="str">
        <f>IFERROR(__xludf.DUMMYFUNCTION("""COMPUTED_VALUE"""),"陳彥豪")</f>
        <v>陳彥豪</v>
      </c>
      <c r="M9" s="41" t="str">
        <f>IFERROR(__xludf.DUMMYFUNCTION("""COMPUTED_VALUE"""),"研發中心")</f>
        <v>研發中心</v>
      </c>
      <c r="N9" s="41" t="str">
        <f>IFERROR(__xludf.DUMMYFUNCTION("""COMPUTED_VALUE"""),"產品設計部")</f>
        <v>產品設計部</v>
      </c>
      <c r="O9" s="41" t="str">
        <f>IFERROR(__xludf.DUMMYFUNCTION("""COMPUTED_VALUE"""),"產品設計師團隊")</f>
        <v>產品設計師團隊</v>
      </c>
      <c r="P9" s="68">
        <f>IFERROR(__xludf.DUMMYFUNCTION("""COMPUTED_VALUE"""),2092.0)</f>
        <v>2092</v>
      </c>
      <c r="Q9" s="68">
        <f>IFERROR(__xludf.DUMMYFUNCTION("""COMPUTED_VALUE"""),2092.0)</f>
        <v>2092</v>
      </c>
      <c r="R9" s="68">
        <f>IFERROR(__xludf.DUMMYFUNCTION("""COMPUTED_VALUE"""),2092.0)</f>
        <v>2092</v>
      </c>
      <c r="S9" s="41"/>
      <c r="T9" s="41"/>
      <c r="U9" s="41"/>
      <c r="V9" s="41"/>
      <c r="W9" s="41"/>
      <c r="X9" s="41"/>
      <c r="Y9" s="41"/>
      <c r="Z9" s="41"/>
      <c r="AA9" s="41"/>
      <c r="AB9" s="68">
        <f>IFERROR(__xludf.DUMMYFUNCTION("""COMPUTED_VALUE"""),6276.0)</f>
        <v>6276</v>
      </c>
    </row>
    <row r="10">
      <c r="B10" s="41"/>
      <c r="C10" s="41"/>
      <c r="D10" s="41"/>
      <c r="E10" s="41"/>
      <c r="F10" s="41"/>
      <c r="G10" s="41"/>
      <c r="H10" s="41"/>
      <c r="I10" s="41"/>
      <c r="J10" s="41" t="str">
        <f>IFERROR(__xludf.DUMMYFUNCTION("""COMPUTED_VALUE"""),"AICHMP02304061")</f>
        <v>AICHMP02304061</v>
      </c>
      <c r="K10" s="41" t="str">
        <f>IFERROR(__xludf.DUMMYFUNCTION("""COMPUTED_VALUE"""),"Macbook Pro")</f>
        <v>Macbook Pro</v>
      </c>
      <c r="L10" s="41" t="str">
        <f>IFERROR(__xludf.DUMMYFUNCTION("""COMPUTED_VALUE"""),"黃康庭")</f>
        <v>黃康庭</v>
      </c>
      <c r="M10" s="41" t="str">
        <f>IFERROR(__xludf.DUMMYFUNCTION("""COMPUTED_VALUE"""),"研發中心")</f>
        <v>研發中心</v>
      </c>
      <c r="N10" s="41" t="str">
        <f>IFERROR(__xludf.DUMMYFUNCTION("""COMPUTED_VALUE"""),"軟體工程部")</f>
        <v>軟體工程部</v>
      </c>
      <c r="O10" s="41" t="str">
        <f>IFERROR(__xludf.DUMMYFUNCTION("""COMPUTED_VALUE"""),"後端團隊")</f>
        <v>後端團隊</v>
      </c>
      <c r="P10" s="68">
        <f>IFERROR(__xludf.DUMMYFUNCTION("""COMPUTED_VALUE"""),2092.0)</f>
        <v>2092</v>
      </c>
      <c r="Q10" s="68">
        <f>IFERROR(__xludf.DUMMYFUNCTION("""COMPUTED_VALUE"""),2092.0)</f>
        <v>2092</v>
      </c>
      <c r="R10" s="68">
        <f>IFERROR(__xludf.DUMMYFUNCTION("""COMPUTED_VALUE"""),2092.0)</f>
        <v>2092</v>
      </c>
      <c r="S10" s="41"/>
      <c r="T10" s="41"/>
      <c r="U10" s="41"/>
      <c r="V10" s="41"/>
      <c r="W10" s="41"/>
      <c r="X10" s="41"/>
      <c r="Y10" s="41"/>
      <c r="Z10" s="41"/>
      <c r="AA10" s="41"/>
      <c r="AB10" s="68">
        <f>IFERROR(__xludf.DUMMYFUNCTION("""COMPUTED_VALUE"""),6276.0)</f>
        <v>6276</v>
      </c>
    </row>
    <row r="11">
      <c r="B11" s="41"/>
      <c r="C11" s="41"/>
      <c r="D11" s="41"/>
      <c r="E11" s="41"/>
      <c r="F11" s="41"/>
      <c r="G11" s="41"/>
      <c r="H11" s="41"/>
      <c r="I11" s="41"/>
      <c r="J11" s="41" t="str">
        <f>IFERROR(__xludf.DUMMYFUNCTION("""COMPUTED_VALUE"""),"AICHMP02305062")</f>
        <v>AICHMP02305062</v>
      </c>
      <c r="K11" s="41" t="str">
        <f>IFERROR(__xludf.DUMMYFUNCTION("""COMPUTED_VALUE"""),"Macbook Pro")</f>
        <v>Macbook Pro</v>
      </c>
      <c r="L11" s="41" t="str">
        <f>IFERROR(__xludf.DUMMYFUNCTION("""COMPUTED_VALUE"""),"吳德毅")</f>
        <v>吳德毅</v>
      </c>
      <c r="M11" s="41" t="str">
        <f>IFERROR(__xludf.DUMMYFUNCTION("""COMPUTED_VALUE"""),"研發中心")</f>
        <v>研發中心</v>
      </c>
      <c r="N11" s="41" t="str">
        <f>IFERROR(__xludf.DUMMYFUNCTION("""COMPUTED_VALUE"""),"軟體工程部")</f>
        <v>軟體工程部</v>
      </c>
      <c r="O11" s="41" t="str">
        <f>IFERROR(__xludf.DUMMYFUNCTION("""COMPUTED_VALUE"""),"QE團隊")</f>
        <v>QE團隊</v>
      </c>
      <c r="P11" s="68">
        <f>IFERROR(__xludf.DUMMYFUNCTION("""COMPUTED_VALUE"""),2239.0)</f>
        <v>2239</v>
      </c>
      <c r="Q11" s="68">
        <f>IFERROR(__xludf.DUMMYFUNCTION("""COMPUTED_VALUE"""),2239.0)</f>
        <v>2239</v>
      </c>
      <c r="R11" s="68">
        <f>IFERROR(__xludf.DUMMYFUNCTION("""COMPUTED_VALUE"""),2239.0)</f>
        <v>2239</v>
      </c>
      <c r="S11" s="68">
        <f>IFERROR(__xludf.DUMMYFUNCTION("""COMPUTED_VALUE"""),2239.0)</f>
        <v>2239</v>
      </c>
      <c r="T11" s="41"/>
      <c r="U11" s="41"/>
      <c r="V11" s="41"/>
      <c r="W11" s="41"/>
      <c r="X11" s="41"/>
      <c r="Y11" s="41"/>
      <c r="Z11" s="41"/>
      <c r="AA11" s="41"/>
      <c r="AB11" s="68">
        <f>IFERROR(__xludf.DUMMYFUNCTION("""COMPUTED_VALUE"""),8956.0)</f>
        <v>8956</v>
      </c>
    </row>
    <row r="12">
      <c r="B12" s="41"/>
      <c r="C12" s="41"/>
      <c r="D12" s="41"/>
      <c r="E12" s="41"/>
      <c r="F12" s="41"/>
      <c r="G12" s="41"/>
      <c r="H12" s="41"/>
      <c r="I12" s="41"/>
      <c r="J12" s="41" t="str">
        <f>IFERROR(__xludf.DUMMYFUNCTION("""COMPUTED_VALUE"""),"AICHMP02304059")</f>
        <v>AICHMP02304059</v>
      </c>
      <c r="K12" s="41" t="str">
        <f>IFERROR(__xludf.DUMMYFUNCTION("""COMPUTED_VALUE"""),"Macbook Pro")</f>
        <v>Macbook Pro</v>
      </c>
      <c r="L12" s="41" t="str">
        <f>IFERROR(__xludf.DUMMYFUNCTION("""COMPUTED_VALUE"""),"莊承霖")</f>
        <v>莊承霖</v>
      </c>
      <c r="M12" s="41" t="str">
        <f>IFERROR(__xludf.DUMMYFUNCTION("""COMPUTED_VALUE"""),"研發中心")</f>
        <v>研發中心</v>
      </c>
      <c r="N12" s="41" t="str">
        <f>IFERROR(__xludf.DUMMYFUNCTION("""COMPUTED_VALUE"""),"軟體工程部")</f>
        <v>軟體工程部</v>
      </c>
      <c r="O12" s="41" t="str">
        <f>IFERROR(__xludf.DUMMYFUNCTION("""COMPUTED_VALUE"""),"IOS團隊")</f>
        <v>IOS團隊</v>
      </c>
      <c r="P12" s="68">
        <f>IFERROR(__xludf.DUMMYFUNCTION("""COMPUTED_VALUE"""),1919.0)</f>
        <v>1919</v>
      </c>
      <c r="Q12" s="68">
        <f>IFERROR(__xludf.DUMMYFUNCTION("""COMPUTED_VALUE"""),1919.0)</f>
        <v>1919</v>
      </c>
      <c r="R12" s="68">
        <f>IFERROR(__xludf.DUMMYFUNCTION("""COMPUTED_VALUE"""),1919.0)</f>
        <v>1919</v>
      </c>
      <c r="S12" s="68">
        <f>IFERROR(__xludf.DUMMYFUNCTION("""COMPUTED_VALUE"""),1919.0)</f>
        <v>1919</v>
      </c>
      <c r="T12" s="68">
        <f>IFERROR(__xludf.DUMMYFUNCTION("""COMPUTED_VALUE"""),1919.0)</f>
        <v>1919</v>
      </c>
      <c r="U12" s="68">
        <f>IFERROR(__xludf.DUMMYFUNCTION("""COMPUTED_VALUE"""),1919.0)</f>
        <v>1919</v>
      </c>
      <c r="V12" s="68">
        <f>IFERROR(__xludf.DUMMYFUNCTION("""COMPUTED_VALUE"""),1919.0)</f>
        <v>1919</v>
      </c>
      <c r="W12" s="68">
        <f>IFERROR(__xludf.DUMMYFUNCTION("""COMPUTED_VALUE"""),1919.0)</f>
        <v>1919</v>
      </c>
      <c r="X12" s="68">
        <f>IFERROR(__xludf.DUMMYFUNCTION("""COMPUTED_VALUE"""),1919.0)</f>
        <v>1919</v>
      </c>
      <c r="Y12" s="41"/>
      <c r="Z12" s="41"/>
      <c r="AA12" s="41"/>
      <c r="AB12" s="68">
        <f>IFERROR(__xludf.DUMMYFUNCTION("""COMPUTED_VALUE"""),17271.0)</f>
        <v>17271</v>
      </c>
    </row>
    <row r="13">
      <c r="B13" s="41"/>
      <c r="C13" s="41"/>
      <c r="D13" s="41"/>
      <c r="E13" s="41"/>
      <c r="F13" s="41"/>
      <c r="G13" s="41"/>
      <c r="H13" s="41"/>
      <c r="I13" s="41"/>
      <c r="J13" s="41" t="str">
        <f>IFERROR(__xludf.DUMMYFUNCTION("""COMPUTED_VALUE"""),"AICHMA02304054")</f>
        <v>AICHMA02304054</v>
      </c>
      <c r="K13" s="41" t="str">
        <f>IFERROR(__xludf.DUMMYFUNCTION("""COMPUTED_VALUE"""),"Macbook Air")</f>
        <v>Macbook Air</v>
      </c>
      <c r="L13" s="41" t="str">
        <f>IFERROR(__xludf.DUMMYFUNCTION("""COMPUTED_VALUE"""),"高克瑋")</f>
        <v>高克瑋</v>
      </c>
      <c r="M13" s="41" t="str">
        <f>IFERROR(__xludf.DUMMYFUNCTION("""COMPUTED_VALUE"""),"行銷營運中心")</f>
        <v>行銷營運中心</v>
      </c>
      <c r="N13" s="41" t="str">
        <f>IFERROR(__xludf.DUMMYFUNCTION("""COMPUTED_VALUE"""),"銷售營運部")</f>
        <v>銷售營運部</v>
      </c>
      <c r="O13" s="41"/>
      <c r="P13" s="68">
        <f>IFERROR(__xludf.DUMMYFUNCTION("""COMPUTED_VALUE"""),924.0)</f>
        <v>924</v>
      </c>
      <c r="Q13" s="68">
        <f>IFERROR(__xludf.DUMMYFUNCTION("""COMPUTED_VALUE"""),924.0)</f>
        <v>924</v>
      </c>
      <c r="R13" s="68">
        <f>IFERROR(__xludf.DUMMYFUNCTION("""COMPUTED_VALUE"""),924.0)</f>
        <v>924</v>
      </c>
      <c r="S13" s="41"/>
      <c r="T13" s="41"/>
      <c r="U13" s="41"/>
      <c r="V13" s="41"/>
      <c r="W13" s="41"/>
      <c r="X13" s="41"/>
      <c r="Y13" s="41"/>
      <c r="Z13" s="41"/>
      <c r="AA13" s="41"/>
      <c r="AB13" s="68">
        <f>IFERROR(__xludf.DUMMYFUNCTION("""COMPUTED_VALUE"""),2772.0)</f>
        <v>2772</v>
      </c>
    </row>
    <row r="14">
      <c r="B14" s="41"/>
      <c r="C14" s="41"/>
      <c r="D14" s="41"/>
      <c r="E14" s="41"/>
      <c r="F14" s="41"/>
      <c r="G14" s="41"/>
      <c r="H14" s="41"/>
      <c r="I14" s="41"/>
      <c r="J14" s="41" t="str">
        <f>IFERROR(__xludf.DUMMYFUNCTION("""COMPUTED_VALUE"""),"AICHNE02306001")</f>
        <v>AICHNE02306001</v>
      </c>
      <c r="K14" s="41" t="str">
        <f>IFERROR(__xludf.DUMMYFUNCTION("""COMPUTED_VALUE"""),"HDD硬碟")</f>
        <v>HDD硬碟</v>
      </c>
      <c r="L14" s="41" t="str">
        <f>IFERROR(__xludf.DUMMYFUNCTION("""COMPUTED_VALUE"""),"萬盈君")</f>
        <v>萬盈君</v>
      </c>
      <c r="M14" s="41" t="str">
        <f>IFERROR(__xludf.DUMMYFUNCTION("""COMPUTED_VALUE"""),"行銷營運中心")</f>
        <v>行銷營運中心</v>
      </c>
      <c r="N14" s="41" t="str">
        <f>IFERROR(__xludf.DUMMYFUNCTION("""COMPUTED_VALUE"""),"產品行銷部")</f>
        <v>產品行銷部</v>
      </c>
      <c r="O14" s="41" t="str">
        <f>IFERROR(__xludf.DUMMYFUNCTION("""COMPUTED_VALUE"""),"設計管理團隊")</f>
        <v>設計管理團隊</v>
      </c>
      <c r="P14" s="68">
        <f>IFERROR(__xludf.DUMMYFUNCTION("""COMPUTED_VALUE"""),103.0)</f>
        <v>103</v>
      </c>
      <c r="Q14" s="68">
        <f>IFERROR(__xludf.DUMMYFUNCTION("""COMPUTED_VALUE"""),103.0)</f>
        <v>103</v>
      </c>
      <c r="R14" s="68">
        <f>IFERROR(__xludf.DUMMYFUNCTION("""COMPUTED_VALUE"""),103.0)</f>
        <v>103</v>
      </c>
      <c r="S14" s="68">
        <f>IFERROR(__xludf.DUMMYFUNCTION("""COMPUTED_VALUE"""),103.0)</f>
        <v>103</v>
      </c>
      <c r="T14" s="68">
        <f>IFERROR(__xludf.DUMMYFUNCTION("""COMPUTED_VALUE"""),103.0)</f>
        <v>103</v>
      </c>
      <c r="U14" s="41"/>
      <c r="V14" s="41"/>
      <c r="W14" s="41"/>
      <c r="X14" s="41"/>
      <c r="Y14" s="41"/>
      <c r="Z14" s="41"/>
      <c r="AA14" s="41"/>
      <c r="AB14" s="68">
        <f>IFERROR(__xludf.DUMMYFUNCTION("""COMPUTED_VALUE"""),515.0)</f>
        <v>515</v>
      </c>
    </row>
    <row r="15">
      <c r="B15" s="41"/>
      <c r="C15" s="41"/>
      <c r="D15" s="41"/>
      <c r="E15" s="41"/>
      <c r="F15" s="41"/>
      <c r="G15" s="41"/>
      <c r="H15" s="41"/>
      <c r="I15" s="41"/>
      <c r="J15" s="41" t="str">
        <f>IFERROR(__xludf.DUMMYFUNCTION("""COMPUTED_VALUE"""),"AICHNB02306002")</f>
        <v>AICHNB02306002</v>
      </c>
      <c r="K15" s="41" t="str">
        <f>IFERROR(__xludf.DUMMYFUNCTION("""COMPUTED_VALUE"""),"Windows 筆電")</f>
        <v>Windows 筆電</v>
      </c>
      <c r="L15" s="41" t="str">
        <f>IFERROR(__xludf.DUMMYFUNCTION("""COMPUTED_VALUE"""),"曹昀暐")</f>
        <v>曹昀暐</v>
      </c>
      <c r="M15" s="41" t="str">
        <f>IFERROR(__xludf.DUMMYFUNCTION("""COMPUTED_VALUE"""),"財務中心")</f>
        <v>財務中心</v>
      </c>
      <c r="N15" s="41" t="str">
        <f>IFERROR(__xludf.DUMMYFUNCTION("""COMPUTED_VALUE"""),"會計部")</f>
        <v>會計部</v>
      </c>
      <c r="O15" s="41"/>
      <c r="P15" s="68">
        <f>IFERROR(__xludf.DUMMYFUNCTION("""COMPUTED_VALUE"""),923.0)</f>
        <v>923</v>
      </c>
      <c r="Q15" s="68">
        <f>IFERROR(__xludf.DUMMYFUNCTION("""COMPUTED_VALUE"""),923.0)</f>
        <v>923</v>
      </c>
      <c r="R15" s="68">
        <f>IFERROR(__xludf.DUMMYFUNCTION("""COMPUTED_VALUE"""),923.0)</f>
        <v>923</v>
      </c>
      <c r="S15" s="68">
        <f>IFERROR(__xludf.DUMMYFUNCTION("""COMPUTED_VALUE"""),923.0)</f>
        <v>923</v>
      </c>
      <c r="T15" s="68">
        <f>IFERROR(__xludf.DUMMYFUNCTION("""COMPUTED_VALUE"""),923.0)</f>
        <v>923</v>
      </c>
      <c r="U15" s="41"/>
      <c r="V15" s="41"/>
      <c r="W15" s="41"/>
      <c r="X15" s="41"/>
      <c r="Y15" s="41"/>
      <c r="Z15" s="41"/>
      <c r="AA15" s="41"/>
      <c r="AB15" s="68">
        <f>IFERROR(__xludf.DUMMYFUNCTION("""COMPUTED_VALUE"""),4615.0)</f>
        <v>4615</v>
      </c>
    </row>
    <row r="16">
      <c r="B16" s="41"/>
      <c r="C16" s="41"/>
      <c r="D16" s="41"/>
      <c r="E16" s="41"/>
      <c r="F16" s="41"/>
      <c r="G16" s="41"/>
      <c r="H16" s="41"/>
      <c r="I16" s="41"/>
      <c r="J16" s="41" t="str">
        <f>IFERROR(__xludf.DUMMYFUNCTION("""COMPUTED_VALUE"""),"AICHMA02307055")</f>
        <v>AICHMA02307055</v>
      </c>
      <c r="K16" s="41" t="str">
        <f>IFERROR(__xludf.DUMMYFUNCTION("""COMPUTED_VALUE"""),"Macbook Air 	")</f>
        <v>Macbook Air 	</v>
      </c>
      <c r="L16" s="41" t="str">
        <f>IFERROR(__xludf.DUMMYFUNCTION("""COMPUTED_VALUE"""),"邱郁婷")</f>
        <v>邱郁婷</v>
      </c>
      <c r="M16" s="41" t="str">
        <f>IFERROR(__xludf.DUMMYFUNCTION("""COMPUTED_VALUE"""),"行銷營運中心")</f>
        <v>行銷營運中心</v>
      </c>
      <c r="N16" s="41" t="str">
        <f>IFERROR(__xludf.DUMMYFUNCTION("""COMPUTED_VALUE"""),"銷售營運部")</f>
        <v>銷售營運部</v>
      </c>
      <c r="O16" s="41" t="str">
        <f>IFERROR(__xludf.DUMMYFUNCTION("""COMPUTED_VALUE"""),"客戶導入團隊")</f>
        <v>客戶導入團隊</v>
      </c>
      <c r="P16" s="68">
        <f>IFERROR(__xludf.DUMMYFUNCTION("""COMPUTED_VALUE"""),875.0)</f>
        <v>875</v>
      </c>
      <c r="Q16" s="68">
        <f>IFERROR(__xludf.DUMMYFUNCTION("""COMPUTED_VALUE"""),875.0)</f>
        <v>875</v>
      </c>
      <c r="R16" s="68">
        <f>IFERROR(__xludf.DUMMYFUNCTION("""COMPUTED_VALUE"""),875.0)</f>
        <v>875</v>
      </c>
      <c r="S16" s="68">
        <f>IFERROR(__xludf.DUMMYFUNCTION("""COMPUTED_VALUE"""),875.0)</f>
        <v>875</v>
      </c>
      <c r="T16" s="68">
        <f>IFERROR(__xludf.DUMMYFUNCTION("""COMPUTED_VALUE"""),875.0)</f>
        <v>875</v>
      </c>
      <c r="U16" s="68">
        <f>IFERROR(__xludf.DUMMYFUNCTION("""COMPUTED_VALUE"""),875.0)</f>
        <v>875</v>
      </c>
      <c r="V16" s="41"/>
      <c r="W16" s="41"/>
      <c r="X16" s="41"/>
      <c r="Y16" s="41"/>
      <c r="Z16" s="41"/>
      <c r="AA16" s="41"/>
      <c r="AB16" s="68">
        <f>IFERROR(__xludf.DUMMYFUNCTION("""COMPUTED_VALUE"""),5250.0)</f>
        <v>5250</v>
      </c>
    </row>
    <row r="17">
      <c r="B17" s="41"/>
      <c r="C17" s="41"/>
      <c r="D17" s="41"/>
      <c r="E17" s="41"/>
      <c r="F17" s="41"/>
      <c r="G17" s="41"/>
      <c r="H17" s="41"/>
      <c r="I17" s="41"/>
      <c r="J17" s="41" t="str">
        <f>IFERROR(__xludf.DUMMYFUNCTION("""COMPUTED_VALUE"""),"AICHMC02307017")</f>
        <v>AICHMC02307017</v>
      </c>
      <c r="K17" s="41" t="str">
        <f>IFERROR(__xludf.DUMMYFUNCTION("""COMPUTED_VALUE"""),"Mac Mini")</f>
        <v>Mac Mini</v>
      </c>
      <c r="L17" s="41" t="str">
        <f>IFERROR(__xludf.DUMMYFUNCTION("""COMPUTED_VALUE"""),"高旻暄")</f>
        <v>高旻暄</v>
      </c>
      <c r="M17" s="41" t="str">
        <f>IFERROR(__xludf.DUMMYFUNCTION("""COMPUTED_VALUE"""),"研發中心")</f>
        <v>研發中心</v>
      </c>
      <c r="N17" s="41" t="str">
        <f>IFERROR(__xludf.DUMMYFUNCTION("""COMPUTED_VALUE"""),"軟體工程部")</f>
        <v>軟體工程部</v>
      </c>
      <c r="O17" s="41" t="str">
        <f>IFERROR(__xludf.DUMMYFUNCTION("""COMPUTED_VALUE"""),"IOS團隊")</f>
        <v>IOS團隊</v>
      </c>
      <c r="P17" s="68">
        <f>IFERROR(__xludf.DUMMYFUNCTION("""COMPUTED_VALUE"""),758.0)</f>
        <v>758</v>
      </c>
      <c r="Q17" s="68">
        <f>IFERROR(__xludf.DUMMYFUNCTION("""COMPUTED_VALUE"""),758.0)</f>
        <v>758</v>
      </c>
      <c r="R17" s="68">
        <f>IFERROR(__xludf.DUMMYFUNCTION("""COMPUTED_VALUE"""),758.0)</f>
        <v>758</v>
      </c>
      <c r="S17" s="68">
        <f>IFERROR(__xludf.DUMMYFUNCTION("""COMPUTED_VALUE"""),758.0)</f>
        <v>758</v>
      </c>
      <c r="T17" s="68">
        <f>IFERROR(__xludf.DUMMYFUNCTION("""COMPUTED_VALUE"""),758.0)</f>
        <v>758</v>
      </c>
      <c r="U17" s="68">
        <f>IFERROR(__xludf.DUMMYFUNCTION("""COMPUTED_VALUE"""),758.0)</f>
        <v>758</v>
      </c>
      <c r="V17" s="41"/>
      <c r="W17" s="41"/>
      <c r="X17" s="41"/>
      <c r="Y17" s="41"/>
      <c r="Z17" s="41"/>
      <c r="AA17" s="41"/>
      <c r="AB17" s="68">
        <f>IFERROR(__xludf.DUMMYFUNCTION("""COMPUTED_VALUE"""),4548.0)</f>
        <v>4548</v>
      </c>
    </row>
    <row r="18">
      <c r="B18" s="41"/>
      <c r="C18" s="41"/>
      <c r="D18" s="41"/>
      <c r="E18" s="41"/>
      <c r="F18" s="41"/>
      <c r="G18" s="41"/>
      <c r="H18" s="41"/>
      <c r="I18" s="41"/>
      <c r="J18" s="41" t="str">
        <f>IFERROR(__xludf.DUMMYFUNCTION("""COMPUTED_VALUE"""),"AICHMC02307018")</f>
        <v>AICHMC02307018</v>
      </c>
      <c r="K18" s="41" t="str">
        <f>IFERROR(__xludf.DUMMYFUNCTION("""COMPUTED_VALUE"""),"Mac Mini")</f>
        <v>Mac Mini</v>
      </c>
      <c r="L18" s="41" t="str">
        <f>IFERROR(__xludf.DUMMYFUNCTION("""COMPUTED_VALUE"""),"高旻暄")</f>
        <v>高旻暄</v>
      </c>
      <c r="M18" s="41" t="str">
        <f>IFERROR(__xludf.DUMMYFUNCTION("""COMPUTED_VALUE"""),"研發中心")</f>
        <v>研發中心</v>
      </c>
      <c r="N18" s="41" t="str">
        <f>IFERROR(__xludf.DUMMYFUNCTION("""COMPUTED_VALUE"""),"軟體工程部")</f>
        <v>軟體工程部</v>
      </c>
      <c r="O18" s="41" t="str">
        <f>IFERROR(__xludf.DUMMYFUNCTION("""COMPUTED_VALUE"""),"IOS團隊")</f>
        <v>IOS團隊</v>
      </c>
      <c r="P18" s="68">
        <f>IFERROR(__xludf.DUMMYFUNCTION("""COMPUTED_VALUE"""),758.0)</f>
        <v>758</v>
      </c>
      <c r="Q18" s="68">
        <f>IFERROR(__xludf.DUMMYFUNCTION("""COMPUTED_VALUE"""),758.0)</f>
        <v>758</v>
      </c>
      <c r="R18" s="68">
        <f>IFERROR(__xludf.DUMMYFUNCTION("""COMPUTED_VALUE"""),758.0)</f>
        <v>758</v>
      </c>
      <c r="S18" s="68">
        <f>IFERROR(__xludf.DUMMYFUNCTION("""COMPUTED_VALUE"""),758.0)</f>
        <v>758</v>
      </c>
      <c r="T18" s="68">
        <f>IFERROR(__xludf.DUMMYFUNCTION("""COMPUTED_VALUE"""),758.0)</f>
        <v>758</v>
      </c>
      <c r="U18" s="68">
        <f>IFERROR(__xludf.DUMMYFUNCTION("""COMPUTED_VALUE"""),758.0)</f>
        <v>758</v>
      </c>
      <c r="V18" s="41"/>
      <c r="W18" s="41"/>
      <c r="X18" s="41"/>
      <c r="Y18" s="41"/>
      <c r="Z18" s="41"/>
      <c r="AA18" s="41"/>
      <c r="AB18" s="68">
        <f>IFERROR(__xludf.DUMMYFUNCTION("""COMPUTED_VALUE"""),4548.0)</f>
        <v>4548</v>
      </c>
    </row>
    <row r="19">
      <c r="B19" s="41"/>
      <c r="C19" s="41"/>
      <c r="D19" s="41"/>
      <c r="E19" s="41"/>
      <c r="F19" s="41"/>
      <c r="G19" s="41"/>
      <c r="H19" s="41"/>
      <c r="I19" s="41"/>
      <c r="J19" s="41" t="str">
        <f>IFERROR(__xludf.DUMMYFUNCTION("""COMPUTED_VALUE"""),"AICHIP02309092")</f>
        <v>AICHIP02309092</v>
      </c>
      <c r="K19" s="41" t="str">
        <f>IFERROR(__xludf.DUMMYFUNCTION("""COMPUTED_VALUE"""),"iPad 9 / 10.2吋 64G WiFi _ 無法挑色")</f>
        <v>iPad 9 / 10.2吋 64G WiFi _ 無法挑色</v>
      </c>
      <c r="L19" s="41" t="str">
        <f>IFERROR(__xludf.DUMMYFUNCTION("""COMPUTED_VALUE"""),"王壯為")</f>
        <v>王壯為</v>
      </c>
      <c r="M19" s="41" t="str">
        <f>IFERROR(__xludf.DUMMYFUNCTION("""COMPUTED_VALUE"""),"管理中心")</f>
        <v>管理中心</v>
      </c>
      <c r="N19" s="41" t="str">
        <f>IFERROR(__xludf.DUMMYFUNCTION("""COMPUTED_VALUE"""),"資訊部")</f>
        <v>資訊部</v>
      </c>
      <c r="O19" s="41"/>
      <c r="P19" s="68">
        <f>IFERROR(__xludf.DUMMYFUNCTION("""COMPUTED_VALUE"""),275.0)</f>
        <v>275</v>
      </c>
      <c r="Q19" s="68">
        <f>IFERROR(__xludf.DUMMYFUNCTION("""COMPUTED_VALUE"""),275.0)</f>
        <v>275</v>
      </c>
      <c r="R19" s="68">
        <f>IFERROR(__xludf.DUMMYFUNCTION("""COMPUTED_VALUE"""),275.0)</f>
        <v>275</v>
      </c>
      <c r="S19" s="68">
        <f>IFERROR(__xludf.DUMMYFUNCTION("""COMPUTED_VALUE"""),275.0)</f>
        <v>275</v>
      </c>
      <c r="T19" s="68">
        <f>IFERROR(__xludf.DUMMYFUNCTION("""COMPUTED_VALUE"""),275.0)</f>
        <v>275</v>
      </c>
      <c r="U19" s="68">
        <f>IFERROR(__xludf.DUMMYFUNCTION("""COMPUTED_VALUE"""),275.0)</f>
        <v>275</v>
      </c>
      <c r="V19" s="68">
        <f>IFERROR(__xludf.DUMMYFUNCTION("""COMPUTED_VALUE"""),275.0)</f>
        <v>275</v>
      </c>
      <c r="W19" s="68">
        <f>IFERROR(__xludf.DUMMYFUNCTION("""COMPUTED_VALUE"""),275.0)</f>
        <v>275</v>
      </c>
      <c r="X19" s="41"/>
      <c r="Y19" s="41"/>
      <c r="Z19" s="41"/>
      <c r="AA19" s="41"/>
      <c r="AB19" s="68">
        <f>IFERROR(__xludf.DUMMYFUNCTION("""COMPUTED_VALUE"""),2200.0)</f>
        <v>2200</v>
      </c>
    </row>
    <row r="20">
      <c r="B20" s="41"/>
      <c r="C20" s="41"/>
      <c r="D20" s="41"/>
      <c r="E20" s="41"/>
      <c r="F20" s="41"/>
      <c r="G20" s="41"/>
      <c r="H20" s="41"/>
      <c r="I20" s="41"/>
      <c r="J20" s="41" t="str">
        <f>IFERROR(__xludf.DUMMYFUNCTION("""COMPUTED_VALUE"""),"AICHOF02309001")</f>
        <v>AICHOF02309001</v>
      </c>
      <c r="K20" s="41" t="str">
        <f>IFERROR(__xludf.DUMMYFUNCTION("""COMPUTED_VALUE"""),"整新 mCP31L-WT（不含保固及維修補助）")</f>
        <v>整新 mCP31L-WT（不含保固及維修補助）</v>
      </c>
      <c r="L20" s="41" t="str">
        <f>IFERROR(__xludf.DUMMYFUNCTION("""COMPUTED_VALUE"""),"陳品宏")</f>
        <v>陳品宏</v>
      </c>
      <c r="M20" s="41" t="str">
        <f>IFERROR(__xludf.DUMMYFUNCTION("""COMPUTED_VALUE"""),"行銷營運中心")</f>
        <v>行銷營運中心</v>
      </c>
      <c r="N20" s="41" t="str">
        <f>IFERROR(__xludf.DUMMYFUNCTION("""COMPUTED_VALUE"""),"社群關係部")</f>
        <v>社群關係部</v>
      </c>
      <c r="O20" s="41" t="str">
        <f>IFERROR(__xludf.DUMMYFUNCTION("""COMPUTED_VALUE"""),"餐廳社群團隊")</f>
        <v>餐廳社群團隊</v>
      </c>
      <c r="P20" s="68">
        <f>IFERROR(__xludf.DUMMYFUNCTION("""COMPUTED_VALUE"""),189.0)</f>
        <v>189</v>
      </c>
      <c r="Q20" s="68">
        <f>IFERROR(__xludf.DUMMYFUNCTION("""COMPUTED_VALUE"""),189.0)</f>
        <v>189</v>
      </c>
      <c r="R20" s="68">
        <f>IFERROR(__xludf.DUMMYFUNCTION("""COMPUTED_VALUE"""),189.0)</f>
        <v>189</v>
      </c>
      <c r="S20" s="68">
        <f>IFERROR(__xludf.DUMMYFUNCTION("""COMPUTED_VALUE"""),189.0)</f>
        <v>189</v>
      </c>
      <c r="T20" s="68">
        <f>IFERROR(__xludf.DUMMYFUNCTION("""COMPUTED_VALUE"""),189.0)</f>
        <v>189</v>
      </c>
      <c r="U20" s="68">
        <f>IFERROR(__xludf.DUMMYFUNCTION("""COMPUTED_VALUE"""),189.0)</f>
        <v>189</v>
      </c>
      <c r="V20" s="68">
        <f>IFERROR(__xludf.DUMMYFUNCTION("""COMPUTED_VALUE"""),189.0)</f>
        <v>189</v>
      </c>
      <c r="W20" s="68">
        <f>IFERROR(__xludf.DUMMYFUNCTION("""COMPUTED_VALUE"""),189.0)</f>
        <v>189</v>
      </c>
      <c r="X20" s="41"/>
      <c r="Y20" s="41"/>
      <c r="Z20" s="41"/>
      <c r="AA20" s="41"/>
      <c r="AB20" s="68">
        <f>IFERROR(__xludf.DUMMYFUNCTION("""COMPUTED_VALUE"""),1512.0)</f>
        <v>1512</v>
      </c>
    </row>
    <row r="21">
      <c r="B21" s="41"/>
      <c r="C21" s="41"/>
      <c r="D21" s="41"/>
      <c r="E21" s="41"/>
      <c r="F21" s="41"/>
      <c r="G21" s="41"/>
      <c r="H21" s="41"/>
      <c r="I21" s="41"/>
      <c r="J21" s="41" t="str">
        <f>IFERROR(__xludf.DUMMYFUNCTION("""COMPUTED_VALUE"""),"AICHOF02309002")</f>
        <v>AICHOF02309002</v>
      </c>
      <c r="K21" s="41" t="str">
        <f>IFERROR(__xludf.DUMMYFUNCTION("""COMPUTED_VALUE"""),"整新 GoDEX小貼紙機（不含保固及維修補助）")</f>
        <v>整新 GoDEX小貼紙機（不含保固及維修補助）</v>
      </c>
      <c r="L21" s="41" t="str">
        <f>IFERROR(__xludf.DUMMYFUNCTION("""COMPUTED_VALUE"""),"陳品宏")</f>
        <v>陳品宏</v>
      </c>
      <c r="M21" s="41" t="str">
        <f>IFERROR(__xludf.DUMMYFUNCTION("""COMPUTED_VALUE"""),"行銷營運中心")</f>
        <v>行銷營運中心</v>
      </c>
      <c r="N21" s="41" t="str">
        <f>IFERROR(__xludf.DUMMYFUNCTION("""COMPUTED_VALUE"""),"社群關係部")</f>
        <v>社群關係部</v>
      </c>
      <c r="O21" s="41" t="str">
        <f>IFERROR(__xludf.DUMMYFUNCTION("""COMPUTED_VALUE"""),"餐廳社群團隊")</f>
        <v>餐廳社群團隊</v>
      </c>
      <c r="P21" s="68">
        <f>IFERROR(__xludf.DUMMYFUNCTION("""COMPUTED_VALUE"""),189.0)</f>
        <v>189</v>
      </c>
      <c r="Q21" s="68">
        <f>IFERROR(__xludf.DUMMYFUNCTION("""COMPUTED_VALUE"""),189.0)</f>
        <v>189</v>
      </c>
      <c r="R21" s="68">
        <f>IFERROR(__xludf.DUMMYFUNCTION("""COMPUTED_VALUE"""),189.0)</f>
        <v>189</v>
      </c>
      <c r="S21" s="68">
        <f>IFERROR(__xludf.DUMMYFUNCTION("""COMPUTED_VALUE"""),189.0)</f>
        <v>189</v>
      </c>
      <c r="T21" s="68">
        <f>IFERROR(__xludf.DUMMYFUNCTION("""COMPUTED_VALUE"""),189.0)</f>
        <v>189</v>
      </c>
      <c r="U21" s="68">
        <f>IFERROR(__xludf.DUMMYFUNCTION("""COMPUTED_VALUE"""),189.0)</f>
        <v>189</v>
      </c>
      <c r="V21" s="68">
        <f>IFERROR(__xludf.DUMMYFUNCTION("""COMPUTED_VALUE"""),189.0)</f>
        <v>189</v>
      </c>
      <c r="W21" s="68">
        <f>IFERROR(__xludf.DUMMYFUNCTION("""COMPUTED_VALUE"""),189.0)</f>
        <v>189</v>
      </c>
      <c r="X21" s="41"/>
      <c r="Y21" s="41"/>
      <c r="Z21" s="41"/>
      <c r="AA21" s="41"/>
      <c r="AB21" s="68">
        <f>IFERROR(__xludf.DUMMYFUNCTION("""COMPUTED_VALUE"""),1512.0)</f>
        <v>1512</v>
      </c>
    </row>
    <row r="22">
      <c r="B22" s="41"/>
      <c r="C22" s="41"/>
      <c r="D22" s="41"/>
      <c r="E22" s="41"/>
      <c r="F22" s="41"/>
      <c r="G22" s="41"/>
      <c r="H22" s="41"/>
      <c r="I22" s="41"/>
      <c r="J22" s="41" t="str">
        <f>IFERROR(__xludf.DUMMYFUNCTION("""COMPUTED_VALUE"""),"AICHOF02309003")</f>
        <v>AICHOF02309003</v>
      </c>
      <c r="K22" s="41" t="str">
        <f>IFERROR(__xludf.DUMMYFUNCTION("""COMPUTED_VALUE"""),"白色小錢櫃(35*35*8 cm)")</f>
        <v>白色_x0008_小錢櫃(35*35*8 cm)</v>
      </c>
      <c r="L22" s="41" t="str">
        <f>IFERROR(__xludf.DUMMYFUNCTION("""COMPUTED_VALUE"""),"陳品宏")</f>
        <v>陳品宏</v>
      </c>
      <c r="M22" s="41" t="str">
        <f>IFERROR(__xludf.DUMMYFUNCTION("""COMPUTED_VALUE"""),"行銷營運中心")</f>
        <v>行銷營運中心</v>
      </c>
      <c r="N22" s="41" t="str">
        <f>IFERROR(__xludf.DUMMYFUNCTION("""COMPUTED_VALUE"""),"社群關係部")</f>
        <v>社群關係部</v>
      </c>
      <c r="O22" s="41" t="str">
        <f>IFERROR(__xludf.DUMMYFUNCTION("""COMPUTED_VALUE"""),"餐廳社群團隊")</f>
        <v>餐廳社群團隊</v>
      </c>
      <c r="P22" s="68">
        <f>IFERROR(__xludf.DUMMYFUNCTION("""COMPUTED_VALUE"""),42.0)</f>
        <v>42</v>
      </c>
      <c r="Q22" s="68">
        <f>IFERROR(__xludf.DUMMYFUNCTION("""COMPUTED_VALUE"""),42.0)</f>
        <v>42</v>
      </c>
      <c r="R22" s="68">
        <f>IFERROR(__xludf.DUMMYFUNCTION("""COMPUTED_VALUE"""),42.0)</f>
        <v>42</v>
      </c>
      <c r="S22" s="68">
        <f>IFERROR(__xludf.DUMMYFUNCTION("""COMPUTED_VALUE"""),42.0)</f>
        <v>42</v>
      </c>
      <c r="T22" s="68">
        <f>IFERROR(__xludf.DUMMYFUNCTION("""COMPUTED_VALUE"""),42.0)</f>
        <v>42</v>
      </c>
      <c r="U22" s="68">
        <f>IFERROR(__xludf.DUMMYFUNCTION("""COMPUTED_VALUE"""),42.0)</f>
        <v>42</v>
      </c>
      <c r="V22" s="68">
        <f>IFERROR(__xludf.DUMMYFUNCTION("""COMPUTED_VALUE"""),42.0)</f>
        <v>42</v>
      </c>
      <c r="W22" s="68">
        <f>IFERROR(__xludf.DUMMYFUNCTION("""COMPUTED_VALUE"""),42.0)</f>
        <v>42</v>
      </c>
      <c r="X22" s="41"/>
      <c r="Y22" s="41"/>
      <c r="Z22" s="41"/>
      <c r="AA22" s="41"/>
      <c r="AB22" s="68">
        <f>IFERROR(__xludf.DUMMYFUNCTION("""COMPUTED_VALUE"""),336.0)</f>
        <v>336</v>
      </c>
    </row>
    <row r="23">
      <c r="B23" s="41"/>
      <c r="C23" s="41"/>
      <c r="D23" s="41"/>
      <c r="E23" s="41"/>
      <c r="F23" s="41"/>
      <c r="G23" s="41"/>
      <c r="H23" s="41"/>
      <c r="I23" s="41"/>
      <c r="J23" s="41" t="str">
        <f>IFERROR(__xludf.DUMMYFUNCTION("""COMPUTED_VALUE"""),"AICHOF02309004")</f>
        <v>AICHOF02309004</v>
      </c>
      <c r="K23" s="41" t="str">
        <f>IFERROR(__xludf.DUMMYFUNCTION("""COMPUTED_VALUE"""),"Ledetech iPad 立架( 4-11吋平板專用 )_不挑色")</f>
        <v>Ledetech iPad 立架( 4-11吋平板專用 )_不挑色</v>
      </c>
      <c r="L23" s="41" t="str">
        <f>IFERROR(__xludf.DUMMYFUNCTION("""COMPUTED_VALUE"""),"陳品宏")</f>
        <v>陳品宏</v>
      </c>
      <c r="M23" s="41" t="str">
        <f>IFERROR(__xludf.DUMMYFUNCTION("""COMPUTED_VALUE"""),"行銷營運中心")</f>
        <v>行銷營運中心</v>
      </c>
      <c r="N23" s="41" t="str">
        <f>IFERROR(__xludf.DUMMYFUNCTION("""COMPUTED_VALUE"""),"社群關係部")</f>
        <v>社群關係部</v>
      </c>
      <c r="O23" s="41" t="str">
        <f>IFERROR(__xludf.DUMMYFUNCTION("""COMPUTED_VALUE"""),"餐廳社群團隊")</f>
        <v>餐廳社群團隊</v>
      </c>
      <c r="P23" s="68">
        <f>IFERROR(__xludf.DUMMYFUNCTION("""COMPUTED_VALUE"""),15.0)</f>
        <v>15</v>
      </c>
      <c r="Q23" s="68">
        <f>IFERROR(__xludf.DUMMYFUNCTION("""COMPUTED_VALUE"""),15.0)</f>
        <v>15</v>
      </c>
      <c r="R23" s="68">
        <f>IFERROR(__xludf.DUMMYFUNCTION("""COMPUTED_VALUE"""),15.0)</f>
        <v>15</v>
      </c>
      <c r="S23" s="68">
        <f>IFERROR(__xludf.DUMMYFUNCTION("""COMPUTED_VALUE"""),15.0)</f>
        <v>15</v>
      </c>
      <c r="T23" s="68">
        <f>IFERROR(__xludf.DUMMYFUNCTION("""COMPUTED_VALUE"""),15.0)</f>
        <v>15</v>
      </c>
      <c r="U23" s="68">
        <f>IFERROR(__xludf.DUMMYFUNCTION("""COMPUTED_VALUE"""),15.0)</f>
        <v>15</v>
      </c>
      <c r="V23" s="68">
        <f>IFERROR(__xludf.DUMMYFUNCTION("""COMPUTED_VALUE"""),15.0)</f>
        <v>15</v>
      </c>
      <c r="W23" s="68">
        <f>IFERROR(__xludf.DUMMYFUNCTION("""COMPUTED_VALUE"""),15.0)</f>
        <v>15</v>
      </c>
      <c r="X23" s="41"/>
      <c r="Y23" s="41"/>
      <c r="Z23" s="41"/>
      <c r="AA23" s="41"/>
      <c r="AB23" s="68">
        <f>IFERROR(__xludf.DUMMYFUNCTION("""COMPUTED_VALUE"""),120.0)</f>
        <v>120</v>
      </c>
    </row>
    <row r="24">
      <c r="B24" s="41"/>
      <c r="C24" s="41"/>
      <c r="D24" s="41"/>
      <c r="E24" s="41"/>
      <c r="F24" s="41"/>
      <c r="G24" s="41"/>
      <c r="H24" s="41"/>
      <c r="I24" s="41"/>
      <c r="J24" s="41" t="str">
        <f>IFERROR(__xludf.DUMMYFUNCTION("""COMPUTED_VALUE"""),"AICHMP02310063")</f>
        <v>AICHMP02310063</v>
      </c>
      <c r="K24" s="41" t="str">
        <f>IFERROR(__xludf.DUMMYFUNCTION("""COMPUTED_VALUE"""),"Macbook Pro 14寸	")</f>
        <v>Macbook Pro 14寸	</v>
      </c>
      <c r="L24" s="41" t="str">
        <f>IFERROR(__xludf.DUMMYFUNCTION("""COMPUTED_VALUE"""),"林育星")</f>
        <v>林育星</v>
      </c>
      <c r="M24" s="41" t="str">
        <f>IFERROR(__xludf.DUMMYFUNCTION("""COMPUTED_VALUE"""),"研發中心")</f>
        <v>研發中心</v>
      </c>
      <c r="N24" s="41" t="str">
        <f>IFERROR(__xludf.DUMMYFUNCTION("""COMPUTED_VALUE"""),"軟體工程部")</f>
        <v>軟體工程部</v>
      </c>
      <c r="O24" s="41" t="str">
        <f>IFERROR(__xludf.DUMMYFUNCTION("""COMPUTED_VALUE"""),"後端團隊")</f>
        <v>後端團隊</v>
      </c>
      <c r="P24" s="68">
        <f>IFERROR(__xludf.DUMMYFUNCTION("""COMPUTED_VALUE"""),1812.0)</f>
        <v>1812</v>
      </c>
      <c r="Q24" s="68">
        <f>IFERROR(__xludf.DUMMYFUNCTION("""COMPUTED_VALUE"""),1812.0)</f>
        <v>1812</v>
      </c>
      <c r="R24" s="68">
        <f>IFERROR(__xludf.DUMMYFUNCTION("""COMPUTED_VALUE"""),1812.0)</f>
        <v>1812</v>
      </c>
      <c r="S24" s="68">
        <f>IFERROR(__xludf.DUMMYFUNCTION("""COMPUTED_VALUE"""),1812.0)</f>
        <v>1812</v>
      </c>
      <c r="T24" s="68">
        <f>IFERROR(__xludf.DUMMYFUNCTION("""COMPUTED_VALUE"""),1812.0)</f>
        <v>1812</v>
      </c>
      <c r="U24" s="68">
        <f>IFERROR(__xludf.DUMMYFUNCTION("""COMPUTED_VALUE"""),1812.0)</f>
        <v>1812</v>
      </c>
      <c r="V24" s="68">
        <f>IFERROR(__xludf.DUMMYFUNCTION("""COMPUTED_VALUE"""),1812.0)</f>
        <v>1812</v>
      </c>
      <c r="W24" s="68">
        <f>IFERROR(__xludf.DUMMYFUNCTION("""COMPUTED_VALUE"""),1812.0)</f>
        <v>1812</v>
      </c>
      <c r="X24" s="68">
        <f>IFERROR(__xludf.DUMMYFUNCTION("""COMPUTED_VALUE"""),1812.0)</f>
        <v>1812</v>
      </c>
      <c r="Y24" s="41"/>
      <c r="Z24" s="41"/>
      <c r="AA24" s="41"/>
      <c r="AB24" s="68">
        <f>IFERROR(__xludf.DUMMYFUNCTION("""COMPUTED_VALUE"""),16308.0)</f>
        <v>16308</v>
      </c>
    </row>
    <row r="25">
      <c r="B25" s="41"/>
      <c r="C25" s="41"/>
      <c r="D25" s="41"/>
      <c r="E25" s="41"/>
      <c r="F25" s="41"/>
      <c r="G25" s="41"/>
      <c r="H25" s="41"/>
      <c r="I25" s="41"/>
      <c r="J25" s="41" t="str">
        <f>IFERROR(__xludf.DUMMYFUNCTION("""COMPUTED_VALUE"""),"AICHMP02310064")</f>
        <v>AICHMP02310064</v>
      </c>
      <c r="K25" s="41" t="str">
        <f>IFERROR(__xludf.DUMMYFUNCTION("""COMPUTED_VALUE"""),"Macbook Pro 16""	")</f>
        <v>Macbook Pro 16"	</v>
      </c>
      <c r="L25" s="41" t="str">
        <f>IFERROR(__xludf.DUMMYFUNCTION("""COMPUTED_VALUE"""),"吳佳駿")</f>
        <v>吳佳駿</v>
      </c>
      <c r="M25" s="41" t="str">
        <f>IFERROR(__xludf.DUMMYFUNCTION("""COMPUTED_VALUE"""),"執行長室")</f>
        <v>執行長室</v>
      </c>
      <c r="N25" s="41" t="str">
        <f>IFERROR(__xludf.DUMMYFUNCTION("""COMPUTED_VALUE"""),"執行長室")</f>
        <v>執行長室</v>
      </c>
      <c r="O25" s="41"/>
      <c r="P25" s="68">
        <f>IFERROR(__xludf.DUMMYFUNCTION("""COMPUTED_VALUE"""),2042.0)</f>
        <v>2042</v>
      </c>
      <c r="Q25" s="68">
        <f>IFERROR(__xludf.DUMMYFUNCTION("""COMPUTED_VALUE"""),2042.0)</f>
        <v>2042</v>
      </c>
      <c r="R25" s="68">
        <f>IFERROR(__xludf.DUMMYFUNCTION("""COMPUTED_VALUE"""),2042.0)</f>
        <v>2042</v>
      </c>
      <c r="S25" s="68">
        <f>IFERROR(__xludf.DUMMYFUNCTION("""COMPUTED_VALUE"""),2042.0)</f>
        <v>2042</v>
      </c>
      <c r="T25" s="68">
        <f>IFERROR(__xludf.DUMMYFUNCTION("""COMPUTED_VALUE"""),2042.0)</f>
        <v>2042</v>
      </c>
      <c r="U25" s="68">
        <f>IFERROR(__xludf.DUMMYFUNCTION("""COMPUTED_VALUE"""),2042.0)</f>
        <v>2042</v>
      </c>
      <c r="V25" s="68">
        <f>IFERROR(__xludf.DUMMYFUNCTION("""COMPUTED_VALUE"""),2042.0)</f>
        <v>2042</v>
      </c>
      <c r="W25" s="68">
        <f>IFERROR(__xludf.DUMMYFUNCTION("""COMPUTED_VALUE"""),2042.0)</f>
        <v>2042</v>
      </c>
      <c r="X25" s="68">
        <f>IFERROR(__xludf.DUMMYFUNCTION("""COMPUTED_VALUE"""),2042.0)</f>
        <v>2042</v>
      </c>
      <c r="Y25" s="41"/>
      <c r="Z25" s="41"/>
      <c r="AA25" s="41"/>
      <c r="AB25" s="68">
        <f>IFERROR(__xludf.DUMMYFUNCTION("""COMPUTED_VALUE"""),18378.0)</f>
        <v>18378</v>
      </c>
    </row>
    <row r="26">
      <c r="B26" s="41"/>
      <c r="C26" s="41"/>
      <c r="D26" s="41"/>
      <c r="E26" s="41"/>
      <c r="F26" s="41"/>
      <c r="G26" s="41"/>
      <c r="H26" s="41"/>
      <c r="I26" s="41"/>
      <c r="J26" s="41" t="str">
        <f>IFERROR(__xludf.DUMMYFUNCTION("""COMPUTED_VALUE"""),"AICHMP02310065")</f>
        <v>AICHMP02310065</v>
      </c>
      <c r="K26" s="41" t="str">
        <f>IFERROR(__xludf.DUMMYFUNCTION("""COMPUTED_VALUE"""),"Macbook Pro 14寸	")</f>
        <v>Macbook Pro 14寸	</v>
      </c>
      <c r="L26" s="41" t="str">
        <f>IFERROR(__xludf.DUMMYFUNCTION("""COMPUTED_VALUE"""),"鍾宛儒")</f>
        <v>鍾宛儒</v>
      </c>
      <c r="M26" s="41" t="str">
        <f>IFERROR(__xludf.DUMMYFUNCTION("""COMPUTED_VALUE"""),"研發中心")</f>
        <v>研發中心</v>
      </c>
      <c r="N26" s="41" t="str">
        <f>IFERROR(__xludf.DUMMYFUNCTION("""COMPUTED_VALUE"""),"產品設計部")</f>
        <v>產品設計部</v>
      </c>
      <c r="O26" s="41" t="str">
        <f>IFERROR(__xludf.DUMMYFUNCTION("""COMPUTED_VALUE"""),"產品設計師團隊")</f>
        <v>產品設計師團隊</v>
      </c>
      <c r="P26" s="68">
        <f>IFERROR(__xludf.DUMMYFUNCTION("""COMPUTED_VALUE"""),2349.0)</f>
        <v>2349</v>
      </c>
      <c r="Q26" s="68">
        <f>IFERROR(__xludf.DUMMYFUNCTION("""COMPUTED_VALUE"""),2349.0)</f>
        <v>2349</v>
      </c>
      <c r="R26" s="68">
        <f>IFERROR(__xludf.DUMMYFUNCTION("""COMPUTED_VALUE"""),2349.0)</f>
        <v>2349</v>
      </c>
      <c r="S26" s="68">
        <f>IFERROR(__xludf.DUMMYFUNCTION("""COMPUTED_VALUE"""),2349.0)</f>
        <v>2349</v>
      </c>
      <c r="T26" s="68">
        <f>IFERROR(__xludf.DUMMYFUNCTION("""COMPUTED_VALUE"""),2349.0)</f>
        <v>2349</v>
      </c>
      <c r="U26" s="68">
        <f>IFERROR(__xludf.DUMMYFUNCTION("""COMPUTED_VALUE"""),2349.0)</f>
        <v>2349</v>
      </c>
      <c r="V26" s="68">
        <f>IFERROR(__xludf.DUMMYFUNCTION("""COMPUTED_VALUE"""),2349.0)</f>
        <v>2349</v>
      </c>
      <c r="W26" s="68">
        <f>IFERROR(__xludf.DUMMYFUNCTION("""COMPUTED_VALUE"""),2349.0)</f>
        <v>2349</v>
      </c>
      <c r="X26" s="68">
        <f>IFERROR(__xludf.DUMMYFUNCTION("""COMPUTED_VALUE"""),2349.0)</f>
        <v>2349</v>
      </c>
      <c r="Y26" s="41"/>
      <c r="Z26" s="41"/>
      <c r="AA26" s="41"/>
      <c r="AB26" s="68">
        <f>IFERROR(__xludf.DUMMYFUNCTION("""COMPUTED_VALUE"""),21141.0)</f>
        <v>21141</v>
      </c>
    </row>
    <row r="27">
      <c r="B27" s="41"/>
      <c r="C27" s="41"/>
      <c r="D27" s="41"/>
      <c r="E27" s="41"/>
      <c r="F27" s="41"/>
      <c r="G27" s="41"/>
      <c r="H27" s="41"/>
      <c r="I27" s="41"/>
      <c r="J27" s="41" t="str">
        <f>IFERROR(__xludf.DUMMYFUNCTION("""COMPUTED_VALUE"""),"AICHMA02310056")</f>
        <v>AICHMA02310056</v>
      </c>
      <c r="K27" s="41" t="str">
        <f>IFERROR(__xludf.DUMMYFUNCTION("""COMPUTED_VALUE"""),"Macbook Air 13""	")</f>
        <v>Macbook Air 13"	</v>
      </c>
      <c r="L27" s="41" t="str">
        <f>IFERROR(__xludf.DUMMYFUNCTION("""COMPUTED_VALUE"""),"江彧琳")</f>
        <v>江彧琳</v>
      </c>
      <c r="M27" s="41" t="str">
        <f>IFERROR(__xludf.DUMMYFUNCTION("""COMPUTED_VALUE"""),"行銷營運中心")</f>
        <v>行銷營運中心</v>
      </c>
      <c r="N27" s="41" t="str">
        <f>IFERROR(__xludf.DUMMYFUNCTION("""COMPUTED_VALUE"""),"產品行銷部")</f>
        <v>產品行銷部</v>
      </c>
      <c r="O27" s="41" t="str">
        <f>IFERROR(__xludf.DUMMYFUNCTION("""COMPUTED_VALUE"""),"產品品牌團隊")</f>
        <v>產品品牌團隊</v>
      </c>
      <c r="P27" s="68">
        <f>IFERROR(__xludf.DUMMYFUNCTION("""COMPUTED_VALUE"""),753.0)</f>
        <v>753</v>
      </c>
      <c r="Q27" s="68">
        <f>IFERROR(__xludf.DUMMYFUNCTION("""COMPUTED_VALUE"""),753.0)</f>
        <v>753</v>
      </c>
      <c r="R27" s="68">
        <f>IFERROR(__xludf.DUMMYFUNCTION("""COMPUTED_VALUE"""),753.0)</f>
        <v>753</v>
      </c>
      <c r="S27" s="68">
        <f>IFERROR(__xludf.DUMMYFUNCTION("""COMPUTED_VALUE"""),753.0)</f>
        <v>753</v>
      </c>
      <c r="T27" s="68">
        <f>IFERROR(__xludf.DUMMYFUNCTION("""COMPUTED_VALUE"""),753.0)</f>
        <v>753</v>
      </c>
      <c r="U27" s="68">
        <f>IFERROR(__xludf.DUMMYFUNCTION("""COMPUTED_VALUE"""),753.0)</f>
        <v>753</v>
      </c>
      <c r="V27" s="68">
        <f>IFERROR(__xludf.DUMMYFUNCTION("""COMPUTED_VALUE"""),753.0)</f>
        <v>753</v>
      </c>
      <c r="W27" s="68">
        <f>IFERROR(__xludf.DUMMYFUNCTION("""COMPUTED_VALUE"""),753.0)</f>
        <v>753</v>
      </c>
      <c r="X27" s="68">
        <f>IFERROR(__xludf.DUMMYFUNCTION("""COMPUTED_VALUE"""),753.0)</f>
        <v>753</v>
      </c>
      <c r="Y27" s="41"/>
      <c r="Z27" s="41"/>
      <c r="AA27" s="41"/>
      <c r="AB27" s="68">
        <f>IFERROR(__xludf.DUMMYFUNCTION("""COMPUTED_VALUE"""),6777.0)</f>
        <v>6777</v>
      </c>
    </row>
    <row r="28">
      <c r="B28" s="41"/>
      <c r="C28" s="41"/>
      <c r="D28" s="41"/>
      <c r="E28" s="41"/>
      <c r="F28" s="41"/>
      <c r="G28" s="41"/>
      <c r="H28" s="41"/>
      <c r="I28" s="41"/>
      <c r="J28" s="41" t="str">
        <f>IFERROR(__xludf.DUMMYFUNCTION("""COMPUTED_VALUE"""),"AICHMA02310057")</f>
        <v>AICHMA02310057</v>
      </c>
      <c r="K28" s="41" t="str">
        <f>IFERROR(__xludf.DUMMYFUNCTION("""COMPUTED_VALUE"""),"Macbook Air	")</f>
        <v>Macbook Air	</v>
      </c>
      <c r="L28" s="41" t="str">
        <f>IFERROR(__xludf.DUMMYFUNCTION("""COMPUTED_VALUE"""),"王壯為")</f>
        <v>王壯為</v>
      </c>
      <c r="M28" s="41" t="str">
        <f>IFERROR(__xludf.DUMMYFUNCTION("""COMPUTED_VALUE"""),"管理中心")</f>
        <v>管理中心</v>
      </c>
      <c r="N28" s="41" t="str">
        <f>IFERROR(__xludf.DUMMYFUNCTION("""COMPUTED_VALUE"""),"資訊部")</f>
        <v>資訊部</v>
      </c>
      <c r="O28" s="41"/>
      <c r="P28" s="68">
        <f>IFERROR(__xludf.DUMMYFUNCTION("""COMPUTED_VALUE"""),753.0)</f>
        <v>753</v>
      </c>
      <c r="Q28" s="68">
        <f>IFERROR(__xludf.DUMMYFUNCTION("""COMPUTED_VALUE"""),753.0)</f>
        <v>753</v>
      </c>
      <c r="R28" s="68">
        <f>IFERROR(__xludf.DUMMYFUNCTION("""COMPUTED_VALUE"""),753.0)</f>
        <v>753</v>
      </c>
      <c r="S28" s="68">
        <f>IFERROR(__xludf.DUMMYFUNCTION("""COMPUTED_VALUE"""),753.0)</f>
        <v>753</v>
      </c>
      <c r="T28" s="68">
        <f>IFERROR(__xludf.DUMMYFUNCTION("""COMPUTED_VALUE"""),753.0)</f>
        <v>753</v>
      </c>
      <c r="U28" s="68">
        <f>IFERROR(__xludf.DUMMYFUNCTION("""COMPUTED_VALUE"""),753.0)</f>
        <v>753</v>
      </c>
      <c r="V28" s="68">
        <f>IFERROR(__xludf.DUMMYFUNCTION("""COMPUTED_VALUE"""),753.0)</f>
        <v>753</v>
      </c>
      <c r="W28" s="68">
        <f>IFERROR(__xludf.DUMMYFUNCTION("""COMPUTED_VALUE"""),753.0)</f>
        <v>753</v>
      </c>
      <c r="X28" s="68">
        <f>IFERROR(__xludf.DUMMYFUNCTION("""COMPUTED_VALUE"""),753.0)</f>
        <v>753</v>
      </c>
      <c r="Y28" s="41"/>
      <c r="Z28" s="41"/>
      <c r="AA28" s="41"/>
      <c r="AB28" s="68">
        <f>IFERROR(__xludf.DUMMYFUNCTION("""COMPUTED_VALUE"""),6777.0)</f>
        <v>6777</v>
      </c>
    </row>
    <row r="29">
      <c r="B29" s="41"/>
      <c r="C29" s="41"/>
      <c r="D29" s="41"/>
      <c r="E29" s="41"/>
      <c r="F29" s="41"/>
      <c r="G29" s="41"/>
      <c r="H29" s="41"/>
      <c r="I29" s="41"/>
      <c r="J29" s="41" t="str">
        <f>IFERROR(__xludf.DUMMYFUNCTION("""COMPUTED_VALUE"""),"AICHMP02311066")</f>
        <v>AICHMP02311066</v>
      </c>
      <c r="K29" s="41" t="str">
        <f>IFERROR(__xludf.DUMMYFUNCTION("""COMPUTED_VALUE"""),"Macbook Pro	")</f>
        <v>Macbook Pro	</v>
      </c>
      <c r="L29" s="41" t="str">
        <f>IFERROR(__xludf.DUMMYFUNCTION("""COMPUTED_VALUE"""),"彭成瑋")</f>
        <v>彭成瑋</v>
      </c>
      <c r="M29" s="41" t="str">
        <f>IFERROR(__xludf.DUMMYFUNCTION("""COMPUTED_VALUE"""),"研發中心")</f>
        <v>研發中心</v>
      </c>
      <c r="N29" s="41" t="str">
        <f>IFERROR(__xludf.DUMMYFUNCTION("""COMPUTED_VALUE"""),"軟體工程部")</f>
        <v>軟體工程部</v>
      </c>
      <c r="O29" s="41" t="str">
        <f>IFERROR(__xludf.DUMMYFUNCTION("""COMPUTED_VALUE"""),"IOS團隊")</f>
        <v>IOS團隊</v>
      </c>
      <c r="P29" s="68">
        <f>IFERROR(__xludf.DUMMYFUNCTION("""COMPUTED_VALUE"""),2053.0)</f>
        <v>2053</v>
      </c>
      <c r="Q29" s="68">
        <f>IFERROR(__xludf.DUMMYFUNCTION("""COMPUTED_VALUE"""),2053.0)</f>
        <v>2053</v>
      </c>
      <c r="R29" s="68">
        <f>IFERROR(__xludf.DUMMYFUNCTION("""COMPUTED_VALUE"""),2053.0)</f>
        <v>2053</v>
      </c>
      <c r="S29" s="68">
        <f>IFERROR(__xludf.DUMMYFUNCTION("""COMPUTED_VALUE"""),2053.0)</f>
        <v>2053</v>
      </c>
      <c r="T29" s="68">
        <f>IFERROR(__xludf.DUMMYFUNCTION("""COMPUTED_VALUE"""),2053.0)</f>
        <v>2053</v>
      </c>
      <c r="U29" s="68">
        <f>IFERROR(__xludf.DUMMYFUNCTION("""COMPUTED_VALUE"""),2053.0)</f>
        <v>2053</v>
      </c>
      <c r="V29" s="68">
        <f>IFERROR(__xludf.DUMMYFUNCTION("""COMPUTED_VALUE"""),2053.0)</f>
        <v>2053</v>
      </c>
      <c r="W29" s="68">
        <f>IFERROR(__xludf.DUMMYFUNCTION("""COMPUTED_VALUE"""),2053.0)</f>
        <v>2053</v>
      </c>
      <c r="X29" s="68">
        <f>IFERROR(__xludf.DUMMYFUNCTION("""COMPUTED_VALUE"""),2053.0)</f>
        <v>2053</v>
      </c>
      <c r="Y29" s="68">
        <f>IFERROR(__xludf.DUMMYFUNCTION("""COMPUTED_VALUE"""),2053.0)</f>
        <v>2053</v>
      </c>
      <c r="Z29" s="41"/>
      <c r="AA29" s="41"/>
      <c r="AB29" s="68">
        <f>IFERROR(__xludf.DUMMYFUNCTION("""COMPUTED_VALUE"""),20530.0)</f>
        <v>20530</v>
      </c>
    </row>
    <row r="30">
      <c r="B30" s="41"/>
      <c r="C30" s="41"/>
      <c r="D30" s="41"/>
      <c r="E30" s="41"/>
      <c r="F30" s="41"/>
      <c r="G30" s="41"/>
      <c r="H30" s="41"/>
      <c r="I30" s="41"/>
      <c r="J30" s="41" t="str">
        <f>IFERROR(__xludf.DUMMYFUNCTION("""COMPUTED_VALUE"""),"AICHMP02311067")</f>
        <v>AICHMP02311067</v>
      </c>
      <c r="K30" s="41" t="str">
        <f>IFERROR(__xludf.DUMMYFUNCTION("""COMPUTED_VALUE"""),"Macbook Pro	")</f>
        <v>Macbook Pro	</v>
      </c>
      <c r="L30" s="41" t="str">
        <f>IFERROR(__xludf.DUMMYFUNCTION("""COMPUTED_VALUE"""),"何明政")</f>
        <v>何明政</v>
      </c>
      <c r="M30" s="41" t="str">
        <f>IFERROR(__xludf.DUMMYFUNCTION("""COMPUTED_VALUE"""),"執行長室")</f>
        <v>執行長室</v>
      </c>
      <c r="N30" s="41" t="str">
        <f>IFERROR(__xludf.DUMMYFUNCTION("""COMPUTED_VALUE"""),"執行長室")</f>
        <v>執行長室</v>
      </c>
      <c r="O30" s="41"/>
      <c r="P30" s="68">
        <f>IFERROR(__xludf.DUMMYFUNCTION("""COMPUTED_VALUE"""),2239.0)</f>
        <v>2239</v>
      </c>
      <c r="Q30" s="68">
        <f>IFERROR(__xludf.DUMMYFUNCTION("""COMPUTED_VALUE"""),2239.0)</f>
        <v>2239</v>
      </c>
      <c r="R30" s="68">
        <f>IFERROR(__xludf.DUMMYFUNCTION("""COMPUTED_VALUE"""),2239.0)</f>
        <v>2239</v>
      </c>
      <c r="S30" s="68">
        <f>IFERROR(__xludf.DUMMYFUNCTION("""COMPUTED_VALUE"""),2239.0)</f>
        <v>2239</v>
      </c>
      <c r="T30" s="68">
        <f>IFERROR(__xludf.DUMMYFUNCTION("""COMPUTED_VALUE"""),2239.0)</f>
        <v>2239</v>
      </c>
      <c r="U30" s="68">
        <f>IFERROR(__xludf.DUMMYFUNCTION("""COMPUTED_VALUE"""),2239.0)</f>
        <v>2239</v>
      </c>
      <c r="V30" s="68">
        <f>IFERROR(__xludf.DUMMYFUNCTION("""COMPUTED_VALUE"""),2239.0)</f>
        <v>2239</v>
      </c>
      <c r="W30" s="68">
        <f>IFERROR(__xludf.DUMMYFUNCTION("""COMPUTED_VALUE"""),2239.0)</f>
        <v>2239</v>
      </c>
      <c r="X30" s="68">
        <f>IFERROR(__xludf.DUMMYFUNCTION("""COMPUTED_VALUE"""),2239.0)</f>
        <v>2239</v>
      </c>
      <c r="Y30" s="68">
        <f>IFERROR(__xludf.DUMMYFUNCTION("""COMPUTED_VALUE"""),2239.0)</f>
        <v>2239</v>
      </c>
      <c r="Z30" s="41"/>
      <c r="AA30" s="41"/>
      <c r="AB30" s="68">
        <f>IFERROR(__xludf.DUMMYFUNCTION("""COMPUTED_VALUE"""),22390.0)</f>
        <v>22390</v>
      </c>
    </row>
    <row r="31">
      <c r="B31" s="41"/>
      <c r="C31" s="41"/>
      <c r="D31" s="41"/>
      <c r="E31" s="41"/>
      <c r="F31" s="41"/>
      <c r="G31" s="41"/>
      <c r="H31" s="41"/>
      <c r="I31" s="41"/>
      <c r="J31" s="41" t="str">
        <f>IFERROR(__xludf.DUMMYFUNCTION("""COMPUTED_VALUE"""),"AICHMP02311068")</f>
        <v>AICHMP02311068</v>
      </c>
      <c r="K31" s="41" t="str">
        <f>IFERROR(__xludf.DUMMYFUNCTION("""COMPUTED_VALUE"""),"Macbook Pro	")</f>
        <v>Macbook Pro	</v>
      </c>
      <c r="L31" s="41" t="str">
        <f>IFERROR(__xludf.DUMMYFUNCTION("""COMPUTED_VALUE"""),"黃喬")</f>
        <v>黃喬</v>
      </c>
      <c r="M31" s="41" t="str">
        <f>IFERROR(__xludf.DUMMYFUNCTION("""COMPUTED_VALUE"""),"研發中心")</f>
        <v>研發中心</v>
      </c>
      <c r="N31" s="41" t="str">
        <f>IFERROR(__xludf.DUMMYFUNCTION("""COMPUTED_VALUE"""),"軟體工程部")</f>
        <v>軟體工程部</v>
      </c>
      <c r="O31" s="41" t="str">
        <f>IFERROR(__xludf.DUMMYFUNCTION("""COMPUTED_VALUE"""),"IOS團隊")</f>
        <v>IOS團隊</v>
      </c>
      <c r="P31" s="68">
        <f>IFERROR(__xludf.DUMMYFUNCTION("""COMPUTED_VALUE"""),2239.0)</f>
        <v>2239</v>
      </c>
      <c r="Q31" s="68">
        <f>IFERROR(__xludf.DUMMYFUNCTION("""COMPUTED_VALUE"""),2239.0)</f>
        <v>2239</v>
      </c>
      <c r="R31" s="68">
        <f>IFERROR(__xludf.DUMMYFUNCTION("""COMPUTED_VALUE"""),2239.0)</f>
        <v>2239</v>
      </c>
      <c r="S31" s="68">
        <f>IFERROR(__xludf.DUMMYFUNCTION("""COMPUTED_VALUE"""),2239.0)</f>
        <v>2239</v>
      </c>
      <c r="T31" s="68">
        <f>IFERROR(__xludf.DUMMYFUNCTION("""COMPUTED_VALUE"""),2239.0)</f>
        <v>2239</v>
      </c>
      <c r="U31" s="68">
        <f>IFERROR(__xludf.DUMMYFUNCTION("""COMPUTED_VALUE"""),2239.0)</f>
        <v>2239</v>
      </c>
      <c r="V31" s="68">
        <f>IFERROR(__xludf.DUMMYFUNCTION("""COMPUTED_VALUE"""),2239.0)</f>
        <v>2239</v>
      </c>
      <c r="W31" s="68">
        <f>IFERROR(__xludf.DUMMYFUNCTION("""COMPUTED_VALUE"""),2239.0)</f>
        <v>2239</v>
      </c>
      <c r="X31" s="68">
        <f>IFERROR(__xludf.DUMMYFUNCTION("""COMPUTED_VALUE"""),2239.0)</f>
        <v>2239</v>
      </c>
      <c r="Y31" s="68">
        <f>IFERROR(__xludf.DUMMYFUNCTION("""COMPUTED_VALUE"""),2239.0)</f>
        <v>2239</v>
      </c>
      <c r="Z31" s="41"/>
      <c r="AA31" s="41"/>
      <c r="AB31" s="68">
        <f>IFERROR(__xludf.DUMMYFUNCTION("""COMPUTED_VALUE"""),22390.0)</f>
        <v>22390</v>
      </c>
    </row>
    <row r="32">
      <c r="B32" s="41"/>
      <c r="C32" s="41"/>
      <c r="D32" s="41"/>
      <c r="E32" s="41"/>
      <c r="F32" s="41"/>
      <c r="G32" s="41"/>
      <c r="H32" s="41"/>
      <c r="I32" s="41"/>
      <c r="J32" s="41" t="str">
        <f>IFERROR(__xludf.DUMMYFUNCTION("""COMPUTED_VALUE"""),"AICHMP02311069")</f>
        <v>AICHMP02311069</v>
      </c>
      <c r="K32" s="41" t="str">
        <f>IFERROR(__xludf.DUMMYFUNCTION("""COMPUTED_VALUE"""),"Macbook Pro	")</f>
        <v>Macbook Pro	</v>
      </c>
      <c r="L32" s="41" t="str">
        <f>IFERROR(__xludf.DUMMYFUNCTION("""COMPUTED_VALUE"""),"吳岱蓉")</f>
        <v>吳岱蓉</v>
      </c>
      <c r="M32" s="41" t="str">
        <f>IFERROR(__xludf.DUMMYFUNCTION("""COMPUTED_VALUE"""),"研發中心")</f>
        <v>研發中心</v>
      </c>
      <c r="N32" s="41" t="str">
        <f>IFERROR(__xludf.DUMMYFUNCTION("""COMPUTED_VALUE"""),"軟體工程部")</f>
        <v>軟體工程部</v>
      </c>
      <c r="O32" s="41" t="str">
        <f>IFERROR(__xludf.DUMMYFUNCTION("""COMPUTED_VALUE"""),"後端團隊")</f>
        <v>後端團隊</v>
      </c>
      <c r="P32" s="68">
        <f>IFERROR(__xludf.DUMMYFUNCTION("""COMPUTED_VALUE"""),2755.0)</f>
        <v>2755</v>
      </c>
      <c r="Q32" s="68">
        <f>IFERROR(__xludf.DUMMYFUNCTION("""COMPUTED_VALUE"""),2755.0)</f>
        <v>2755</v>
      </c>
      <c r="R32" s="68">
        <f>IFERROR(__xludf.DUMMYFUNCTION("""COMPUTED_VALUE"""),2755.0)</f>
        <v>2755</v>
      </c>
      <c r="S32" s="68">
        <f>IFERROR(__xludf.DUMMYFUNCTION("""COMPUTED_VALUE"""),2755.0)</f>
        <v>2755</v>
      </c>
      <c r="T32" s="68">
        <f>IFERROR(__xludf.DUMMYFUNCTION("""COMPUTED_VALUE"""),2755.0)</f>
        <v>2755</v>
      </c>
      <c r="U32" s="68">
        <f>IFERROR(__xludf.DUMMYFUNCTION("""COMPUTED_VALUE"""),2755.0)</f>
        <v>2755</v>
      </c>
      <c r="V32" s="68">
        <f>IFERROR(__xludf.DUMMYFUNCTION("""COMPUTED_VALUE"""),2755.0)</f>
        <v>2755</v>
      </c>
      <c r="W32" s="68">
        <f>IFERROR(__xludf.DUMMYFUNCTION("""COMPUTED_VALUE"""),2755.0)</f>
        <v>2755</v>
      </c>
      <c r="X32" s="68">
        <f>IFERROR(__xludf.DUMMYFUNCTION("""COMPUTED_VALUE"""),2755.0)</f>
        <v>2755</v>
      </c>
      <c r="Y32" s="68">
        <f>IFERROR(__xludf.DUMMYFUNCTION("""COMPUTED_VALUE"""),2755.0)</f>
        <v>2755</v>
      </c>
      <c r="Z32" s="68">
        <f>IFERROR(__xludf.DUMMYFUNCTION("""COMPUTED_VALUE"""),2755.0)</f>
        <v>2755</v>
      </c>
      <c r="AA32" s="68">
        <f>IFERROR(__xludf.DUMMYFUNCTION("""COMPUTED_VALUE"""),2755.0)</f>
        <v>2755</v>
      </c>
      <c r="AB32" s="68">
        <f>IFERROR(__xludf.DUMMYFUNCTION("""COMPUTED_VALUE"""),33060.0)</f>
        <v>33060</v>
      </c>
    </row>
    <row r="33">
      <c r="B33" s="41"/>
      <c r="C33" s="41"/>
      <c r="D33" s="41"/>
      <c r="E33" s="41"/>
      <c r="F33" s="41"/>
      <c r="G33" s="41"/>
      <c r="H33" s="41"/>
      <c r="I33" s="41"/>
      <c r="J33" s="41" t="str">
        <f>IFERROR(__xludf.DUMMYFUNCTION("""COMPUTED_VALUE"""),"AICHMP02311070")</f>
        <v>AICHMP02311070</v>
      </c>
      <c r="K33" s="41" t="str">
        <f>IFERROR(__xludf.DUMMYFUNCTION("""COMPUTED_VALUE"""),"Macbook Pro	")</f>
        <v>Macbook Pro	</v>
      </c>
      <c r="L33" s="41" t="str">
        <f>IFERROR(__xludf.DUMMYFUNCTION("""COMPUTED_VALUE"""),"王壯為")</f>
        <v>王壯為</v>
      </c>
      <c r="M33" s="41" t="str">
        <f>IFERROR(__xludf.DUMMYFUNCTION("""COMPUTED_VALUE"""),"管理中心")</f>
        <v>管理中心</v>
      </c>
      <c r="N33" s="41" t="str">
        <f>IFERROR(__xludf.DUMMYFUNCTION("""COMPUTED_VALUE"""),"資訊部")</f>
        <v>資訊部</v>
      </c>
      <c r="O33" s="41"/>
      <c r="P33" s="68">
        <f>IFERROR(__xludf.DUMMYFUNCTION("""COMPUTED_VALUE"""),2239.0)</f>
        <v>2239</v>
      </c>
      <c r="Q33" s="68">
        <f>IFERROR(__xludf.DUMMYFUNCTION("""COMPUTED_VALUE"""),2239.0)</f>
        <v>2239</v>
      </c>
      <c r="R33" s="68">
        <f>IFERROR(__xludf.DUMMYFUNCTION("""COMPUTED_VALUE"""),2239.0)</f>
        <v>2239</v>
      </c>
      <c r="S33" s="68">
        <f>IFERROR(__xludf.DUMMYFUNCTION("""COMPUTED_VALUE"""),2239.0)</f>
        <v>2239</v>
      </c>
      <c r="T33" s="68">
        <f>IFERROR(__xludf.DUMMYFUNCTION("""COMPUTED_VALUE"""),2239.0)</f>
        <v>2239</v>
      </c>
      <c r="U33" s="68">
        <f>IFERROR(__xludf.DUMMYFUNCTION("""COMPUTED_VALUE"""),2239.0)</f>
        <v>2239</v>
      </c>
      <c r="V33" s="68">
        <f>IFERROR(__xludf.DUMMYFUNCTION("""COMPUTED_VALUE"""),2239.0)</f>
        <v>2239</v>
      </c>
      <c r="W33" s="68">
        <f>IFERROR(__xludf.DUMMYFUNCTION("""COMPUTED_VALUE"""),2239.0)</f>
        <v>2239</v>
      </c>
      <c r="X33" s="68">
        <f>IFERROR(__xludf.DUMMYFUNCTION("""COMPUTED_VALUE"""),2239.0)</f>
        <v>2239</v>
      </c>
      <c r="Y33" s="68">
        <f>IFERROR(__xludf.DUMMYFUNCTION("""COMPUTED_VALUE"""),2239.0)</f>
        <v>2239</v>
      </c>
      <c r="Z33" s="41"/>
      <c r="AA33" s="41"/>
      <c r="AB33" s="68">
        <f>IFERROR(__xludf.DUMMYFUNCTION("""COMPUTED_VALUE"""),22390.0)</f>
        <v>22390</v>
      </c>
    </row>
    <row r="34">
      <c r="B34" s="41"/>
      <c r="C34" s="41"/>
      <c r="D34" s="41"/>
      <c r="E34" s="41"/>
      <c r="F34" s="41"/>
      <c r="G34" s="41"/>
      <c r="H34" s="41"/>
      <c r="I34" s="41"/>
      <c r="J34" s="41" t="str">
        <f>IFERROR(__xludf.DUMMYFUNCTION("""COMPUTED_VALUE"""),"AICHIP02311093")</f>
        <v>AICHIP02311093</v>
      </c>
      <c r="K34" s="41" t="str">
        <f>IFERROR(__xludf.DUMMYFUNCTION("""COMPUTED_VALUE"""),"iPad Air 5")</f>
        <v>iPad Air 5</v>
      </c>
      <c r="L34" s="41" t="str">
        <f>IFERROR(__xludf.DUMMYFUNCTION("""COMPUTED_VALUE"""),"潘宛逸")</f>
        <v>潘宛逸</v>
      </c>
      <c r="M34" s="41" t="str">
        <f>IFERROR(__xludf.DUMMYFUNCTION("""COMPUTED_VALUE"""),"行銷營運中心")</f>
        <v>行銷營運中心</v>
      </c>
      <c r="N34" s="41" t="str">
        <f>IFERROR(__xludf.DUMMYFUNCTION("""COMPUTED_VALUE"""),"銷售營運部")</f>
        <v>銷售營運部</v>
      </c>
      <c r="O34" s="41" t="str">
        <f>IFERROR(__xludf.DUMMYFUNCTION("""COMPUTED_VALUE"""),"銷售顧問團隊")</f>
        <v>銷售顧問團隊</v>
      </c>
      <c r="P34" s="68">
        <f>IFERROR(__xludf.DUMMYFUNCTION("""COMPUTED_VALUE"""),490.0)</f>
        <v>490</v>
      </c>
      <c r="Q34" s="68">
        <f>IFERROR(__xludf.DUMMYFUNCTION("""COMPUTED_VALUE"""),490.0)</f>
        <v>490</v>
      </c>
      <c r="R34" s="68">
        <f>IFERROR(__xludf.DUMMYFUNCTION("""COMPUTED_VALUE"""),490.0)</f>
        <v>490</v>
      </c>
      <c r="S34" s="68">
        <f>IFERROR(__xludf.DUMMYFUNCTION("""COMPUTED_VALUE"""),490.0)</f>
        <v>490</v>
      </c>
      <c r="T34" s="68">
        <f>IFERROR(__xludf.DUMMYFUNCTION("""COMPUTED_VALUE"""),490.0)</f>
        <v>490</v>
      </c>
      <c r="U34" s="68">
        <f>IFERROR(__xludf.DUMMYFUNCTION("""COMPUTED_VALUE"""),490.0)</f>
        <v>490</v>
      </c>
      <c r="V34" s="68">
        <f>IFERROR(__xludf.DUMMYFUNCTION("""COMPUTED_VALUE"""),490.0)</f>
        <v>490</v>
      </c>
      <c r="W34" s="68">
        <f>IFERROR(__xludf.DUMMYFUNCTION("""COMPUTED_VALUE"""),490.0)</f>
        <v>490</v>
      </c>
      <c r="X34" s="68">
        <f>IFERROR(__xludf.DUMMYFUNCTION("""COMPUTED_VALUE"""),490.0)</f>
        <v>490</v>
      </c>
      <c r="Y34" s="68">
        <f>IFERROR(__xludf.DUMMYFUNCTION("""COMPUTED_VALUE"""),490.0)</f>
        <v>490</v>
      </c>
      <c r="Z34" s="41"/>
      <c r="AA34" s="41"/>
      <c r="AB34" s="68">
        <f>IFERROR(__xludf.DUMMYFUNCTION("""COMPUTED_VALUE"""),4900.0)</f>
        <v>4900</v>
      </c>
    </row>
    <row r="35">
      <c r="B35" s="41"/>
      <c r="C35" s="41"/>
      <c r="D35" s="41"/>
      <c r="E35" s="41"/>
      <c r="F35" s="41"/>
      <c r="G35" s="41"/>
      <c r="H35" s="41"/>
      <c r="I35" s="41"/>
      <c r="J35" s="41" t="str">
        <f>IFERROR(__xludf.DUMMYFUNCTION("""COMPUTED_VALUE"""),"AICHOF02311005")</f>
        <v>AICHOF02311005</v>
      </c>
      <c r="K35" s="41" t="str">
        <f>IFERROR(__xludf.DUMMYFUNCTION("""COMPUTED_VALUE"""),"投影機")</f>
        <v>投影機</v>
      </c>
      <c r="L35" s="41" t="str">
        <f>IFERROR(__xludf.DUMMYFUNCTION("""COMPUTED_VALUE"""),"陳品宏")</f>
        <v>陳品宏</v>
      </c>
      <c r="M35" s="41" t="str">
        <f>IFERROR(__xludf.DUMMYFUNCTION("""COMPUTED_VALUE"""),"行銷營運中心")</f>
        <v>行銷營運中心</v>
      </c>
      <c r="N35" s="41" t="str">
        <f>IFERROR(__xludf.DUMMYFUNCTION("""COMPUTED_VALUE"""),"社群關係部")</f>
        <v>社群關係部</v>
      </c>
      <c r="O35" s="41" t="str">
        <f>IFERROR(__xludf.DUMMYFUNCTION("""COMPUTED_VALUE"""),"餐廳社群團隊")</f>
        <v>餐廳社群團隊</v>
      </c>
      <c r="P35" s="68">
        <f>IFERROR(__xludf.DUMMYFUNCTION("""COMPUTED_VALUE"""),368.0)</f>
        <v>368</v>
      </c>
      <c r="Q35" s="68">
        <f>IFERROR(__xludf.DUMMYFUNCTION("""COMPUTED_VALUE"""),368.0)</f>
        <v>368</v>
      </c>
      <c r="R35" s="68">
        <f>IFERROR(__xludf.DUMMYFUNCTION("""COMPUTED_VALUE"""),368.0)</f>
        <v>368</v>
      </c>
      <c r="S35" s="68">
        <f>IFERROR(__xludf.DUMMYFUNCTION("""COMPUTED_VALUE"""),368.0)</f>
        <v>368</v>
      </c>
      <c r="T35" s="68">
        <f>IFERROR(__xludf.DUMMYFUNCTION("""COMPUTED_VALUE"""),368.0)</f>
        <v>368</v>
      </c>
      <c r="U35" s="68">
        <f>IFERROR(__xludf.DUMMYFUNCTION("""COMPUTED_VALUE"""),368.0)</f>
        <v>368</v>
      </c>
      <c r="V35" s="68">
        <f>IFERROR(__xludf.DUMMYFUNCTION("""COMPUTED_VALUE"""),368.0)</f>
        <v>368</v>
      </c>
      <c r="W35" s="68">
        <f>IFERROR(__xludf.DUMMYFUNCTION("""COMPUTED_VALUE"""),368.0)</f>
        <v>368</v>
      </c>
      <c r="X35" s="68">
        <f>IFERROR(__xludf.DUMMYFUNCTION("""COMPUTED_VALUE"""),368.0)</f>
        <v>368</v>
      </c>
      <c r="Y35" s="68">
        <f>IFERROR(__xludf.DUMMYFUNCTION("""COMPUTED_VALUE"""),368.0)</f>
        <v>368</v>
      </c>
      <c r="Z35" s="41"/>
      <c r="AA35" s="41"/>
      <c r="AB35" s="68">
        <f>IFERROR(__xludf.DUMMYFUNCTION("""COMPUTED_VALUE"""),3680.0)</f>
        <v>3680</v>
      </c>
    </row>
    <row r="36">
      <c r="B36" s="41"/>
      <c r="C36" s="41"/>
      <c r="D36" s="41"/>
      <c r="E36" s="41"/>
      <c r="F36" s="41"/>
      <c r="G36" s="41"/>
      <c r="H36" s="41"/>
      <c r="I36" s="41"/>
      <c r="J36" s="41" t="str">
        <f>IFERROR(__xludf.DUMMYFUNCTION("""COMPUTED_VALUE"""),"AICHIP02312094")</f>
        <v>AICHIP02312094</v>
      </c>
      <c r="K36" s="41" t="str">
        <f>IFERROR(__xludf.DUMMYFUNCTION("""COMPUTED_VALUE"""),"整新 iPad 9 / 10.2吋 64G WiFi")</f>
        <v>整新 iPad 9 / 10.2吋 64G WiFi</v>
      </c>
      <c r="L36" s="41" t="str">
        <f>IFERROR(__xludf.DUMMYFUNCTION("""COMPUTED_VALUE"""),"王壯為")</f>
        <v>王壯為</v>
      </c>
      <c r="M36" s="41" t="str">
        <f>IFERROR(__xludf.DUMMYFUNCTION("""COMPUTED_VALUE"""),"管理中心")</f>
        <v>管理中心</v>
      </c>
      <c r="N36" s="41" t="str">
        <f>IFERROR(__xludf.DUMMYFUNCTION("""COMPUTED_VALUE"""),"資訊部")</f>
        <v>資訊部</v>
      </c>
      <c r="O36" s="41"/>
      <c r="P36" s="68">
        <f>IFERROR(__xludf.DUMMYFUNCTION("""COMPUTED_VALUE"""),275.0)</f>
        <v>275</v>
      </c>
      <c r="Q36" s="68">
        <f>IFERROR(__xludf.DUMMYFUNCTION("""COMPUTED_VALUE"""),275.0)</f>
        <v>275</v>
      </c>
      <c r="R36" s="68">
        <f>IFERROR(__xludf.DUMMYFUNCTION("""COMPUTED_VALUE"""),275.0)</f>
        <v>275</v>
      </c>
      <c r="S36" s="68">
        <f>IFERROR(__xludf.DUMMYFUNCTION("""COMPUTED_VALUE"""),275.0)</f>
        <v>275</v>
      </c>
      <c r="T36" s="68">
        <f>IFERROR(__xludf.DUMMYFUNCTION("""COMPUTED_VALUE"""),275.0)</f>
        <v>275</v>
      </c>
      <c r="U36" s="68">
        <f>IFERROR(__xludf.DUMMYFUNCTION("""COMPUTED_VALUE"""),275.0)</f>
        <v>275</v>
      </c>
      <c r="V36" s="68">
        <f>IFERROR(__xludf.DUMMYFUNCTION("""COMPUTED_VALUE"""),275.0)</f>
        <v>275</v>
      </c>
      <c r="W36" s="68">
        <f>IFERROR(__xludf.DUMMYFUNCTION("""COMPUTED_VALUE"""),275.0)</f>
        <v>275</v>
      </c>
      <c r="X36" s="68">
        <f>IFERROR(__xludf.DUMMYFUNCTION("""COMPUTED_VALUE"""),275.0)</f>
        <v>275</v>
      </c>
      <c r="Y36" s="68">
        <f>IFERROR(__xludf.DUMMYFUNCTION("""COMPUTED_VALUE"""),275.0)</f>
        <v>275</v>
      </c>
      <c r="Z36" s="68">
        <f>IFERROR(__xludf.DUMMYFUNCTION("""COMPUTED_VALUE"""),275.0)</f>
        <v>275</v>
      </c>
      <c r="AA36" s="41"/>
      <c r="AB36" s="68">
        <f>IFERROR(__xludf.DUMMYFUNCTION("""COMPUTED_VALUE"""),3025.0)</f>
        <v>3025</v>
      </c>
    </row>
    <row r="37">
      <c r="B37" s="41"/>
      <c r="C37" s="41"/>
      <c r="D37" s="41"/>
      <c r="E37" s="41"/>
      <c r="F37" s="41"/>
      <c r="G37" s="41"/>
      <c r="H37" s="41"/>
      <c r="I37" s="41"/>
      <c r="J37" s="41" t="str">
        <f>IFERROR(__xludf.DUMMYFUNCTION("""COMPUTED_VALUE"""),"AICHIP02312095")</f>
        <v>AICHIP02312095</v>
      </c>
      <c r="K37" s="41" t="str">
        <f>IFERROR(__xludf.DUMMYFUNCTION("""COMPUTED_VALUE"""),"iPad 9 / 10.2吋 64G WiFi _ 無法挑色")</f>
        <v>iPad 9 / 10.2吋 64G WiFi _ 無法挑色</v>
      </c>
      <c r="L37" s="41" t="str">
        <f>IFERROR(__xludf.DUMMYFUNCTION("""COMPUTED_VALUE"""),"蔡仲惠")</f>
        <v>蔡仲惠</v>
      </c>
      <c r="M37" s="41" t="str">
        <f>IFERROR(__xludf.DUMMYFUNCTION("""COMPUTED_VALUE"""),"客戶價值中心")</f>
        <v>客戶價值中心</v>
      </c>
      <c r="N37" s="41" t="str">
        <f>IFERROR(__xludf.DUMMYFUNCTION("""COMPUTED_VALUE"""),"客戶關係管理部")</f>
        <v>客戶關係管理部</v>
      </c>
      <c r="O37" s="41" t="str">
        <f>IFERROR(__xludf.DUMMYFUNCTION("""COMPUTED_VALUE"""),"客服團隊 POS/OMO")</f>
        <v>客服團隊 POS/OMO</v>
      </c>
      <c r="P37" s="68">
        <f>IFERROR(__xludf.DUMMYFUNCTION("""COMPUTED_VALUE"""),275.0)</f>
        <v>275</v>
      </c>
      <c r="Q37" s="68">
        <f>IFERROR(__xludf.DUMMYFUNCTION("""COMPUTED_VALUE"""),275.0)</f>
        <v>275</v>
      </c>
      <c r="R37" s="68">
        <f>IFERROR(__xludf.DUMMYFUNCTION("""COMPUTED_VALUE"""),275.0)</f>
        <v>275</v>
      </c>
      <c r="S37" s="68">
        <f>IFERROR(__xludf.DUMMYFUNCTION("""COMPUTED_VALUE"""),275.0)</f>
        <v>275</v>
      </c>
      <c r="T37" s="68">
        <f>IFERROR(__xludf.DUMMYFUNCTION("""COMPUTED_VALUE"""),275.0)</f>
        <v>275</v>
      </c>
      <c r="U37" s="68">
        <f>IFERROR(__xludf.DUMMYFUNCTION("""COMPUTED_VALUE"""),275.0)</f>
        <v>275</v>
      </c>
      <c r="V37" s="68">
        <f>IFERROR(__xludf.DUMMYFUNCTION("""COMPUTED_VALUE"""),275.0)</f>
        <v>275</v>
      </c>
      <c r="W37" s="68">
        <f>IFERROR(__xludf.DUMMYFUNCTION("""COMPUTED_VALUE"""),275.0)</f>
        <v>275</v>
      </c>
      <c r="X37" s="68">
        <f>IFERROR(__xludf.DUMMYFUNCTION("""COMPUTED_VALUE"""),275.0)</f>
        <v>275</v>
      </c>
      <c r="Y37" s="68">
        <f>IFERROR(__xludf.DUMMYFUNCTION("""COMPUTED_VALUE"""),275.0)</f>
        <v>275</v>
      </c>
      <c r="Z37" s="68">
        <f>IFERROR(__xludf.DUMMYFUNCTION("""COMPUTED_VALUE"""),275.0)</f>
        <v>275</v>
      </c>
      <c r="AA37" s="41"/>
      <c r="AB37" s="68">
        <f>IFERROR(__xludf.DUMMYFUNCTION("""COMPUTED_VALUE"""),3025.0)</f>
        <v>3025</v>
      </c>
    </row>
    <row r="38">
      <c r="B38" s="41"/>
      <c r="C38" s="41"/>
      <c r="D38" s="41"/>
      <c r="E38" s="41"/>
      <c r="F38" s="41"/>
      <c r="G38" s="41"/>
      <c r="H38" s="41"/>
      <c r="I38" s="41"/>
      <c r="J38" s="41" t="str">
        <f>IFERROR(__xludf.DUMMYFUNCTION("""COMPUTED_VALUE"""),"AICHMA02311058")</f>
        <v>AICHMA02311058</v>
      </c>
      <c r="K38" s="41" t="str">
        <f>IFERROR(__xludf.DUMMYFUNCTION("""COMPUTED_VALUE"""),"Macbook Air	")</f>
        <v>Macbook Air	</v>
      </c>
      <c r="L38" s="41" t="str">
        <f>IFERROR(__xludf.DUMMYFUNCTION("""COMPUTED_VALUE"""),"吳欣庭")</f>
        <v>吳欣庭</v>
      </c>
      <c r="M38" s="41" t="str">
        <f>IFERROR(__xludf.DUMMYFUNCTION("""COMPUTED_VALUE"""),"客戶價值中心")</f>
        <v>客戶價值中心</v>
      </c>
      <c r="N38" s="41" t="str">
        <f>IFERROR(__xludf.DUMMYFUNCTION("""COMPUTED_VALUE"""),"客戶關係管理部")</f>
        <v>客戶關係管理部</v>
      </c>
      <c r="O38" s="41" t="str">
        <f>IFERROR(__xludf.DUMMYFUNCTION("""COMPUTED_VALUE"""),"客服團隊 POS/OMO")</f>
        <v>客服團隊 POS/OMO</v>
      </c>
      <c r="P38" s="68">
        <f>IFERROR(__xludf.DUMMYFUNCTION("""COMPUTED_VALUE"""),883.0)</f>
        <v>883</v>
      </c>
      <c r="Q38" s="68">
        <f>IFERROR(__xludf.DUMMYFUNCTION("""COMPUTED_VALUE"""),883.0)</f>
        <v>883</v>
      </c>
      <c r="R38" s="68">
        <f>IFERROR(__xludf.DUMMYFUNCTION("""COMPUTED_VALUE"""),883.0)</f>
        <v>883</v>
      </c>
      <c r="S38" s="68">
        <f>IFERROR(__xludf.DUMMYFUNCTION("""COMPUTED_VALUE"""),883.0)</f>
        <v>883</v>
      </c>
      <c r="T38" s="68">
        <f>IFERROR(__xludf.DUMMYFUNCTION("""COMPUTED_VALUE"""),883.0)</f>
        <v>883</v>
      </c>
      <c r="U38" s="68">
        <f>IFERROR(__xludf.DUMMYFUNCTION("""COMPUTED_VALUE"""),883.0)</f>
        <v>883</v>
      </c>
      <c r="V38" s="68">
        <f>IFERROR(__xludf.DUMMYFUNCTION("""COMPUTED_VALUE"""),883.0)</f>
        <v>883</v>
      </c>
      <c r="W38" s="68">
        <f>IFERROR(__xludf.DUMMYFUNCTION("""COMPUTED_VALUE"""),883.0)</f>
        <v>883</v>
      </c>
      <c r="X38" s="68">
        <f>IFERROR(__xludf.DUMMYFUNCTION("""COMPUTED_VALUE"""),883.0)</f>
        <v>883</v>
      </c>
      <c r="Y38" s="68">
        <f>IFERROR(__xludf.DUMMYFUNCTION("""COMPUTED_VALUE"""),883.0)</f>
        <v>883</v>
      </c>
      <c r="Z38" s="68">
        <f>IFERROR(__xludf.DUMMYFUNCTION("""COMPUTED_VALUE"""),883.0)</f>
        <v>883</v>
      </c>
      <c r="AA38" s="41"/>
      <c r="AB38" s="68">
        <f>IFERROR(__xludf.DUMMYFUNCTION("""COMPUTED_VALUE"""),9713.0)</f>
        <v>9713</v>
      </c>
    </row>
    <row r="39">
      <c r="B39" s="41"/>
      <c r="C39" s="41"/>
      <c r="D39" s="41"/>
      <c r="E39" s="41"/>
      <c r="F39" s="41"/>
      <c r="G39" s="41"/>
      <c r="H39" s="41"/>
      <c r="I39" s="41"/>
      <c r="J39" s="41" t="str">
        <f>IFERROR(__xludf.DUMMYFUNCTION("""COMPUTED_VALUE"""),"AICHIP02401096")</f>
        <v>AICHIP02401096</v>
      </c>
      <c r="K39" s="41" t="str">
        <f>IFERROR(__xludf.DUMMYFUNCTION("""COMPUTED_VALUE"""),"iPad 9 / 10.2吋 64G WiFi _ 無法挑色")</f>
        <v>iPad 9 / 10.2吋 64G WiFi _ 無法挑色</v>
      </c>
      <c r="L39" s="41" t="str">
        <f>IFERROR(__xludf.DUMMYFUNCTION("""COMPUTED_VALUE"""),"高克瑋")</f>
        <v>高克瑋</v>
      </c>
      <c r="M39" s="41" t="str">
        <f>IFERROR(__xludf.DUMMYFUNCTION("""COMPUTED_VALUE"""),"行銷營運中心")</f>
        <v>行銷營運中心</v>
      </c>
      <c r="N39" s="41" t="str">
        <f>IFERROR(__xludf.DUMMYFUNCTION("""COMPUTED_VALUE"""),"銷售營運部")</f>
        <v>銷售營運部</v>
      </c>
      <c r="O39" s="41"/>
      <c r="P39" s="68">
        <f>IFERROR(__xludf.DUMMYFUNCTION("""COMPUTED_VALUE"""),275.0)</f>
        <v>275</v>
      </c>
      <c r="Q39" s="68">
        <f>IFERROR(__xludf.DUMMYFUNCTION("""COMPUTED_VALUE"""),275.0)</f>
        <v>275</v>
      </c>
      <c r="R39" s="68">
        <f>IFERROR(__xludf.DUMMYFUNCTION("""COMPUTED_VALUE"""),275.0)</f>
        <v>275</v>
      </c>
      <c r="S39" s="68">
        <f>IFERROR(__xludf.DUMMYFUNCTION("""COMPUTED_VALUE"""),275.0)</f>
        <v>275</v>
      </c>
      <c r="T39" s="68">
        <f>IFERROR(__xludf.DUMMYFUNCTION("""COMPUTED_VALUE"""),275.0)</f>
        <v>275</v>
      </c>
      <c r="U39" s="68">
        <f>IFERROR(__xludf.DUMMYFUNCTION("""COMPUTED_VALUE"""),275.0)</f>
        <v>275</v>
      </c>
      <c r="V39" s="68">
        <f>IFERROR(__xludf.DUMMYFUNCTION("""COMPUTED_VALUE"""),275.0)</f>
        <v>275</v>
      </c>
      <c r="W39" s="68">
        <f>IFERROR(__xludf.DUMMYFUNCTION("""COMPUTED_VALUE"""),275.0)</f>
        <v>275</v>
      </c>
      <c r="X39" s="68">
        <f>IFERROR(__xludf.DUMMYFUNCTION("""COMPUTED_VALUE"""),275.0)</f>
        <v>275</v>
      </c>
      <c r="Y39" s="68">
        <f>IFERROR(__xludf.DUMMYFUNCTION("""COMPUTED_VALUE"""),275.0)</f>
        <v>275</v>
      </c>
      <c r="Z39" s="68">
        <f>IFERROR(__xludf.DUMMYFUNCTION("""COMPUTED_VALUE"""),275.0)</f>
        <v>275</v>
      </c>
      <c r="AA39" s="68">
        <f>IFERROR(__xludf.DUMMYFUNCTION("""COMPUTED_VALUE"""),275.0)</f>
        <v>275</v>
      </c>
      <c r="AB39" s="68">
        <f>IFERROR(__xludf.DUMMYFUNCTION("""COMPUTED_VALUE"""),3300.0)</f>
        <v>3300</v>
      </c>
    </row>
    <row r="40">
      <c r="B40" s="41"/>
      <c r="C40" s="41"/>
      <c r="D40" s="41"/>
      <c r="E40" s="41"/>
      <c r="F40" s="41"/>
      <c r="G40" s="41"/>
      <c r="H40" s="41"/>
      <c r="I40" s="41"/>
      <c r="J40" s="41" t="str">
        <f>IFERROR(__xludf.DUMMYFUNCTION("""COMPUTED_VALUE"""),"AICHMA02401059")</f>
        <v>AICHMA02401059</v>
      </c>
      <c r="K40" s="41" t="str">
        <f>IFERROR(__xludf.DUMMYFUNCTION("""COMPUTED_VALUE"""),"Macbook Air	")</f>
        <v>Macbook Air	</v>
      </c>
      <c r="L40" s="41" t="str">
        <f>IFERROR(__xludf.DUMMYFUNCTION("""COMPUTED_VALUE"""),"黃如蘭")</f>
        <v>黃如蘭</v>
      </c>
      <c r="M40" s="41" t="str">
        <f>IFERROR(__xludf.DUMMYFUNCTION("""COMPUTED_VALUE"""),"客戶價值中心")</f>
        <v>客戶價值中心</v>
      </c>
      <c r="N40" s="41" t="str">
        <f>IFERROR(__xludf.DUMMYFUNCTION("""COMPUTED_VALUE"""),"客戶關係管理部")</f>
        <v>客戶關係管理部</v>
      </c>
      <c r="O40" s="41" t="str">
        <f>IFERROR(__xludf.DUMMYFUNCTION("""COMPUTED_VALUE"""),"續約管理團隊")</f>
        <v>續約管理團隊</v>
      </c>
      <c r="P40" s="68">
        <f>IFERROR(__xludf.DUMMYFUNCTION("""COMPUTED_VALUE"""),760.0)</f>
        <v>760</v>
      </c>
      <c r="Q40" s="68">
        <f>IFERROR(__xludf.DUMMYFUNCTION("""COMPUTED_VALUE"""),760.0)</f>
        <v>760</v>
      </c>
      <c r="R40" s="68">
        <f>IFERROR(__xludf.DUMMYFUNCTION("""COMPUTED_VALUE"""),760.0)</f>
        <v>760</v>
      </c>
      <c r="S40" s="68">
        <f>IFERROR(__xludf.DUMMYFUNCTION("""COMPUTED_VALUE"""),760.0)</f>
        <v>760</v>
      </c>
      <c r="T40" s="68">
        <f>IFERROR(__xludf.DUMMYFUNCTION("""COMPUTED_VALUE"""),760.0)</f>
        <v>760</v>
      </c>
      <c r="U40" s="68">
        <f>IFERROR(__xludf.DUMMYFUNCTION("""COMPUTED_VALUE"""),760.0)</f>
        <v>760</v>
      </c>
      <c r="V40" s="68">
        <f>IFERROR(__xludf.DUMMYFUNCTION("""COMPUTED_VALUE"""),760.0)</f>
        <v>760</v>
      </c>
      <c r="W40" s="68">
        <f>IFERROR(__xludf.DUMMYFUNCTION("""COMPUTED_VALUE"""),760.0)</f>
        <v>760</v>
      </c>
      <c r="X40" s="68">
        <f>IFERROR(__xludf.DUMMYFUNCTION("""COMPUTED_VALUE"""),760.0)</f>
        <v>760</v>
      </c>
      <c r="Y40" s="68">
        <f>IFERROR(__xludf.DUMMYFUNCTION("""COMPUTED_VALUE"""),760.0)</f>
        <v>760</v>
      </c>
      <c r="Z40" s="68">
        <f>IFERROR(__xludf.DUMMYFUNCTION("""COMPUTED_VALUE"""),760.0)</f>
        <v>760</v>
      </c>
      <c r="AA40" s="68">
        <f>IFERROR(__xludf.DUMMYFUNCTION("""COMPUTED_VALUE"""),760.0)</f>
        <v>760</v>
      </c>
      <c r="AB40" s="68">
        <f>IFERROR(__xludf.DUMMYFUNCTION("""COMPUTED_VALUE"""),9120.0)</f>
        <v>9120</v>
      </c>
    </row>
    <row r="41">
      <c r="B41" s="41"/>
      <c r="C41" s="41"/>
      <c r="D41" s="41"/>
      <c r="E41" s="41"/>
      <c r="F41" s="41"/>
      <c r="G41" s="41"/>
      <c r="H41" s="41"/>
      <c r="I41" s="41"/>
      <c r="J41" s="41" t="str">
        <f>IFERROR(__xludf.DUMMYFUNCTION("""COMPUTED_VALUE"""),"AICHMP02402071")</f>
        <v>AICHMP02402071</v>
      </c>
      <c r="K41" s="41" t="str">
        <f>IFERROR(__xludf.DUMMYFUNCTION("""COMPUTED_VALUE"""),"Macbook Pro 14寸")</f>
        <v>Macbook Pro 14寸</v>
      </c>
      <c r="L41" s="41" t="str">
        <f>IFERROR(__xludf.DUMMYFUNCTION("""COMPUTED_VALUE"""),"陳乙山")</f>
        <v>陳乙山</v>
      </c>
      <c r="M41" s="41" t="str">
        <f>IFERROR(__xludf.DUMMYFUNCTION("""COMPUTED_VALUE"""),"研發中心")</f>
        <v>研發中心</v>
      </c>
      <c r="N41" s="41" t="str">
        <f>IFERROR(__xludf.DUMMYFUNCTION("""COMPUTED_VALUE"""),"軟體工程部")</f>
        <v>軟體工程部</v>
      </c>
      <c r="O41" s="41" t="str">
        <f>IFERROR(__xludf.DUMMYFUNCTION("""COMPUTED_VALUE"""),"前端團隊")</f>
        <v>前端團隊</v>
      </c>
      <c r="P41" s="68">
        <f>IFERROR(__xludf.DUMMYFUNCTION("""COMPUTED_VALUE"""),1719.0)</f>
        <v>1719</v>
      </c>
      <c r="Q41" s="68">
        <f>IFERROR(__xludf.DUMMYFUNCTION("""COMPUTED_VALUE"""),1719.0)</f>
        <v>1719</v>
      </c>
      <c r="R41" s="68">
        <f>IFERROR(__xludf.DUMMYFUNCTION("""COMPUTED_VALUE"""),1719.0)</f>
        <v>1719</v>
      </c>
      <c r="S41" s="68">
        <f>IFERROR(__xludf.DUMMYFUNCTION("""COMPUTED_VALUE"""),1719.0)</f>
        <v>1719</v>
      </c>
      <c r="T41" s="68">
        <f>IFERROR(__xludf.DUMMYFUNCTION("""COMPUTED_VALUE"""),1719.0)</f>
        <v>1719</v>
      </c>
      <c r="U41" s="68">
        <f>IFERROR(__xludf.DUMMYFUNCTION("""COMPUTED_VALUE"""),1719.0)</f>
        <v>1719</v>
      </c>
      <c r="V41" s="68">
        <f>IFERROR(__xludf.DUMMYFUNCTION("""COMPUTED_VALUE"""),1719.0)</f>
        <v>1719</v>
      </c>
      <c r="W41" s="68">
        <f>IFERROR(__xludf.DUMMYFUNCTION("""COMPUTED_VALUE"""),1719.0)</f>
        <v>1719</v>
      </c>
      <c r="X41" s="68">
        <f>IFERROR(__xludf.DUMMYFUNCTION("""COMPUTED_VALUE"""),1719.0)</f>
        <v>1719</v>
      </c>
      <c r="Y41" s="68">
        <f>IFERROR(__xludf.DUMMYFUNCTION("""COMPUTED_VALUE"""),1719.0)</f>
        <v>1719</v>
      </c>
      <c r="Z41" s="68">
        <f>IFERROR(__xludf.DUMMYFUNCTION("""COMPUTED_VALUE"""),1719.0)</f>
        <v>1719</v>
      </c>
      <c r="AA41" s="68">
        <f>IFERROR(__xludf.DUMMYFUNCTION("""COMPUTED_VALUE"""),1719.0)</f>
        <v>1719</v>
      </c>
      <c r="AB41" s="68">
        <f>IFERROR(__xludf.DUMMYFUNCTION("""COMPUTED_VALUE"""),20628.0)</f>
        <v>20628</v>
      </c>
    </row>
    <row r="42">
      <c r="B42" s="41"/>
      <c r="C42" s="41"/>
      <c r="D42" s="41"/>
      <c r="E42" s="41"/>
      <c r="F42" s="41"/>
      <c r="G42" s="41"/>
      <c r="H42" s="41"/>
      <c r="I42" s="41"/>
      <c r="J42" s="41" t="str">
        <f>IFERROR(__xludf.DUMMYFUNCTION("""COMPUTED_VALUE"""),"AICHIP02402097")</f>
        <v>AICHIP02402097</v>
      </c>
      <c r="K42" s="41" t="str">
        <f>IFERROR(__xludf.DUMMYFUNCTION("""COMPUTED_VALUE"""),"iPad 9 / 10.2吋 64G WiFi _ 無法挑色")</f>
        <v>iPad 9 / 10.2吋 64G WiFi _ 無法挑色</v>
      </c>
      <c r="L42" s="41" t="str">
        <f>IFERROR(__xludf.DUMMYFUNCTION("""COMPUTED_VALUE"""),"鍾志杰")</f>
        <v>鍾志杰</v>
      </c>
      <c r="M42" s="41" t="str">
        <f>IFERROR(__xludf.DUMMYFUNCTION("""COMPUTED_VALUE"""),"行銷營運中心")</f>
        <v>行銷營運中心</v>
      </c>
      <c r="N42" s="41" t="str">
        <f>IFERROR(__xludf.DUMMYFUNCTION("""COMPUTED_VALUE"""),"銷售營運部")</f>
        <v>銷售營運部</v>
      </c>
      <c r="O42" s="41" t="str">
        <f>IFERROR(__xludf.DUMMYFUNCTION("""COMPUTED_VALUE"""),"銷售顧問團隊")</f>
        <v>銷售顧問團隊</v>
      </c>
      <c r="P42" s="68">
        <f>IFERROR(__xludf.DUMMYFUNCTION("""COMPUTED_VALUE"""),274.0)</f>
        <v>274</v>
      </c>
      <c r="Q42" s="68">
        <f>IFERROR(__xludf.DUMMYFUNCTION("""COMPUTED_VALUE"""),274.0)</f>
        <v>274</v>
      </c>
      <c r="R42" s="68">
        <f>IFERROR(__xludf.DUMMYFUNCTION("""COMPUTED_VALUE"""),274.0)</f>
        <v>274</v>
      </c>
      <c r="S42" s="68">
        <f>IFERROR(__xludf.DUMMYFUNCTION("""COMPUTED_VALUE"""),274.0)</f>
        <v>274</v>
      </c>
      <c r="T42" s="68">
        <f>IFERROR(__xludf.DUMMYFUNCTION("""COMPUTED_VALUE"""),274.0)</f>
        <v>274</v>
      </c>
      <c r="U42" s="68">
        <f>IFERROR(__xludf.DUMMYFUNCTION("""COMPUTED_VALUE"""),274.0)</f>
        <v>274</v>
      </c>
      <c r="V42" s="68">
        <f>IFERROR(__xludf.DUMMYFUNCTION("""COMPUTED_VALUE"""),274.0)</f>
        <v>274</v>
      </c>
      <c r="W42" s="68">
        <f>IFERROR(__xludf.DUMMYFUNCTION("""COMPUTED_VALUE"""),274.0)</f>
        <v>274</v>
      </c>
      <c r="X42" s="68">
        <f>IFERROR(__xludf.DUMMYFUNCTION("""COMPUTED_VALUE"""),274.0)</f>
        <v>274</v>
      </c>
      <c r="Y42" s="68">
        <f>IFERROR(__xludf.DUMMYFUNCTION("""COMPUTED_VALUE"""),274.0)</f>
        <v>274</v>
      </c>
      <c r="Z42" s="68">
        <f>IFERROR(__xludf.DUMMYFUNCTION("""COMPUTED_VALUE"""),274.0)</f>
        <v>274</v>
      </c>
      <c r="AA42" s="68">
        <f>IFERROR(__xludf.DUMMYFUNCTION("""COMPUTED_VALUE"""),274.0)</f>
        <v>274</v>
      </c>
      <c r="AB42" s="68">
        <f>IFERROR(__xludf.DUMMYFUNCTION("""COMPUTED_VALUE"""),3288.0)</f>
        <v>3288</v>
      </c>
    </row>
    <row r="43">
      <c r="B43" s="41"/>
      <c r="C43" s="41"/>
      <c r="D43" s="41"/>
      <c r="E43" s="41"/>
      <c r="F43" s="41"/>
      <c r="G43" s="41"/>
      <c r="H43" s="41"/>
      <c r="I43" s="41"/>
      <c r="J43" s="41" t="str">
        <f>IFERROR(__xludf.DUMMYFUNCTION("""COMPUTED_VALUE"""),"AICHMC02402020")</f>
        <v>AICHMC02402020</v>
      </c>
      <c r="K43" s="41" t="str">
        <f>IFERROR(__xludf.DUMMYFUNCTION("""COMPUTED_VALUE"""),"Mac Mini")</f>
        <v>Mac Mini</v>
      </c>
      <c r="L43" s="41" t="str">
        <f>IFERROR(__xludf.DUMMYFUNCTION("""COMPUTED_VALUE"""),"吳德毅")</f>
        <v>吳德毅</v>
      </c>
      <c r="M43" s="41" t="str">
        <f>IFERROR(__xludf.DUMMYFUNCTION("""COMPUTED_VALUE"""),"研發中心")</f>
        <v>研發中心</v>
      </c>
      <c r="N43" s="41" t="str">
        <f>IFERROR(__xludf.DUMMYFUNCTION("""COMPUTED_VALUE"""),"軟體工程部")</f>
        <v>軟體工程部</v>
      </c>
      <c r="O43" s="41" t="str">
        <f>IFERROR(__xludf.DUMMYFUNCTION("""COMPUTED_VALUE"""),"QE團隊")</f>
        <v>QE團隊</v>
      </c>
      <c r="P43" s="68">
        <f>IFERROR(__xludf.DUMMYFUNCTION("""COMPUTED_VALUE"""),614.0)</f>
        <v>614</v>
      </c>
      <c r="Q43" s="68">
        <f>IFERROR(__xludf.DUMMYFUNCTION("""COMPUTED_VALUE"""),614.0)</f>
        <v>614</v>
      </c>
      <c r="R43" s="68">
        <f>IFERROR(__xludf.DUMMYFUNCTION("""COMPUTED_VALUE"""),614.0)</f>
        <v>614</v>
      </c>
      <c r="S43" s="68">
        <f>IFERROR(__xludf.DUMMYFUNCTION("""COMPUTED_VALUE"""),614.0)</f>
        <v>614</v>
      </c>
      <c r="T43" s="68">
        <f>IFERROR(__xludf.DUMMYFUNCTION("""COMPUTED_VALUE"""),614.0)</f>
        <v>614</v>
      </c>
      <c r="U43" s="68">
        <f>IFERROR(__xludf.DUMMYFUNCTION("""COMPUTED_VALUE"""),614.0)</f>
        <v>614</v>
      </c>
      <c r="V43" s="68">
        <f>IFERROR(__xludf.DUMMYFUNCTION("""COMPUTED_VALUE"""),614.0)</f>
        <v>614</v>
      </c>
      <c r="W43" s="68">
        <f>IFERROR(__xludf.DUMMYFUNCTION("""COMPUTED_VALUE"""),614.0)</f>
        <v>614</v>
      </c>
      <c r="X43" s="68">
        <f>IFERROR(__xludf.DUMMYFUNCTION("""COMPUTED_VALUE"""),614.0)</f>
        <v>614</v>
      </c>
      <c r="Y43" s="68">
        <f>IFERROR(__xludf.DUMMYFUNCTION("""COMPUTED_VALUE"""),614.0)</f>
        <v>614</v>
      </c>
      <c r="Z43" s="68">
        <f>IFERROR(__xludf.DUMMYFUNCTION("""COMPUTED_VALUE"""),614.0)</f>
        <v>614</v>
      </c>
      <c r="AA43" s="68">
        <f>IFERROR(__xludf.DUMMYFUNCTION("""COMPUTED_VALUE"""),614.0)</f>
        <v>614</v>
      </c>
      <c r="AB43" s="68">
        <f>IFERROR(__xludf.DUMMYFUNCTION("""COMPUTED_VALUE"""),7368.0)</f>
        <v>7368</v>
      </c>
    </row>
    <row r="44">
      <c r="B44" s="41"/>
      <c r="C44" s="41"/>
      <c r="D44" s="41"/>
      <c r="E44" s="41"/>
      <c r="F44" s="41"/>
      <c r="G44" s="41"/>
      <c r="H44" s="41"/>
      <c r="I44" s="41"/>
      <c r="J44" s="41" t="str">
        <f>IFERROR(__xludf.DUMMYFUNCTION("""COMPUTED_VALUE"""),"AICHMC02402021")</f>
        <v>AICHMC02402021</v>
      </c>
      <c r="K44" s="41" t="str">
        <f>IFERROR(__xludf.DUMMYFUNCTION("""COMPUTED_VALUE"""),"Mac Mini")</f>
        <v>Mac Mini</v>
      </c>
      <c r="L44" s="41" t="str">
        <f>IFERROR(__xludf.DUMMYFUNCTION("""COMPUTED_VALUE"""),"吳德毅")</f>
        <v>吳德毅</v>
      </c>
      <c r="M44" s="41" t="str">
        <f>IFERROR(__xludf.DUMMYFUNCTION("""COMPUTED_VALUE"""),"研發中心")</f>
        <v>研發中心</v>
      </c>
      <c r="N44" s="41" t="str">
        <f>IFERROR(__xludf.DUMMYFUNCTION("""COMPUTED_VALUE"""),"軟體工程部")</f>
        <v>軟體工程部</v>
      </c>
      <c r="O44" s="41" t="str">
        <f>IFERROR(__xludf.DUMMYFUNCTION("""COMPUTED_VALUE"""),"QE團隊")</f>
        <v>QE團隊</v>
      </c>
      <c r="P44" s="68">
        <f>IFERROR(__xludf.DUMMYFUNCTION("""COMPUTED_VALUE"""),614.0)</f>
        <v>614</v>
      </c>
      <c r="Q44" s="68">
        <f>IFERROR(__xludf.DUMMYFUNCTION("""COMPUTED_VALUE"""),614.0)</f>
        <v>614</v>
      </c>
      <c r="R44" s="68">
        <f>IFERROR(__xludf.DUMMYFUNCTION("""COMPUTED_VALUE"""),614.0)</f>
        <v>614</v>
      </c>
      <c r="S44" s="68">
        <f>IFERROR(__xludf.DUMMYFUNCTION("""COMPUTED_VALUE"""),614.0)</f>
        <v>614</v>
      </c>
      <c r="T44" s="68">
        <f>IFERROR(__xludf.DUMMYFUNCTION("""COMPUTED_VALUE"""),614.0)</f>
        <v>614</v>
      </c>
      <c r="U44" s="68">
        <f>IFERROR(__xludf.DUMMYFUNCTION("""COMPUTED_VALUE"""),614.0)</f>
        <v>614</v>
      </c>
      <c r="V44" s="68">
        <f>IFERROR(__xludf.DUMMYFUNCTION("""COMPUTED_VALUE"""),614.0)</f>
        <v>614</v>
      </c>
      <c r="W44" s="68">
        <f>IFERROR(__xludf.DUMMYFUNCTION("""COMPUTED_VALUE"""),614.0)</f>
        <v>614</v>
      </c>
      <c r="X44" s="68">
        <f>IFERROR(__xludf.DUMMYFUNCTION("""COMPUTED_VALUE"""),614.0)</f>
        <v>614</v>
      </c>
      <c r="Y44" s="68">
        <f>IFERROR(__xludf.DUMMYFUNCTION("""COMPUTED_VALUE"""),614.0)</f>
        <v>614</v>
      </c>
      <c r="Z44" s="68">
        <f>IFERROR(__xludf.DUMMYFUNCTION("""COMPUTED_VALUE"""),614.0)</f>
        <v>614</v>
      </c>
      <c r="AA44" s="68">
        <f>IFERROR(__xludf.DUMMYFUNCTION("""COMPUTED_VALUE"""),614.0)</f>
        <v>614</v>
      </c>
      <c r="AB44" s="68">
        <f>IFERROR(__xludf.DUMMYFUNCTION("""COMPUTED_VALUE"""),7368.0)</f>
        <v>7368</v>
      </c>
    </row>
    <row r="45">
      <c r="B45" s="41"/>
      <c r="C45" s="41"/>
      <c r="D45" s="41"/>
      <c r="E45" s="41"/>
      <c r="F45" s="41"/>
      <c r="G45" s="41"/>
      <c r="H45" s="41"/>
      <c r="I45" s="41"/>
      <c r="J45" s="41" t="str">
        <f>IFERROR(__xludf.DUMMYFUNCTION("""COMPUTED_VALUE"""),"AICHOF02403006")</f>
        <v>AICHOF02403006</v>
      </c>
      <c r="K45" s="41" t="str">
        <f>IFERROR(__xludf.DUMMYFUNCTION("""COMPUTED_VALUE"""),"整新 TSP100USB（不含保固及維修補助")</f>
        <v>整新 TSP100USB（不含保固及維修補助</v>
      </c>
      <c r="L45" s="41" t="str">
        <f>IFERROR(__xludf.DUMMYFUNCTION("""COMPUTED_VALUE"""),"高克瑋")</f>
        <v>高克瑋</v>
      </c>
      <c r="M45" s="41" t="str">
        <f>IFERROR(__xludf.DUMMYFUNCTION("""COMPUTED_VALUE"""),"行銷營運中心")</f>
        <v>行銷營運中心</v>
      </c>
      <c r="N45" s="41" t="str">
        <f>IFERROR(__xludf.DUMMYFUNCTION("""COMPUTED_VALUE"""),"銷售營運部")</f>
        <v>銷售營運部</v>
      </c>
      <c r="O45" s="41"/>
      <c r="P45" s="68">
        <f>IFERROR(__xludf.DUMMYFUNCTION("""COMPUTED_VALUE"""),176.0)</f>
        <v>176</v>
      </c>
      <c r="Q45" s="68">
        <f>IFERROR(__xludf.DUMMYFUNCTION("""COMPUTED_VALUE"""),176.0)</f>
        <v>176</v>
      </c>
      <c r="R45" s="68">
        <f>IFERROR(__xludf.DUMMYFUNCTION("""COMPUTED_VALUE"""),176.0)</f>
        <v>176</v>
      </c>
      <c r="S45" s="68">
        <f>IFERROR(__xludf.DUMMYFUNCTION("""COMPUTED_VALUE"""),176.0)</f>
        <v>176</v>
      </c>
      <c r="T45" s="68">
        <f>IFERROR(__xludf.DUMMYFUNCTION("""COMPUTED_VALUE"""),176.0)</f>
        <v>176</v>
      </c>
      <c r="U45" s="68">
        <f>IFERROR(__xludf.DUMMYFUNCTION("""COMPUTED_VALUE"""),176.0)</f>
        <v>176</v>
      </c>
      <c r="V45" s="68">
        <f>IFERROR(__xludf.DUMMYFUNCTION("""COMPUTED_VALUE"""),176.0)</f>
        <v>176</v>
      </c>
      <c r="W45" s="68">
        <f>IFERROR(__xludf.DUMMYFUNCTION("""COMPUTED_VALUE"""),176.0)</f>
        <v>176</v>
      </c>
      <c r="X45" s="68">
        <f>IFERROR(__xludf.DUMMYFUNCTION("""COMPUTED_VALUE"""),176.0)</f>
        <v>176</v>
      </c>
      <c r="Y45" s="68">
        <f>IFERROR(__xludf.DUMMYFUNCTION("""COMPUTED_VALUE"""),176.0)</f>
        <v>176</v>
      </c>
      <c r="Z45" s="68">
        <f>IFERROR(__xludf.DUMMYFUNCTION("""COMPUTED_VALUE"""),176.0)</f>
        <v>176</v>
      </c>
      <c r="AA45" s="68">
        <f>IFERROR(__xludf.DUMMYFUNCTION("""COMPUTED_VALUE"""),176.0)</f>
        <v>176</v>
      </c>
      <c r="AB45" s="68">
        <f>IFERROR(__xludf.DUMMYFUNCTION("""COMPUTED_VALUE"""),2112.0)</f>
        <v>2112</v>
      </c>
    </row>
    <row r="46">
      <c r="B46" s="41"/>
      <c r="C46" s="41"/>
      <c r="D46" s="41"/>
      <c r="E46" s="41"/>
      <c r="F46" s="41"/>
      <c r="G46" s="41"/>
      <c r="H46" s="41"/>
      <c r="I46" s="41"/>
      <c r="J46" s="41" t="str">
        <f>IFERROR(__xludf.DUMMYFUNCTION("""COMPUTED_VALUE"""),"AICHMA02403060")</f>
        <v>AICHMA02403060</v>
      </c>
      <c r="K46" s="41" t="str">
        <f>IFERROR(__xludf.DUMMYFUNCTION("""COMPUTED_VALUE"""),"Macbook Air")</f>
        <v>Macbook Air</v>
      </c>
      <c r="L46" s="41" t="str">
        <f>IFERROR(__xludf.DUMMYFUNCTION("""COMPUTED_VALUE"""),"蔡仲惠")</f>
        <v>蔡仲惠</v>
      </c>
      <c r="M46" s="41" t="str">
        <f>IFERROR(__xludf.DUMMYFUNCTION("""COMPUTED_VALUE"""),"客戶價值中心")</f>
        <v>客戶價值中心</v>
      </c>
      <c r="N46" s="41" t="str">
        <f>IFERROR(__xludf.DUMMYFUNCTION("""COMPUTED_VALUE"""),"客戶關係管理部")</f>
        <v>客戶關係管理部</v>
      </c>
      <c r="O46" s="41" t="str">
        <f>IFERROR(__xludf.DUMMYFUNCTION("""COMPUTED_VALUE"""),"客服團隊 POS/OMO")</f>
        <v>客服團隊 POS/OMO</v>
      </c>
      <c r="P46" s="68">
        <f>IFERROR(__xludf.DUMMYFUNCTION("""COMPUTED_VALUE"""),760.0)</f>
        <v>760</v>
      </c>
      <c r="Q46" s="68">
        <f>IFERROR(__xludf.DUMMYFUNCTION("""COMPUTED_VALUE"""),760.0)</f>
        <v>760</v>
      </c>
      <c r="R46" s="68">
        <f>IFERROR(__xludf.DUMMYFUNCTION("""COMPUTED_VALUE"""),760.0)</f>
        <v>760</v>
      </c>
      <c r="S46" s="68">
        <f>IFERROR(__xludf.DUMMYFUNCTION("""COMPUTED_VALUE"""),760.0)</f>
        <v>760</v>
      </c>
      <c r="T46" s="68">
        <f>IFERROR(__xludf.DUMMYFUNCTION("""COMPUTED_VALUE"""),760.0)</f>
        <v>760</v>
      </c>
      <c r="U46" s="68">
        <f>IFERROR(__xludf.DUMMYFUNCTION("""COMPUTED_VALUE"""),760.0)</f>
        <v>760</v>
      </c>
      <c r="V46" s="68">
        <f>IFERROR(__xludf.DUMMYFUNCTION("""COMPUTED_VALUE"""),760.0)</f>
        <v>760</v>
      </c>
      <c r="W46" s="68">
        <f>IFERROR(__xludf.DUMMYFUNCTION("""COMPUTED_VALUE"""),760.0)</f>
        <v>760</v>
      </c>
      <c r="X46" s="68">
        <f>IFERROR(__xludf.DUMMYFUNCTION("""COMPUTED_VALUE"""),760.0)</f>
        <v>760</v>
      </c>
      <c r="Y46" s="68">
        <f>IFERROR(__xludf.DUMMYFUNCTION("""COMPUTED_VALUE"""),760.0)</f>
        <v>760</v>
      </c>
      <c r="Z46" s="68">
        <f>IFERROR(__xludf.DUMMYFUNCTION("""COMPUTED_VALUE"""),760.0)</f>
        <v>760</v>
      </c>
      <c r="AA46" s="68">
        <f>IFERROR(__xludf.DUMMYFUNCTION("""COMPUTED_VALUE"""),760.0)</f>
        <v>760</v>
      </c>
      <c r="AB46" s="68">
        <f>IFERROR(__xludf.DUMMYFUNCTION("""COMPUTED_VALUE"""),9120.0)</f>
        <v>9120</v>
      </c>
    </row>
    <row r="47">
      <c r="B47" s="41"/>
      <c r="C47" s="41"/>
      <c r="D47" s="41"/>
      <c r="E47" s="41"/>
      <c r="F47" s="41"/>
      <c r="G47" s="41"/>
      <c r="H47" s="41"/>
      <c r="I47" s="41"/>
      <c r="J47" s="41" t="str">
        <f>IFERROR(__xludf.DUMMYFUNCTION("""COMPUTED_VALUE"""),"AICHMA02403061")</f>
        <v>AICHMA02403061</v>
      </c>
      <c r="K47" s="41" t="str">
        <f>IFERROR(__xludf.DUMMYFUNCTION("""COMPUTED_VALUE"""),"Macbook Air")</f>
        <v>Macbook Air</v>
      </c>
      <c r="L47" s="41" t="str">
        <f>IFERROR(__xludf.DUMMYFUNCTION("""COMPUTED_VALUE"""),"王壯為")</f>
        <v>王壯為</v>
      </c>
      <c r="M47" s="41" t="str">
        <f>IFERROR(__xludf.DUMMYFUNCTION("""COMPUTED_VALUE"""),"管理中心")</f>
        <v>管理中心</v>
      </c>
      <c r="N47" s="41" t="str">
        <f>IFERROR(__xludf.DUMMYFUNCTION("""COMPUTED_VALUE"""),"資訊部")</f>
        <v>資訊部</v>
      </c>
      <c r="O47" s="41"/>
      <c r="P47" s="68">
        <f>IFERROR(__xludf.DUMMYFUNCTION("""COMPUTED_VALUE"""),760.0)</f>
        <v>760</v>
      </c>
      <c r="Q47" s="68">
        <f>IFERROR(__xludf.DUMMYFUNCTION("""COMPUTED_VALUE"""),760.0)</f>
        <v>760</v>
      </c>
      <c r="R47" s="68">
        <f>IFERROR(__xludf.DUMMYFUNCTION("""COMPUTED_VALUE"""),760.0)</f>
        <v>760</v>
      </c>
      <c r="S47" s="68">
        <f>IFERROR(__xludf.DUMMYFUNCTION("""COMPUTED_VALUE"""),760.0)</f>
        <v>760</v>
      </c>
      <c r="T47" s="68">
        <f>IFERROR(__xludf.DUMMYFUNCTION("""COMPUTED_VALUE"""),760.0)</f>
        <v>760</v>
      </c>
      <c r="U47" s="68">
        <f>IFERROR(__xludf.DUMMYFUNCTION("""COMPUTED_VALUE"""),760.0)</f>
        <v>760</v>
      </c>
      <c r="V47" s="68">
        <f>IFERROR(__xludf.DUMMYFUNCTION("""COMPUTED_VALUE"""),760.0)</f>
        <v>760</v>
      </c>
      <c r="W47" s="68">
        <f>IFERROR(__xludf.DUMMYFUNCTION("""COMPUTED_VALUE"""),760.0)</f>
        <v>760</v>
      </c>
      <c r="X47" s="68">
        <f>IFERROR(__xludf.DUMMYFUNCTION("""COMPUTED_VALUE"""),760.0)</f>
        <v>760</v>
      </c>
      <c r="Y47" s="68">
        <f>IFERROR(__xludf.DUMMYFUNCTION("""COMPUTED_VALUE"""),760.0)</f>
        <v>760</v>
      </c>
      <c r="Z47" s="68">
        <f>IFERROR(__xludf.DUMMYFUNCTION("""COMPUTED_VALUE"""),760.0)</f>
        <v>760</v>
      </c>
      <c r="AA47" s="68">
        <f>IFERROR(__xludf.DUMMYFUNCTION("""COMPUTED_VALUE"""),760.0)</f>
        <v>760</v>
      </c>
      <c r="AB47" s="68">
        <f>IFERROR(__xludf.DUMMYFUNCTION("""COMPUTED_VALUE"""),9120.0)</f>
        <v>9120</v>
      </c>
    </row>
    <row r="48">
      <c r="B48" s="41"/>
      <c r="C48" s="41"/>
      <c r="D48" s="41"/>
      <c r="E48" s="41"/>
      <c r="F48" s="41"/>
      <c r="G48" s="41"/>
      <c r="H48" s="41"/>
      <c r="I48" s="41"/>
      <c r="J48" s="41" t="str">
        <f>IFERROR(__xludf.DUMMYFUNCTION("""COMPUTED_VALUE"""),"AICHIP02403098")</f>
        <v>AICHIP02403098</v>
      </c>
      <c r="K48" s="41" t="str">
        <f>IFERROR(__xludf.DUMMYFUNCTION("""COMPUTED_VALUE"""),"Pad 9 / 10.2吋 64G WiFi _ 無法挑色")</f>
        <v>Pad 9 / 10.2吋 64G WiFi _ 無法挑色</v>
      </c>
      <c r="L48" s="41" t="str">
        <f>IFERROR(__xludf.DUMMYFUNCTION("""COMPUTED_VALUE"""),"李珈錡")</f>
        <v>李珈錡</v>
      </c>
      <c r="M48" s="41" t="str">
        <f>IFERROR(__xludf.DUMMYFUNCTION("""COMPUTED_VALUE"""),"研發中心")</f>
        <v>研發中心</v>
      </c>
      <c r="N48" s="41" t="str">
        <f>IFERROR(__xludf.DUMMYFUNCTION("""COMPUTED_VALUE"""),"產品設計部")</f>
        <v>產品設計部</v>
      </c>
      <c r="O48" s="41" t="str">
        <f>IFERROR(__xludf.DUMMYFUNCTION("""COMPUTED_VALUE"""),"產品經理團隊")</f>
        <v>產品經理團隊</v>
      </c>
      <c r="P48" s="68">
        <f>IFERROR(__xludf.DUMMYFUNCTION("""COMPUTED_VALUE"""),275.0)</f>
        <v>275</v>
      </c>
      <c r="Q48" s="68">
        <f>IFERROR(__xludf.DUMMYFUNCTION("""COMPUTED_VALUE"""),275.0)</f>
        <v>275</v>
      </c>
      <c r="R48" s="68">
        <f>IFERROR(__xludf.DUMMYFUNCTION("""COMPUTED_VALUE"""),275.0)</f>
        <v>275</v>
      </c>
      <c r="S48" s="68">
        <f>IFERROR(__xludf.DUMMYFUNCTION("""COMPUTED_VALUE"""),275.0)</f>
        <v>275</v>
      </c>
      <c r="T48" s="68">
        <f>IFERROR(__xludf.DUMMYFUNCTION("""COMPUTED_VALUE"""),275.0)</f>
        <v>275</v>
      </c>
      <c r="U48" s="68">
        <f>IFERROR(__xludf.DUMMYFUNCTION("""COMPUTED_VALUE"""),275.0)</f>
        <v>275</v>
      </c>
      <c r="V48" s="68">
        <f>IFERROR(__xludf.DUMMYFUNCTION("""COMPUTED_VALUE"""),275.0)</f>
        <v>275</v>
      </c>
      <c r="W48" s="68">
        <f>IFERROR(__xludf.DUMMYFUNCTION("""COMPUTED_VALUE"""),275.0)</f>
        <v>275</v>
      </c>
      <c r="X48" s="68">
        <f>IFERROR(__xludf.DUMMYFUNCTION("""COMPUTED_VALUE"""),275.0)</f>
        <v>275</v>
      </c>
      <c r="Y48" s="68">
        <f>IFERROR(__xludf.DUMMYFUNCTION("""COMPUTED_VALUE"""),275.0)</f>
        <v>275</v>
      </c>
      <c r="Z48" s="68">
        <f>IFERROR(__xludf.DUMMYFUNCTION("""COMPUTED_VALUE"""),275.0)</f>
        <v>275</v>
      </c>
      <c r="AA48" s="68">
        <f>IFERROR(__xludf.DUMMYFUNCTION("""COMPUTED_VALUE"""),275.0)</f>
        <v>275</v>
      </c>
      <c r="AB48" s="68">
        <f>IFERROR(__xludf.DUMMYFUNCTION("""COMPUTED_VALUE"""),3300.0)</f>
        <v>3300</v>
      </c>
    </row>
    <row r="49">
      <c r="B49" s="41"/>
      <c r="C49" s="41"/>
      <c r="D49" s="41"/>
      <c r="E49" s="41"/>
      <c r="F49" s="41"/>
      <c r="G49" s="41"/>
      <c r="H49" s="41"/>
      <c r="I49" s="41"/>
      <c r="J49" s="41" t="str">
        <f>IFERROR(__xludf.DUMMYFUNCTION("""COMPUTED_VALUE"""),"AICHOF02406007")</f>
        <v>AICHOF02406007</v>
      </c>
      <c r="K49" s="41" t="str">
        <f>IFERROR(__xludf.DUMMYFUNCTION("""COMPUTED_VALUE"""),"MCP31L-BK 三防多功能出單機(黑色)")</f>
        <v>MCP31L-BK 三防多功能出單機(黑色)</v>
      </c>
      <c r="L49" s="41" t="str">
        <f>IFERROR(__xludf.DUMMYFUNCTION("""COMPUTED_VALUE"""),"高竹映")</f>
        <v>高竹映</v>
      </c>
      <c r="M49" s="41" t="str">
        <f>IFERROR(__xludf.DUMMYFUNCTION("""COMPUTED_VALUE"""),"行銷營運中心")</f>
        <v>行銷營運中心</v>
      </c>
      <c r="N49" s="41" t="str">
        <f>IFERROR(__xludf.DUMMYFUNCTION("""COMPUTED_VALUE"""),"銷售營運部")</f>
        <v>銷售營運部</v>
      </c>
      <c r="O49" s="41" t="str">
        <f>IFERROR(__xludf.DUMMYFUNCTION("""COMPUTED_VALUE"""),"銷售顧問團隊")</f>
        <v>銷售顧問團隊</v>
      </c>
      <c r="P49" s="68">
        <f>IFERROR(__xludf.DUMMYFUNCTION("""COMPUTED_VALUE"""),194.0)</f>
        <v>194</v>
      </c>
      <c r="Q49" s="68">
        <f>IFERROR(__xludf.DUMMYFUNCTION("""COMPUTED_VALUE"""),194.0)</f>
        <v>194</v>
      </c>
      <c r="R49" s="68">
        <f>IFERROR(__xludf.DUMMYFUNCTION("""COMPUTED_VALUE"""),194.0)</f>
        <v>194</v>
      </c>
      <c r="S49" s="68">
        <f>IFERROR(__xludf.DUMMYFUNCTION("""COMPUTED_VALUE"""),194.0)</f>
        <v>194</v>
      </c>
      <c r="T49" s="68">
        <f>IFERROR(__xludf.DUMMYFUNCTION("""COMPUTED_VALUE"""),194.0)</f>
        <v>194</v>
      </c>
      <c r="U49" s="68">
        <f>IFERROR(__xludf.DUMMYFUNCTION("""COMPUTED_VALUE"""),194.0)</f>
        <v>194</v>
      </c>
      <c r="V49" s="68">
        <f>IFERROR(__xludf.DUMMYFUNCTION("""COMPUTED_VALUE"""),194.0)</f>
        <v>194</v>
      </c>
      <c r="W49" s="68">
        <f>IFERROR(__xludf.DUMMYFUNCTION("""COMPUTED_VALUE"""),194.0)</f>
        <v>194</v>
      </c>
      <c r="X49" s="68">
        <f>IFERROR(__xludf.DUMMYFUNCTION("""COMPUTED_VALUE"""),194.0)</f>
        <v>194</v>
      </c>
      <c r="Y49" s="68">
        <f>IFERROR(__xludf.DUMMYFUNCTION("""COMPUTED_VALUE"""),194.0)</f>
        <v>194</v>
      </c>
      <c r="Z49" s="68">
        <f>IFERROR(__xludf.DUMMYFUNCTION("""COMPUTED_VALUE"""),194.0)</f>
        <v>194</v>
      </c>
      <c r="AA49" s="68">
        <f>IFERROR(__xludf.DUMMYFUNCTION("""COMPUTED_VALUE"""),194.0)</f>
        <v>194</v>
      </c>
      <c r="AB49" s="68">
        <f>IFERROR(__xludf.DUMMYFUNCTION("""COMPUTED_VALUE"""),2328.0)</f>
        <v>2328</v>
      </c>
    </row>
    <row r="50">
      <c r="B50" s="41"/>
      <c r="C50" s="41"/>
      <c r="D50" s="41"/>
      <c r="E50" s="41"/>
      <c r="F50" s="41"/>
      <c r="G50" s="41"/>
      <c r="H50" s="41"/>
      <c r="I50" s="41"/>
      <c r="J50" s="41" t="str">
        <f>IFERROR(__xludf.DUMMYFUNCTION("""COMPUTED_VALUE"""),"AICHOF02406008")</f>
        <v>AICHOF02406008</v>
      </c>
      <c r="K50" s="41" t="str">
        <f>IFERROR(__xludf.DUMMYFUNCTION("""COMPUTED_VALUE"""),"米飛一號 LTE 無線基地台")</f>
        <v>米飛一號 LTE 無線基地台</v>
      </c>
      <c r="L50" s="41" t="str">
        <f>IFERROR(__xludf.DUMMYFUNCTION("""COMPUTED_VALUE"""),"邱郁婷")</f>
        <v>邱郁婷</v>
      </c>
      <c r="M50" s="41" t="str">
        <f>IFERROR(__xludf.DUMMYFUNCTION("""COMPUTED_VALUE"""),"行銷營運中心")</f>
        <v>行銷營運中心</v>
      </c>
      <c r="N50" s="41" t="str">
        <f>IFERROR(__xludf.DUMMYFUNCTION("""COMPUTED_VALUE"""),"銷售營運部")</f>
        <v>銷售營運部</v>
      </c>
      <c r="O50" s="41" t="str">
        <f>IFERROR(__xludf.DUMMYFUNCTION("""COMPUTED_VALUE"""),"客戶導入團隊")</f>
        <v>客戶導入團隊</v>
      </c>
      <c r="P50" s="68">
        <f>IFERROR(__xludf.DUMMYFUNCTION("""COMPUTED_VALUE"""),193.0)</f>
        <v>193</v>
      </c>
      <c r="Q50" s="68">
        <f>IFERROR(__xludf.DUMMYFUNCTION("""COMPUTED_VALUE"""),193.0)</f>
        <v>193</v>
      </c>
      <c r="R50" s="68">
        <f>IFERROR(__xludf.DUMMYFUNCTION("""COMPUTED_VALUE"""),193.0)</f>
        <v>193</v>
      </c>
      <c r="S50" s="68">
        <f>IFERROR(__xludf.DUMMYFUNCTION("""COMPUTED_VALUE"""),193.0)</f>
        <v>193</v>
      </c>
      <c r="T50" s="68">
        <f>IFERROR(__xludf.DUMMYFUNCTION("""COMPUTED_VALUE"""),193.0)</f>
        <v>193</v>
      </c>
      <c r="U50" s="68">
        <f>IFERROR(__xludf.DUMMYFUNCTION("""COMPUTED_VALUE"""),193.0)</f>
        <v>193</v>
      </c>
      <c r="V50" s="68">
        <f>IFERROR(__xludf.DUMMYFUNCTION("""COMPUTED_VALUE"""),193.0)</f>
        <v>193</v>
      </c>
      <c r="W50" s="68">
        <f>IFERROR(__xludf.DUMMYFUNCTION("""COMPUTED_VALUE"""),193.0)</f>
        <v>193</v>
      </c>
      <c r="X50" s="68">
        <f>IFERROR(__xludf.DUMMYFUNCTION("""COMPUTED_VALUE"""),193.0)</f>
        <v>193</v>
      </c>
      <c r="Y50" s="68">
        <f>IFERROR(__xludf.DUMMYFUNCTION("""COMPUTED_VALUE"""),193.0)</f>
        <v>193</v>
      </c>
      <c r="Z50" s="68">
        <f>IFERROR(__xludf.DUMMYFUNCTION("""COMPUTED_VALUE"""),193.0)</f>
        <v>193</v>
      </c>
      <c r="AA50" s="68">
        <f>IFERROR(__xludf.DUMMYFUNCTION("""COMPUTED_VALUE"""),193.0)</f>
        <v>193</v>
      </c>
      <c r="AB50" s="68">
        <f>IFERROR(__xludf.DUMMYFUNCTION("""COMPUTED_VALUE"""),2316.0)</f>
        <v>2316</v>
      </c>
    </row>
    <row r="51">
      <c r="B51" s="41"/>
      <c r="C51" s="41"/>
      <c r="D51" s="41"/>
      <c r="E51" s="41"/>
      <c r="F51" s="41"/>
      <c r="G51" s="41"/>
      <c r="H51" s="41"/>
      <c r="I51" s="41"/>
      <c r="J51" s="41" t="str">
        <f>IFERROR(__xludf.DUMMYFUNCTION("""COMPUTED_VALUE"""),"AICHOF02406009")</f>
        <v>AICHOF02406009</v>
      </c>
      <c r="K51" s="41" t="str">
        <f>IFERROR(__xludf.DUMMYFUNCTION("""COMPUTED_VALUE"""),"Ledetech iPad 立架( 4-11吋平板專用 )_不挑色")</f>
        <v>Ledetech iPad 立架( 4-11吋平板專用 )_不挑色</v>
      </c>
      <c r="L51" s="41" t="str">
        <f>IFERROR(__xludf.DUMMYFUNCTION("""COMPUTED_VALUE"""),"蔡於蓉")</f>
        <v>蔡於蓉</v>
      </c>
      <c r="M51" s="41" t="str">
        <f>IFERROR(__xludf.DUMMYFUNCTION("""COMPUTED_VALUE"""),"行銷營運中心")</f>
        <v>行銷營運中心</v>
      </c>
      <c r="N51" s="41" t="str">
        <f>IFERROR(__xludf.DUMMYFUNCTION("""COMPUTED_VALUE"""),"銷售營運部")</f>
        <v>銷售營運部</v>
      </c>
      <c r="O51" s="41" t="str">
        <f>IFERROR(__xludf.DUMMYFUNCTION("""COMPUTED_VALUE"""),"線上開發團隊")</f>
        <v>線上開發團隊</v>
      </c>
      <c r="P51" s="68">
        <f>IFERROR(__xludf.DUMMYFUNCTION("""COMPUTED_VALUE"""),15.0)</f>
        <v>15</v>
      </c>
      <c r="Q51" s="68">
        <f>IFERROR(__xludf.DUMMYFUNCTION("""COMPUTED_VALUE"""),15.0)</f>
        <v>15</v>
      </c>
      <c r="R51" s="68">
        <f>IFERROR(__xludf.DUMMYFUNCTION("""COMPUTED_VALUE"""),15.0)</f>
        <v>15</v>
      </c>
      <c r="S51" s="68">
        <f>IFERROR(__xludf.DUMMYFUNCTION("""COMPUTED_VALUE"""),15.0)</f>
        <v>15</v>
      </c>
      <c r="T51" s="68">
        <f>IFERROR(__xludf.DUMMYFUNCTION("""COMPUTED_VALUE"""),15.0)</f>
        <v>15</v>
      </c>
      <c r="U51" s="68">
        <f>IFERROR(__xludf.DUMMYFUNCTION("""COMPUTED_VALUE"""),15.0)</f>
        <v>15</v>
      </c>
      <c r="V51" s="68">
        <f>IFERROR(__xludf.DUMMYFUNCTION("""COMPUTED_VALUE"""),15.0)</f>
        <v>15</v>
      </c>
      <c r="W51" s="68">
        <f>IFERROR(__xludf.DUMMYFUNCTION("""COMPUTED_VALUE"""),15.0)</f>
        <v>15</v>
      </c>
      <c r="X51" s="68">
        <f>IFERROR(__xludf.DUMMYFUNCTION("""COMPUTED_VALUE"""),15.0)</f>
        <v>15</v>
      </c>
      <c r="Y51" s="68">
        <f>IFERROR(__xludf.DUMMYFUNCTION("""COMPUTED_VALUE"""),15.0)</f>
        <v>15</v>
      </c>
      <c r="Z51" s="68">
        <f>IFERROR(__xludf.DUMMYFUNCTION("""COMPUTED_VALUE"""),15.0)</f>
        <v>15</v>
      </c>
      <c r="AA51" s="68">
        <f>IFERROR(__xludf.DUMMYFUNCTION("""COMPUTED_VALUE"""),15.0)</f>
        <v>15</v>
      </c>
      <c r="AB51" s="68">
        <f>IFERROR(__xludf.DUMMYFUNCTION("""COMPUTED_VALUE"""),180.0)</f>
        <v>180</v>
      </c>
    </row>
    <row r="52">
      <c r="B52" s="41"/>
      <c r="C52" s="41"/>
      <c r="D52" s="41"/>
      <c r="E52" s="41"/>
      <c r="F52" s="41"/>
      <c r="G52" s="41"/>
      <c r="H52" s="41"/>
      <c r="I52" s="41"/>
      <c r="J52" s="41" t="str">
        <f>IFERROR(__xludf.DUMMYFUNCTION("""COMPUTED_VALUE"""),"AICHOF02406010")</f>
        <v>AICHOF02406010</v>
      </c>
      <c r="K52" s="41" t="str">
        <f>IFERROR(__xludf.DUMMYFUNCTION("""COMPUTED_VALUE"""),"JOY iPad 10.2 吋磁吸式背蓋")</f>
        <v>JOY iPad 10.2 吋磁吸式背蓋</v>
      </c>
      <c r="L52" s="41" t="str">
        <f>IFERROR(__xludf.DUMMYFUNCTION("""COMPUTED_VALUE"""),"蔡於蓉")</f>
        <v>蔡於蓉</v>
      </c>
      <c r="M52" s="41" t="str">
        <f>IFERROR(__xludf.DUMMYFUNCTION("""COMPUTED_VALUE"""),"行銷營運中心")</f>
        <v>行銷營運中心</v>
      </c>
      <c r="N52" s="41" t="str">
        <f>IFERROR(__xludf.DUMMYFUNCTION("""COMPUTED_VALUE"""),"銷售營運部")</f>
        <v>銷售營運部</v>
      </c>
      <c r="O52" s="41" t="str">
        <f>IFERROR(__xludf.DUMMYFUNCTION("""COMPUTED_VALUE"""),"線上開發團隊")</f>
        <v>線上開發團隊</v>
      </c>
      <c r="P52" s="68">
        <f>IFERROR(__xludf.DUMMYFUNCTION("""COMPUTED_VALUE"""),12.0)</f>
        <v>12</v>
      </c>
      <c r="Q52" s="68">
        <f>IFERROR(__xludf.DUMMYFUNCTION("""COMPUTED_VALUE"""),12.0)</f>
        <v>12</v>
      </c>
      <c r="R52" s="68">
        <f>IFERROR(__xludf.DUMMYFUNCTION("""COMPUTED_VALUE"""),12.0)</f>
        <v>12</v>
      </c>
      <c r="S52" s="68">
        <f>IFERROR(__xludf.DUMMYFUNCTION("""COMPUTED_VALUE"""),12.0)</f>
        <v>12</v>
      </c>
      <c r="T52" s="68">
        <f>IFERROR(__xludf.DUMMYFUNCTION("""COMPUTED_VALUE"""),12.0)</f>
        <v>12</v>
      </c>
      <c r="U52" s="68">
        <f>IFERROR(__xludf.DUMMYFUNCTION("""COMPUTED_VALUE"""),12.0)</f>
        <v>12</v>
      </c>
      <c r="V52" s="68">
        <f>IFERROR(__xludf.DUMMYFUNCTION("""COMPUTED_VALUE"""),12.0)</f>
        <v>12</v>
      </c>
      <c r="W52" s="68">
        <f>IFERROR(__xludf.DUMMYFUNCTION("""COMPUTED_VALUE"""),12.0)</f>
        <v>12</v>
      </c>
      <c r="X52" s="68">
        <f>IFERROR(__xludf.DUMMYFUNCTION("""COMPUTED_VALUE"""),12.0)</f>
        <v>12</v>
      </c>
      <c r="Y52" s="68">
        <f>IFERROR(__xludf.DUMMYFUNCTION("""COMPUTED_VALUE"""),12.0)</f>
        <v>12</v>
      </c>
      <c r="Z52" s="68">
        <f>IFERROR(__xludf.DUMMYFUNCTION("""COMPUTED_VALUE"""),12.0)</f>
        <v>12</v>
      </c>
      <c r="AA52" s="68">
        <f>IFERROR(__xludf.DUMMYFUNCTION("""COMPUTED_VALUE"""),12.0)</f>
        <v>12</v>
      </c>
      <c r="AB52" s="68">
        <f>IFERROR(__xludf.DUMMYFUNCTION("""COMPUTED_VALUE"""),144.0)</f>
        <v>144</v>
      </c>
    </row>
    <row r="53">
      <c r="B53" s="41"/>
      <c r="C53" s="41"/>
      <c r="D53" s="41"/>
      <c r="E53" s="41"/>
      <c r="F53" s="41"/>
      <c r="G53" s="41"/>
      <c r="H53" s="41"/>
      <c r="I53" s="41"/>
      <c r="J53" s="41" t="str">
        <f>IFERROR(__xludf.DUMMYFUNCTION("""COMPUTED_VALUE"""),"AICHOF02406011")</f>
        <v>AICHOF02406011</v>
      </c>
      <c r="K53" s="41" t="str">
        <f>IFERROR(__xludf.DUMMYFUNCTION("""COMPUTED_VALUE"""),"JOY 通用型平板支架")</f>
        <v>JOY 通用型平板支架</v>
      </c>
      <c r="L53" s="41" t="str">
        <f>IFERROR(__xludf.DUMMYFUNCTION("""COMPUTED_VALUE"""),"蔡於蓉")</f>
        <v>蔡於蓉</v>
      </c>
      <c r="M53" s="41" t="str">
        <f>IFERROR(__xludf.DUMMYFUNCTION("""COMPUTED_VALUE"""),"行銷營運中心")</f>
        <v>行銷營運中心</v>
      </c>
      <c r="N53" s="41" t="str">
        <f>IFERROR(__xludf.DUMMYFUNCTION("""COMPUTED_VALUE"""),"銷售營運部")</f>
        <v>銷售營運部</v>
      </c>
      <c r="O53" s="41" t="str">
        <f>IFERROR(__xludf.DUMMYFUNCTION("""COMPUTED_VALUE"""),"線上開發團隊")</f>
        <v>線上開發團隊</v>
      </c>
      <c r="P53" s="68">
        <f>IFERROR(__xludf.DUMMYFUNCTION("""COMPUTED_VALUE"""),33.0)</f>
        <v>33</v>
      </c>
      <c r="Q53" s="68">
        <f>IFERROR(__xludf.DUMMYFUNCTION("""COMPUTED_VALUE"""),33.0)</f>
        <v>33</v>
      </c>
      <c r="R53" s="68">
        <f>IFERROR(__xludf.DUMMYFUNCTION("""COMPUTED_VALUE"""),33.0)</f>
        <v>33</v>
      </c>
      <c r="S53" s="68">
        <f>IFERROR(__xludf.DUMMYFUNCTION("""COMPUTED_VALUE"""),33.0)</f>
        <v>33</v>
      </c>
      <c r="T53" s="68">
        <f>IFERROR(__xludf.DUMMYFUNCTION("""COMPUTED_VALUE"""),33.0)</f>
        <v>33</v>
      </c>
      <c r="U53" s="68">
        <f>IFERROR(__xludf.DUMMYFUNCTION("""COMPUTED_VALUE"""),33.0)</f>
        <v>33</v>
      </c>
      <c r="V53" s="68">
        <f>IFERROR(__xludf.DUMMYFUNCTION("""COMPUTED_VALUE"""),33.0)</f>
        <v>33</v>
      </c>
      <c r="W53" s="68">
        <f>IFERROR(__xludf.DUMMYFUNCTION("""COMPUTED_VALUE"""),33.0)</f>
        <v>33</v>
      </c>
      <c r="X53" s="68">
        <f>IFERROR(__xludf.DUMMYFUNCTION("""COMPUTED_VALUE"""),33.0)</f>
        <v>33</v>
      </c>
      <c r="Y53" s="68">
        <f>IFERROR(__xludf.DUMMYFUNCTION("""COMPUTED_VALUE"""),33.0)</f>
        <v>33</v>
      </c>
      <c r="Z53" s="68">
        <f>IFERROR(__xludf.DUMMYFUNCTION("""COMPUTED_VALUE"""),33.0)</f>
        <v>33</v>
      </c>
      <c r="AA53" s="68">
        <f>IFERROR(__xludf.DUMMYFUNCTION("""COMPUTED_VALUE"""),33.0)</f>
        <v>33</v>
      </c>
      <c r="AB53" s="68">
        <f>IFERROR(__xludf.DUMMYFUNCTION("""COMPUTED_VALUE"""),396.0)</f>
        <v>396</v>
      </c>
    </row>
    <row r="54">
      <c r="B54" s="41"/>
      <c r="C54" s="41"/>
      <c r="D54" s="41"/>
      <c r="E54" s="41"/>
      <c r="F54" s="41"/>
      <c r="G54" s="41"/>
      <c r="H54" s="41"/>
      <c r="I54" s="41"/>
      <c r="J54" s="41" t="str">
        <f>IFERROR(__xludf.DUMMYFUNCTION("""COMPUTED_VALUE"""),"AICHMP02403072")</f>
        <v>AICHMP02403072</v>
      </c>
      <c r="K54" s="41" t="str">
        <f>IFERROR(__xludf.DUMMYFUNCTION("""COMPUTED_VALUE"""),"Macbook Pro 14寸")</f>
        <v>Macbook Pro 14寸</v>
      </c>
      <c r="L54" s="41" t="str">
        <f>IFERROR(__xludf.DUMMYFUNCTION("""COMPUTED_VALUE"""),"張凱評")</f>
        <v>張凱評</v>
      </c>
      <c r="M54" s="41" t="str">
        <f>IFERROR(__xludf.DUMMYFUNCTION("""COMPUTED_VALUE"""),"研發中心")</f>
        <v>研發中心</v>
      </c>
      <c r="N54" s="41" t="str">
        <f>IFERROR(__xludf.DUMMYFUNCTION("""COMPUTED_VALUE"""),"產品設計部")</f>
        <v>產品設計部</v>
      </c>
      <c r="O54" s="41" t="str">
        <f>IFERROR(__xludf.DUMMYFUNCTION("""COMPUTED_VALUE"""),"產品設計師團隊")</f>
        <v>產品設計師團隊</v>
      </c>
      <c r="P54" s="68">
        <f>IFERROR(__xludf.DUMMYFUNCTION("""COMPUTED_VALUE"""),2015.0)</f>
        <v>2015</v>
      </c>
      <c r="Q54" s="68">
        <f>IFERROR(__xludf.DUMMYFUNCTION("""COMPUTED_VALUE"""),2015.0)</f>
        <v>2015</v>
      </c>
      <c r="R54" s="68">
        <f>IFERROR(__xludf.DUMMYFUNCTION("""COMPUTED_VALUE"""),2015.0)</f>
        <v>2015</v>
      </c>
      <c r="S54" s="68">
        <f>IFERROR(__xludf.DUMMYFUNCTION("""COMPUTED_VALUE"""),2015.0)</f>
        <v>2015</v>
      </c>
      <c r="T54" s="68">
        <f>IFERROR(__xludf.DUMMYFUNCTION("""COMPUTED_VALUE"""),2015.0)</f>
        <v>2015</v>
      </c>
      <c r="U54" s="68">
        <f>IFERROR(__xludf.DUMMYFUNCTION("""COMPUTED_VALUE"""),2015.0)</f>
        <v>2015</v>
      </c>
      <c r="V54" s="68">
        <f>IFERROR(__xludf.DUMMYFUNCTION("""COMPUTED_VALUE"""),2015.0)</f>
        <v>2015</v>
      </c>
      <c r="W54" s="68">
        <f>IFERROR(__xludf.DUMMYFUNCTION("""COMPUTED_VALUE"""),2015.0)</f>
        <v>2015</v>
      </c>
      <c r="X54" s="68">
        <f>IFERROR(__xludf.DUMMYFUNCTION("""COMPUTED_VALUE"""),2015.0)</f>
        <v>2015</v>
      </c>
      <c r="Y54" s="68">
        <f>IFERROR(__xludf.DUMMYFUNCTION("""COMPUTED_VALUE"""),2015.0)</f>
        <v>2015</v>
      </c>
      <c r="Z54" s="68">
        <f>IFERROR(__xludf.DUMMYFUNCTION("""COMPUTED_VALUE"""),2015.0)</f>
        <v>2015</v>
      </c>
      <c r="AA54" s="68">
        <f>IFERROR(__xludf.DUMMYFUNCTION("""COMPUTED_VALUE"""),2015.0)</f>
        <v>2015</v>
      </c>
      <c r="AB54" s="68">
        <f>IFERROR(__xludf.DUMMYFUNCTION("""COMPUTED_VALUE"""),24180.0)</f>
        <v>24180</v>
      </c>
    </row>
    <row r="55">
      <c r="B55" s="41"/>
      <c r="C55" s="41"/>
      <c r="D55" s="41"/>
      <c r="E55" s="41"/>
      <c r="F55" s="41"/>
      <c r="G55" s="41"/>
      <c r="H55" s="41"/>
      <c r="I55" s="41"/>
      <c r="J55" s="41" t="str">
        <f>IFERROR(__xludf.DUMMYFUNCTION("""COMPUTED_VALUE"""),"AICHMP02403073")</f>
        <v>AICHMP02403073</v>
      </c>
      <c r="K55" s="41" t="str">
        <f>IFERROR(__xludf.DUMMYFUNCTION("""COMPUTED_VALUE"""),"Macbook Pro 14寸")</f>
        <v>Macbook Pro 14寸</v>
      </c>
      <c r="L55" s="41" t="str">
        <f>IFERROR(__xludf.DUMMYFUNCTION("""COMPUTED_VALUE"""),"林展甫")</f>
        <v>林展甫</v>
      </c>
      <c r="M55" s="41" t="str">
        <f>IFERROR(__xludf.DUMMYFUNCTION("""COMPUTED_VALUE"""),"客戶價值中心")</f>
        <v>客戶價值中心</v>
      </c>
      <c r="N55" s="41" t="str">
        <f>IFERROR(__xludf.DUMMYFUNCTION("""COMPUTED_VALUE"""),"客戶關係管理部")</f>
        <v>客戶關係管理部</v>
      </c>
      <c r="O55" s="41" t="str">
        <f>IFERROR(__xludf.DUMMYFUNCTION("""COMPUTED_VALUE"""),"TSE團隊")</f>
        <v>TSE團隊</v>
      </c>
      <c r="P55" s="68">
        <f>IFERROR(__xludf.DUMMYFUNCTION("""COMPUTED_VALUE"""),2163.0)</f>
        <v>2163</v>
      </c>
      <c r="Q55" s="68">
        <f>IFERROR(__xludf.DUMMYFUNCTION("""COMPUTED_VALUE"""),2163.0)</f>
        <v>2163</v>
      </c>
      <c r="R55" s="68">
        <f>IFERROR(__xludf.DUMMYFUNCTION("""COMPUTED_VALUE"""),2163.0)</f>
        <v>2163</v>
      </c>
      <c r="S55" s="68">
        <f>IFERROR(__xludf.DUMMYFUNCTION("""COMPUTED_VALUE"""),2163.0)</f>
        <v>2163</v>
      </c>
      <c r="T55" s="68">
        <f>IFERROR(__xludf.DUMMYFUNCTION("""COMPUTED_VALUE"""),2163.0)</f>
        <v>2163</v>
      </c>
      <c r="U55" s="68">
        <f>IFERROR(__xludf.DUMMYFUNCTION("""COMPUTED_VALUE"""),2163.0)</f>
        <v>2163</v>
      </c>
      <c r="V55" s="68">
        <f>IFERROR(__xludf.DUMMYFUNCTION("""COMPUTED_VALUE"""),2163.0)</f>
        <v>2163</v>
      </c>
      <c r="W55" s="68">
        <f>IFERROR(__xludf.DUMMYFUNCTION("""COMPUTED_VALUE"""),2163.0)</f>
        <v>2163</v>
      </c>
      <c r="X55" s="68">
        <f>IFERROR(__xludf.DUMMYFUNCTION("""COMPUTED_VALUE"""),2163.0)</f>
        <v>2163</v>
      </c>
      <c r="Y55" s="68">
        <f>IFERROR(__xludf.DUMMYFUNCTION("""COMPUTED_VALUE"""),2163.0)</f>
        <v>2163</v>
      </c>
      <c r="Z55" s="68">
        <f>IFERROR(__xludf.DUMMYFUNCTION("""COMPUTED_VALUE"""),2163.0)</f>
        <v>2163</v>
      </c>
      <c r="AA55" s="68">
        <f>IFERROR(__xludf.DUMMYFUNCTION("""COMPUTED_VALUE"""),2163.0)</f>
        <v>2163</v>
      </c>
      <c r="AB55" s="68">
        <f>IFERROR(__xludf.DUMMYFUNCTION("""COMPUTED_VALUE"""),25956.0)</f>
        <v>25956</v>
      </c>
    </row>
    <row r="56">
      <c r="B56" s="41"/>
      <c r="C56" s="41"/>
      <c r="D56" s="41"/>
      <c r="E56" s="41"/>
      <c r="F56" s="41"/>
      <c r="G56" s="41"/>
      <c r="H56" s="41"/>
      <c r="I56" s="41"/>
      <c r="J56" s="41" t="str">
        <f>IFERROR(__xludf.DUMMYFUNCTION("""COMPUTED_VALUE"""),"AICHMP02403074")</f>
        <v>AICHMP02403074</v>
      </c>
      <c r="K56" s="41" t="str">
        <f>IFERROR(__xludf.DUMMYFUNCTION("""COMPUTED_VALUE"""),"Macbook Pro 14寸")</f>
        <v>Macbook Pro 14寸</v>
      </c>
      <c r="L56" s="41" t="str">
        <f>IFERROR(__xludf.DUMMYFUNCTION("""COMPUTED_VALUE"""),"謝明哲")</f>
        <v>謝明哲</v>
      </c>
      <c r="M56" s="41" t="str">
        <f>IFERROR(__xludf.DUMMYFUNCTION("""COMPUTED_VALUE"""),"研發中心")</f>
        <v>研發中心</v>
      </c>
      <c r="N56" s="41" t="str">
        <f>IFERROR(__xludf.DUMMYFUNCTION("""COMPUTED_VALUE"""),"軟體工程部")</f>
        <v>軟體工程部</v>
      </c>
      <c r="O56" s="41" t="str">
        <f>IFERROR(__xludf.DUMMYFUNCTION("""COMPUTED_VALUE"""),"前端團隊")</f>
        <v>前端團隊</v>
      </c>
      <c r="P56" s="68">
        <f>IFERROR(__xludf.DUMMYFUNCTION("""COMPUTED_VALUE"""),2163.0)</f>
        <v>2163</v>
      </c>
      <c r="Q56" s="68">
        <f>IFERROR(__xludf.DUMMYFUNCTION("""COMPUTED_VALUE"""),2163.0)</f>
        <v>2163</v>
      </c>
      <c r="R56" s="68">
        <f>IFERROR(__xludf.DUMMYFUNCTION("""COMPUTED_VALUE"""),2163.0)</f>
        <v>2163</v>
      </c>
      <c r="S56" s="68">
        <f>IFERROR(__xludf.DUMMYFUNCTION("""COMPUTED_VALUE"""),2163.0)</f>
        <v>2163</v>
      </c>
      <c r="T56" s="68">
        <f>IFERROR(__xludf.DUMMYFUNCTION("""COMPUTED_VALUE"""),2163.0)</f>
        <v>2163</v>
      </c>
      <c r="U56" s="68">
        <f>IFERROR(__xludf.DUMMYFUNCTION("""COMPUTED_VALUE"""),2163.0)</f>
        <v>2163</v>
      </c>
      <c r="V56" s="68">
        <f>IFERROR(__xludf.DUMMYFUNCTION("""COMPUTED_VALUE"""),2163.0)</f>
        <v>2163</v>
      </c>
      <c r="W56" s="68">
        <f>IFERROR(__xludf.DUMMYFUNCTION("""COMPUTED_VALUE"""),2163.0)</f>
        <v>2163</v>
      </c>
      <c r="X56" s="68">
        <f>IFERROR(__xludf.DUMMYFUNCTION("""COMPUTED_VALUE"""),2163.0)</f>
        <v>2163</v>
      </c>
      <c r="Y56" s="68">
        <f>IFERROR(__xludf.DUMMYFUNCTION("""COMPUTED_VALUE"""),2163.0)</f>
        <v>2163</v>
      </c>
      <c r="Z56" s="68">
        <f>IFERROR(__xludf.DUMMYFUNCTION("""COMPUTED_VALUE"""),2163.0)</f>
        <v>2163</v>
      </c>
      <c r="AA56" s="68">
        <f>IFERROR(__xludf.DUMMYFUNCTION("""COMPUTED_VALUE"""),2163.0)</f>
        <v>2163</v>
      </c>
      <c r="AB56" s="68">
        <f>IFERROR(__xludf.DUMMYFUNCTION("""COMPUTED_VALUE"""),25956.0)</f>
        <v>25956</v>
      </c>
    </row>
    <row r="57">
      <c r="B57" s="41"/>
      <c r="C57" s="41"/>
      <c r="D57" s="41"/>
      <c r="E57" s="41"/>
      <c r="F57" s="41"/>
      <c r="G57" s="41"/>
      <c r="H57" s="41"/>
      <c r="I57" s="41"/>
      <c r="J57" s="41" t="str">
        <f>IFERROR(__xludf.DUMMYFUNCTION("""COMPUTED_VALUE"""),"AICHMA02404062")</f>
        <v>AICHMA02404062</v>
      </c>
      <c r="K57" s="41" t="str">
        <f>IFERROR(__xludf.DUMMYFUNCTION("""COMPUTED_VALUE"""),"Macbook Air")</f>
        <v>Macbook Air</v>
      </c>
      <c r="L57" s="41" t="str">
        <f>IFERROR(__xludf.DUMMYFUNCTION("""COMPUTED_VALUE"""),"周玟萱")</f>
        <v>周玟萱</v>
      </c>
      <c r="M57" s="41" t="str">
        <f>IFERROR(__xludf.DUMMYFUNCTION("""COMPUTED_VALUE"""),"客戶價值中心")</f>
        <v>客戶價值中心</v>
      </c>
      <c r="N57" s="41" t="str">
        <f>IFERROR(__xludf.DUMMYFUNCTION("""COMPUTED_VALUE"""),"客戶成功管理部")</f>
        <v>客戶成功管理部</v>
      </c>
      <c r="O57" s="41" t="str">
        <f>IFERROR(__xludf.DUMMYFUNCTION("""COMPUTED_VALUE"""),"PE團隊")</f>
        <v>PE團隊</v>
      </c>
      <c r="P57" s="68">
        <f>IFERROR(__xludf.DUMMYFUNCTION("""COMPUTED_VALUE"""),811.0)</f>
        <v>811</v>
      </c>
      <c r="Q57" s="68">
        <f>IFERROR(__xludf.DUMMYFUNCTION("""COMPUTED_VALUE"""),811.0)</f>
        <v>811</v>
      </c>
      <c r="R57" s="68">
        <f>IFERROR(__xludf.DUMMYFUNCTION("""COMPUTED_VALUE"""),811.0)</f>
        <v>811</v>
      </c>
      <c r="S57" s="68">
        <f>IFERROR(__xludf.DUMMYFUNCTION("""COMPUTED_VALUE"""),811.0)</f>
        <v>811</v>
      </c>
      <c r="T57" s="68">
        <f>IFERROR(__xludf.DUMMYFUNCTION("""COMPUTED_VALUE"""),811.0)</f>
        <v>811</v>
      </c>
      <c r="U57" s="68">
        <f>IFERROR(__xludf.DUMMYFUNCTION("""COMPUTED_VALUE"""),811.0)</f>
        <v>811</v>
      </c>
      <c r="V57" s="68">
        <f>IFERROR(__xludf.DUMMYFUNCTION("""COMPUTED_VALUE"""),811.0)</f>
        <v>811</v>
      </c>
      <c r="W57" s="68">
        <f>IFERROR(__xludf.DUMMYFUNCTION("""COMPUTED_VALUE"""),811.0)</f>
        <v>811</v>
      </c>
      <c r="X57" s="68">
        <f>IFERROR(__xludf.DUMMYFUNCTION("""COMPUTED_VALUE"""),811.0)</f>
        <v>811</v>
      </c>
      <c r="Y57" s="68">
        <f>IFERROR(__xludf.DUMMYFUNCTION("""COMPUTED_VALUE"""),811.0)</f>
        <v>811</v>
      </c>
      <c r="Z57" s="68">
        <f>IFERROR(__xludf.DUMMYFUNCTION("""COMPUTED_VALUE"""),811.0)</f>
        <v>811</v>
      </c>
      <c r="AA57" s="68">
        <f>IFERROR(__xludf.DUMMYFUNCTION("""COMPUTED_VALUE"""),811.0)</f>
        <v>811</v>
      </c>
      <c r="AB57" s="68">
        <f>IFERROR(__xludf.DUMMYFUNCTION("""COMPUTED_VALUE"""),9732.0)</f>
        <v>9732</v>
      </c>
    </row>
    <row r="58">
      <c r="B58" s="41"/>
      <c r="C58" s="41"/>
      <c r="D58" s="41"/>
      <c r="E58" s="41"/>
      <c r="F58" s="41"/>
      <c r="G58" s="41"/>
      <c r="H58" s="41"/>
      <c r="I58" s="41"/>
      <c r="J58" s="41" t="str">
        <f>IFERROR(__xludf.DUMMYFUNCTION("""COMPUTED_VALUE"""),"AICHMA02404063")</f>
        <v>AICHMA02404063</v>
      </c>
      <c r="K58" s="41" t="str">
        <f>IFERROR(__xludf.DUMMYFUNCTION("""COMPUTED_VALUE"""),"Macbook Air")</f>
        <v>Macbook Air</v>
      </c>
      <c r="L58" s="41" t="str">
        <f>IFERROR(__xludf.DUMMYFUNCTION("""COMPUTED_VALUE"""),"潘逸巧")</f>
        <v>潘逸巧</v>
      </c>
      <c r="M58" s="41" t="str">
        <f>IFERROR(__xludf.DUMMYFUNCTION("""COMPUTED_VALUE"""),"行銷營運中心")</f>
        <v>行銷營運中心</v>
      </c>
      <c r="N58" s="41" t="str">
        <f>IFERROR(__xludf.DUMMYFUNCTION("""COMPUTED_VALUE"""),"銷售營運部")</f>
        <v>銷售營運部</v>
      </c>
      <c r="O58" s="41" t="str">
        <f>IFERROR(__xludf.DUMMYFUNCTION("""COMPUTED_VALUE"""),"客戶導入團隊")</f>
        <v>客戶導入團隊</v>
      </c>
      <c r="P58" s="68">
        <f>IFERROR(__xludf.DUMMYFUNCTION("""COMPUTED_VALUE"""),811.0)</f>
        <v>811</v>
      </c>
      <c r="Q58" s="68">
        <f>IFERROR(__xludf.DUMMYFUNCTION("""COMPUTED_VALUE"""),811.0)</f>
        <v>811</v>
      </c>
      <c r="R58" s="68">
        <f>IFERROR(__xludf.DUMMYFUNCTION("""COMPUTED_VALUE"""),811.0)</f>
        <v>811</v>
      </c>
      <c r="S58" s="68">
        <f>IFERROR(__xludf.DUMMYFUNCTION("""COMPUTED_VALUE"""),811.0)</f>
        <v>811</v>
      </c>
      <c r="T58" s="68">
        <f>IFERROR(__xludf.DUMMYFUNCTION("""COMPUTED_VALUE"""),811.0)</f>
        <v>811</v>
      </c>
      <c r="U58" s="68">
        <f>IFERROR(__xludf.DUMMYFUNCTION("""COMPUTED_VALUE"""),811.0)</f>
        <v>811</v>
      </c>
      <c r="V58" s="68">
        <f>IFERROR(__xludf.DUMMYFUNCTION("""COMPUTED_VALUE"""),811.0)</f>
        <v>811</v>
      </c>
      <c r="W58" s="68">
        <f>IFERROR(__xludf.DUMMYFUNCTION("""COMPUTED_VALUE"""),811.0)</f>
        <v>811</v>
      </c>
      <c r="X58" s="68">
        <f>IFERROR(__xludf.DUMMYFUNCTION("""COMPUTED_VALUE"""),811.0)</f>
        <v>811</v>
      </c>
      <c r="Y58" s="68">
        <f>IFERROR(__xludf.DUMMYFUNCTION("""COMPUTED_VALUE"""),811.0)</f>
        <v>811</v>
      </c>
      <c r="Z58" s="68">
        <f>IFERROR(__xludf.DUMMYFUNCTION("""COMPUTED_VALUE"""),811.0)</f>
        <v>811</v>
      </c>
      <c r="AA58" s="68">
        <f>IFERROR(__xludf.DUMMYFUNCTION("""COMPUTED_VALUE"""),811.0)</f>
        <v>811</v>
      </c>
      <c r="AB58" s="68">
        <f>IFERROR(__xludf.DUMMYFUNCTION("""COMPUTED_VALUE"""),9732.0)</f>
        <v>9732</v>
      </c>
    </row>
    <row r="59">
      <c r="B59" s="41"/>
      <c r="C59" s="41"/>
      <c r="D59" s="41"/>
      <c r="E59" s="41"/>
      <c r="F59" s="41"/>
      <c r="G59" s="41"/>
      <c r="H59" s="41"/>
      <c r="I59" s="41"/>
      <c r="J59" s="41" t="str">
        <f>IFERROR(__xludf.DUMMYFUNCTION("""COMPUTED_VALUE"""),"AICHMA02404064")</f>
        <v>AICHMA02404064</v>
      </c>
      <c r="K59" s="41" t="str">
        <f>IFERROR(__xludf.DUMMYFUNCTION("""COMPUTED_VALUE"""),"Macbook Air")</f>
        <v>Macbook Air</v>
      </c>
      <c r="L59" s="41" t="str">
        <f>IFERROR(__xludf.DUMMYFUNCTION("""COMPUTED_VALUE"""),"巫喬婷")</f>
        <v>巫喬婷</v>
      </c>
      <c r="M59" s="41" t="str">
        <f>IFERROR(__xludf.DUMMYFUNCTION("""COMPUTED_VALUE"""),"行銷營運中心")</f>
        <v>行銷營運中心</v>
      </c>
      <c r="N59" s="41" t="str">
        <f>IFERROR(__xludf.DUMMYFUNCTION("""COMPUTED_VALUE"""),"銷售營運部")</f>
        <v>銷售營運部</v>
      </c>
      <c r="O59" s="41" t="str">
        <f>IFERROR(__xludf.DUMMYFUNCTION("""COMPUTED_VALUE"""),"銷售顧問團隊")</f>
        <v>銷售顧問團隊</v>
      </c>
      <c r="P59" s="68">
        <f>IFERROR(__xludf.DUMMYFUNCTION("""COMPUTED_VALUE"""),811.0)</f>
        <v>811</v>
      </c>
      <c r="Q59" s="68">
        <f>IFERROR(__xludf.DUMMYFUNCTION("""COMPUTED_VALUE"""),811.0)</f>
        <v>811</v>
      </c>
      <c r="R59" s="68">
        <f>IFERROR(__xludf.DUMMYFUNCTION("""COMPUTED_VALUE"""),811.0)</f>
        <v>811</v>
      </c>
      <c r="S59" s="68">
        <f>IFERROR(__xludf.DUMMYFUNCTION("""COMPUTED_VALUE"""),811.0)</f>
        <v>811</v>
      </c>
      <c r="T59" s="68">
        <f>IFERROR(__xludf.DUMMYFUNCTION("""COMPUTED_VALUE"""),811.0)</f>
        <v>811</v>
      </c>
      <c r="U59" s="68">
        <f>IFERROR(__xludf.DUMMYFUNCTION("""COMPUTED_VALUE"""),811.0)</f>
        <v>811</v>
      </c>
      <c r="V59" s="68">
        <f>IFERROR(__xludf.DUMMYFUNCTION("""COMPUTED_VALUE"""),811.0)</f>
        <v>811</v>
      </c>
      <c r="W59" s="68">
        <f>IFERROR(__xludf.DUMMYFUNCTION("""COMPUTED_VALUE"""),811.0)</f>
        <v>811</v>
      </c>
      <c r="X59" s="68">
        <f>IFERROR(__xludf.DUMMYFUNCTION("""COMPUTED_VALUE"""),811.0)</f>
        <v>811</v>
      </c>
      <c r="Y59" s="68">
        <f>IFERROR(__xludf.DUMMYFUNCTION("""COMPUTED_VALUE"""),811.0)</f>
        <v>811</v>
      </c>
      <c r="Z59" s="68">
        <f>IFERROR(__xludf.DUMMYFUNCTION("""COMPUTED_VALUE"""),811.0)</f>
        <v>811</v>
      </c>
      <c r="AA59" s="68">
        <f>IFERROR(__xludf.DUMMYFUNCTION("""COMPUTED_VALUE"""),811.0)</f>
        <v>811</v>
      </c>
      <c r="AB59" s="68">
        <f>IFERROR(__xludf.DUMMYFUNCTION("""COMPUTED_VALUE"""),9732.0)</f>
        <v>9732</v>
      </c>
    </row>
    <row r="60">
      <c r="B60" s="41"/>
      <c r="C60" s="41"/>
      <c r="D60" s="41"/>
      <c r="E60" s="41"/>
      <c r="F60" s="41"/>
      <c r="G60" s="41"/>
      <c r="H60" s="41"/>
      <c r="I60" s="41"/>
      <c r="J60" s="41" t="str">
        <f>IFERROR(__xludf.DUMMYFUNCTION("""COMPUTED_VALUE"""),"AICHMA02404065")</f>
        <v>AICHMA02404065</v>
      </c>
      <c r="K60" s="41" t="str">
        <f>IFERROR(__xludf.DUMMYFUNCTION("""COMPUTED_VALUE"""),"Macbook Air")</f>
        <v>Macbook Air</v>
      </c>
      <c r="L60" s="41" t="str">
        <f>IFERROR(__xludf.DUMMYFUNCTION("""COMPUTED_VALUE"""),"蔡育沛")</f>
        <v>蔡育沛</v>
      </c>
      <c r="M60" s="41" t="str">
        <f>IFERROR(__xludf.DUMMYFUNCTION("""COMPUTED_VALUE"""),"行銷營運中心")</f>
        <v>行銷營運中心</v>
      </c>
      <c r="N60" s="41" t="str">
        <f>IFERROR(__xludf.DUMMYFUNCTION("""COMPUTED_VALUE"""),"社群關係部")</f>
        <v>社群關係部</v>
      </c>
      <c r="O60" s="41" t="str">
        <f>IFERROR(__xludf.DUMMYFUNCTION("""COMPUTED_VALUE"""),"餐廳社群團隊")</f>
        <v>餐廳社群團隊</v>
      </c>
      <c r="P60" s="68">
        <f>IFERROR(__xludf.DUMMYFUNCTION("""COMPUTED_VALUE"""),811.0)</f>
        <v>811</v>
      </c>
      <c r="Q60" s="68">
        <f>IFERROR(__xludf.DUMMYFUNCTION("""COMPUTED_VALUE"""),811.0)</f>
        <v>811</v>
      </c>
      <c r="R60" s="68">
        <f>IFERROR(__xludf.DUMMYFUNCTION("""COMPUTED_VALUE"""),811.0)</f>
        <v>811</v>
      </c>
      <c r="S60" s="68">
        <f>IFERROR(__xludf.DUMMYFUNCTION("""COMPUTED_VALUE"""),811.0)</f>
        <v>811</v>
      </c>
      <c r="T60" s="68">
        <f>IFERROR(__xludf.DUMMYFUNCTION("""COMPUTED_VALUE"""),811.0)</f>
        <v>811</v>
      </c>
      <c r="U60" s="68">
        <f>IFERROR(__xludf.DUMMYFUNCTION("""COMPUTED_VALUE"""),811.0)</f>
        <v>811</v>
      </c>
      <c r="V60" s="68">
        <f>IFERROR(__xludf.DUMMYFUNCTION("""COMPUTED_VALUE"""),811.0)</f>
        <v>811</v>
      </c>
      <c r="W60" s="68">
        <f>IFERROR(__xludf.DUMMYFUNCTION("""COMPUTED_VALUE"""),811.0)</f>
        <v>811</v>
      </c>
      <c r="X60" s="68">
        <f>IFERROR(__xludf.DUMMYFUNCTION("""COMPUTED_VALUE"""),811.0)</f>
        <v>811</v>
      </c>
      <c r="Y60" s="68">
        <f>IFERROR(__xludf.DUMMYFUNCTION("""COMPUTED_VALUE"""),811.0)</f>
        <v>811</v>
      </c>
      <c r="Z60" s="68">
        <f>IFERROR(__xludf.DUMMYFUNCTION("""COMPUTED_VALUE"""),811.0)</f>
        <v>811</v>
      </c>
      <c r="AA60" s="68">
        <f>IFERROR(__xludf.DUMMYFUNCTION("""COMPUTED_VALUE"""),811.0)</f>
        <v>811</v>
      </c>
      <c r="AB60" s="68">
        <f>IFERROR(__xludf.DUMMYFUNCTION("""COMPUTED_VALUE"""),9732.0)</f>
        <v>9732</v>
      </c>
    </row>
    <row r="61">
      <c r="B61" s="41"/>
      <c r="C61" s="41"/>
      <c r="D61" s="41"/>
      <c r="E61" s="41"/>
      <c r="F61" s="41"/>
      <c r="G61" s="41"/>
      <c r="H61" s="41"/>
      <c r="I61" s="41"/>
      <c r="J61" s="41" t="str">
        <f>IFERROR(__xludf.DUMMYFUNCTION("""COMPUTED_VALUE"""),"AICHMP02404075")</f>
        <v>AICHMP02404075</v>
      </c>
      <c r="K61" s="41" t="str">
        <f>IFERROR(__xludf.DUMMYFUNCTION("""COMPUTED_VALUE"""),"Macbook Pro")</f>
        <v>Macbook Pro</v>
      </c>
      <c r="L61" s="41" t="str">
        <f>IFERROR(__xludf.DUMMYFUNCTION("""COMPUTED_VALUE"""),"陳亮穎")</f>
        <v>陳亮穎</v>
      </c>
      <c r="M61" s="41" t="str">
        <f>IFERROR(__xludf.DUMMYFUNCTION("""COMPUTED_VALUE"""),"研發中心")</f>
        <v>研發中心</v>
      </c>
      <c r="N61" s="41" t="str">
        <f>IFERROR(__xludf.DUMMYFUNCTION("""COMPUTED_VALUE"""),"軟體工程部")</f>
        <v>軟體工程部</v>
      </c>
      <c r="O61" s="41" t="str">
        <f>IFERROR(__xludf.DUMMYFUNCTION("""COMPUTED_VALUE"""),"前端團隊")</f>
        <v>前端團隊</v>
      </c>
      <c r="P61" s="68">
        <f>IFERROR(__xludf.DUMMYFUNCTION("""COMPUTED_VALUE"""),2163.0)</f>
        <v>2163</v>
      </c>
      <c r="Q61" s="68">
        <f>IFERROR(__xludf.DUMMYFUNCTION("""COMPUTED_VALUE"""),2163.0)</f>
        <v>2163</v>
      </c>
      <c r="R61" s="68">
        <f>IFERROR(__xludf.DUMMYFUNCTION("""COMPUTED_VALUE"""),2163.0)</f>
        <v>2163</v>
      </c>
      <c r="S61" s="68">
        <f>IFERROR(__xludf.DUMMYFUNCTION("""COMPUTED_VALUE"""),2163.0)</f>
        <v>2163</v>
      </c>
      <c r="T61" s="68">
        <f>IFERROR(__xludf.DUMMYFUNCTION("""COMPUTED_VALUE"""),2163.0)</f>
        <v>2163</v>
      </c>
      <c r="U61" s="68">
        <f>IFERROR(__xludf.DUMMYFUNCTION("""COMPUTED_VALUE"""),2163.0)</f>
        <v>2163</v>
      </c>
      <c r="V61" s="68">
        <f>IFERROR(__xludf.DUMMYFUNCTION("""COMPUTED_VALUE"""),2163.0)</f>
        <v>2163</v>
      </c>
      <c r="W61" s="68">
        <f>IFERROR(__xludf.DUMMYFUNCTION("""COMPUTED_VALUE"""),2163.0)</f>
        <v>2163</v>
      </c>
      <c r="X61" s="68">
        <f>IFERROR(__xludf.DUMMYFUNCTION("""COMPUTED_VALUE"""),2163.0)</f>
        <v>2163</v>
      </c>
      <c r="Y61" s="68">
        <f>IFERROR(__xludf.DUMMYFUNCTION("""COMPUTED_VALUE"""),2163.0)</f>
        <v>2163</v>
      </c>
      <c r="Z61" s="68">
        <f>IFERROR(__xludf.DUMMYFUNCTION("""COMPUTED_VALUE"""),2163.0)</f>
        <v>2163</v>
      </c>
      <c r="AA61" s="68">
        <f>IFERROR(__xludf.DUMMYFUNCTION("""COMPUTED_VALUE"""),2163.0)</f>
        <v>2163</v>
      </c>
      <c r="AB61" s="68">
        <f>IFERROR(__xludf.DUMMYFUNCTION("""COMPUTED_VALUE"""),25956.0)</f>
        <v>25956</v>
      </c>
    </row>
    <row r="62">
      <c r="B62" s="41"/>
      <c r="C62" s="41"/>
      <c r="D62" s="41"/>
      <c r="E62" s="41"/>
      <c r="F62" s="41"/>
      <c r="G62" s="41"/>
      <c r="H62" s="41"/>
      <c r="I62" s="41"/>
      <c r="J62" s="41" t="str">
        <f>IFERROR(__xludf.DUMMYFUNCTION("""COMPUTED_VALUE"""),"AICHFU02404001")</f>
        <v>AICHFU02404001</v>
      </c>
      <c r="K62" s="41" t="str">
        <f>IFERROR(__xludf.DUMMYFUNCTION("""COMPUTED_VALUE"""),"升降桌146張")</f>
        <v>升降桌146張</v>
      </c>
      <c r="L62" s="41" t="str">
        <f>IFERROR(__xludf.DUMMYFUNCTION("""COMPUTED_VALUE"""),"陳韋如")</f>
        <v>陳韋如</v>
      </c>
      <c r="M62" s="41" t="str">
        <f>IFERROR(__xludf.DUMMYFUNCTION("""COMPUTED_VALUE"""),"管理中心")</f>
        <v>管理中心</v>
      </c>
      <c r="N62" s="41" t="str">
        <f>IFERROR(__xludf.DUMMYFUNCTION("""COMPUTED_VALUE"""),"行政總務部")</f>
        <v>行政總務部</v>
      </c>
      <c r="O62" s="41"/>
      <c r="P62" s="68">
        <f>IFERROR(__xludf.DUMMYFUNCTION("""COMPUTED_VALUE"""),33942.0)</f>
        <v>33942</v>
      </c>
      <c r="Q62" s="68">
        <f>IFERROR(__xludf.DUMMYFUNCTION("""COMPUTED_VALUE"""),33942.0)</f>
        <v>33942</v>
      </c>
      <c r="R62" s="68">
        <f>IFERROR(__xludf.DUMMYFUNCTION("""COMPUTED_VALUE"""),33942.0)</f>
        <v>33942</v>
      </c>
      <c r="S62" s="68">
        <f>IFERROR(__xludf.DUMMYFUNCTION("""COMPUTED_VALUE"""),33942.0)</f>
        <v>33942</v>
      </c>
      <c r="T62" s="68">
        <f>IFERROR(__xludf.DUMMYFUNCTION("""COMPUTED_VALUE"""),33942.0)</f>
        <v>33942</v>
      </c>
      <c r="U62" s="68">
        <f>IFERROR(__xludf.DUMMYFUNCTION("""COMPUTED_VALUE"""),33942.0)</f>
        <v>33942</v>
      </c>
      <c r="V62" s="68">
        <f>IFERROR(__xludf.DUMMYFUNCTION("""COMPUTED_VALUE"""),33942.0)</f>
        <v>33942</v>
      </c>
      <c r="W62" s="68">
        <f>IFERROR(__xludf.DUMMYFUNCTION("""COMPUTED_VALUE"""),33942.0)</f>
        <v>33942</v>
      </c>
      <c r="X62" s="68">
        <f>IFERROR(__xludf.DUMMYFUNCTION("""COMPUTED_VALUE"""),33942.0)</f>
        <v>33942</v>
      </c>
      <c r="Y62" s="68">
        <f>IFERROR(__xludf.DUMMYFUNCTION("""COMPUTED_VALUE"""),33942.0)</f>
        <v>33942</v>
      </c>
      <c r="Z62" s="68">
        <f>IFERROR(__xludf.DUMMYFUNCTION("""COMPUTED_VALUE"""),33942.0)</f>
        <v>33942</v>
      </c>
      <c r="AA62" s="68">
        <f>IFERROR(__xludf.DUMMYFUNCTION("""COMPUTED_VALUE"""),33942.0)</f>
        <v>33942</v>
      </c>
      <c r="AB62" s="68">
        <f>IFERROR(__xludf.DUMMYFUNCTION("""COMPUTED_VALUE"""),407304.0)</f>
        <v>407304</v>
      </c>
    </row>
    <row r="63">
      <c r="B63" s="41"/>
      <c r="C63" s="41"/>
      <c r="D63" s="41"/>
      <c r="E63" s="41"/>
      <c r="F63" s="41"/>
      <c r="G63" s="41"/>
      <c r="H63" s="41"/>
      <c r="I63" s="41"/>
      <c r="J63" s="41" t="str">
        <f>IFERROR(__xludf.DUMMYFUNCTION("""COMPUTED_VALUE"""),"AICHFU02404002")</f>
        <v>AICHFU02404002</v>
      </c>
      <c r="K63" s="41" t="str">
        <f>IFERROR(__xludf.DUMMYFUNCTION("""COMPUTED_VALUE"""),"辦公桌椅 110張")</f>
        <v>辦公桌椅 110張</v>
      </c>
      <c r="L63" s="41" t="str">
        <f>IFERROR(__xludf.DUMMYFUNCTION("""COMPUTED_VALUE"""),"陳韋如")</f>
        <v>陳韋如</v>
      </c>
      <c r="M63" s="41" t="str">
        <f>IFERROR(__xludf.DUMMYFUNCTION("""COMPUTED_VALUE"""),"管理中心")</f>
        <v>管理中心</v>
      </c>
      <c r="N63" s="41" t="str">
        <f>IFERROR(__xludf.DUMMYFUNCTION("""COMPUTED_VALUE"""),"行政總務部")</f>
        <v>行政總務部</v>
      </c>
      <c r="O63" s="41"/>
      <c r="P63" s="68">
        <f>IFERROR(__xludf.DUMMYFUNCTION("""COMPUTED_VALUE"""),6195.0)</f>
        <v>6195</v>
      </c>
      <c r="Q63" s="68">
        <f>IFERROR(__xludf.DUMMYFUNCTION("""COMPUTED_VALUE"""),6195.0)</f>
        <v>6195</v>
      </c>
      <c r="R63" s="68">
        <f>IFERROR(__xludf.DUMMYFUNCTION("""COMPUTED_VALUE"""),6195.0)</f>
        <v>6195</v>
      </c>
      <c r="S63" s="68">
        <f>IFERROR(__xludf.DUMMYFUNCTION("""COMPUTED_VALUE"""),6195.0)</f>
        <v>6195</v>
      </c>
      <c r="T63" s="68">
        <f>IFERROR(__xludf.DUMMYFUNCTION("""COMPUTED_VALUE"""),6195.0)</f>
        <v>6195</v>
      </c>
      <c r="U63" s="68">
        <f>IFERROR(__xludf.DUMMYFUNCTION("""COMPUTED_VALUE"""),6195.0)</f>
        <v>6195</v>
      </c>
      <c r="V63" s="68">
        <f>IFERROR(__xludf.DUMMYFUNCTION("""COMPUTED_VALUE"""),6195.0)</f>
        <v>6195</v>
      </c>
      <c r="W63" s="68">
        <f>IFERROR(__xludf.DUMMYFUNCTION("""COMPUTED_VALUE"""),6195.0)</f>
        <v>6195</v>
      </c>
      <c r="X63" s="68">
        <f>IFERROR(__xludf.DUMMYFUNCTION("""COMPUTED_VALUE"""),6195.0)</f>
        <v>6195</v>
      </c>
      <c r="Y63" s="68">
        <f>IFERROR(__xludf.DUMMYFUNCTION("""COMPUTED_VALUE"""),6195.0)</f>
        <v>6195</v>
      </c>
      <c r="Z63" s="68">
        <f>IFERROR(__xludf.DUMMYFUNCTION("""COMPUTED_VALUE"""),6195.0)</f>
        <v>6195</v>
      </c>
      <c r="AA63" s="68">
        <f>IFERROR(__xludf.DUMMYFUNCTION("""COMPUTED_VALUE"""),6195.0)</f>
        <v>6195</v>
      </c>
      <c r="AB63" s="68">
        <f>IFERROR(__xludf.DUMMYFUNCTION("""COMPUTED_VALUE"""),74340.0)</f>
        <v>74340</v>
      </c>
    </row>
    <row r="64">
      <c r="B64" s="41"/>
      <c r="C64" s="41"/>
      <c r="D64" s="41"/>
      <c r="E64" s="41"/>
      <c r="F64" s="41"/>
      <c r="G64" s="41"/>
      <c r="H64" s="41"/>
      <c r="I64" s="41"/>
      <c r="J64" s="41" t="str">
        <f>IFERROR(__xludf.DUMMYFUNCTION("""COMPUTED_VALUE"""),"AICHIP02404099")</f>
        <v>AICHIP02404099</v>
      </c>
      <c r="K64" s="41" t="str">
        <f>IFERROR(__xludf.DUMMYFUNCTION("""COMPUTED_VALUE"""),"1 台 iPad")</f>
        <v>1 台 iPad</v>
      </c>
      <c r="L64" s="41" t="str">
        <f>IFERROR(__xludf.DUMMYFUNCTION("""COMPUTED_VALUE"""),"王壯為")</f>
        <v>王壯為</v>
      </c>
      <c r="M64" s="41" t="str">
        <f>IFERROR(__xludf.DUMMYFUNCTION("""COMPUTED_VALUE"""),"管理中心")</f>
        <v>管理中心</v>
      </c>
      <c r="N64" s="41" t="str">
        <f>IFERROR(__xludf.DUMMYFUNCTION("""COMPUTED_VALUE"""),"資訊部")</f>
        <v>資訊部</v>
      </c>
      <c r="O64" s="41"/>
      <c r="P64" s="68">
        <f>IFERROR(__xludf.DUMMYFUNCTION("""COMPUTED_VALUE"""),275.0)</f>
        <v>275</v>
      </c>
      <c r="Q64" s="68">
        <f>IFERROR(__xludf.DUMMYFUNCTION("""COMPUTED_VALUE"""),275.0)</f>
        <v>275</v>
      </c>
      <c r="R64" s="68">
        <f>IFERROR(__xludf.DUMMYFUNCTION("""COMPUTED_VALUE"""),275.0)</f>
        <v>275</v>
      </c>
      <c r="S64" s="68">
        <f>IFERROR(__xludf.DUMMYFUNCTION("""COMPUTED_VALUE"""),275.0)</f>
        <v>275</v>
      </c>
      <c r="T64" s="68">
        <f>IFERROR(__xludf.DUMMYFUNCTION("""COMPUTED_VALUE"""),275.0)</f>
        <v>275</v>
      </c>
      <c r="U64" s="68">
        <f>IFERROR(__xludf.DUMMYFUNCTION("""COMPUTED_VALUE"""),275.0)</f>
        <v>275</v>
      </c>
      <c r="V64" s="68">
        <f>IFERROR(__xludf.DUMMYFUNCTION("""COMPUTED_VALUE"""),275.0)</f>
        <v>275</v>
      </c>
      <c r="W64" s="68">
        <f>IFERROR(__xludf.DUMMYFUNCTION("""COMPUTED_VALUE"""),275.0)</f>
        <v>275</v>
      </c>
      <c r="X64" s="68">
        <f>IFERROR(__xludf.DUMMYFUNCTION("""COMPUTED_VALUE"""),275.0)</f>
        <v>275</v>
      </c>
      <c r="Y64" s="68">
        <f>IFERROR(__xludf.DUMMYFUNCTION("""COMPUTED_VALUE"""),275.0)</f>
        <v>275</v>
      </c>
      <c r="Z64" s="68">
        <f>IFERROR(__xludf.DUMMYFUNCTION("""COMPUTED_VALUE"""),275.0)</f>
        <v>275</v>
      </c>
      <c r="AA64" s="68">
        <f>IFERROR(__xludf.DUMMYFUNCTION("""COMPUTED_VALUE"""),275.0)</f>
        <v>275</v>
      </c>
      <c r="AB64" s="68">
        <f>IFERROR(__xludf.DUMMYFUNCTION("""COMPUTED_VALUE"""),3300.0)</f>
        <v>3300</v>
      </c>
    </row>
    <row r="65">
      <c r="B65" s="41"/>
      <c r="C65" s="41"/>
      <c r="D65" s="41"/>
      <c r="E65" s="41"/>
      <c r="F65" s="41"/>
      <c r="G65" s="41"/>
      <c r="H65" s="41"/>
      <c r="I65" s="41"/>
      <c r="J65" s="41" t="str">
        <f>IFERROR(__xludf.DUMMYFUNCTION("""COMPUTED_VALUE"""),"AICHIP02404100")</f>
        <v>AICHIP02404100</v>
      </c>
      <c r="K65" s="41" t="str">
        <f>IFERROR(__xludf.DUMMYFUNCTION("""COMPUTED_VALUE"""),"1 台 iPad")</f>
        <v>1 台 iPad</v>
      </c>
      <c r="L65" s="41" t="str">
        <f>IFERROR(__xludf.DUMMYFUNCTION("""COMPUTED_VALUE"""),"劉貞妘")</f>
        <v>劉貞妘</v>
      </c>
      <c r="M65" s="41" t="str">
        <f>IFERROR(__xludf.DUMMYFUNCTION("""COMPUTED_VALUE"""),"行銷營運中心")</f>
        <v>行銷營運中心</v>
      </c>
      <c r="N65" s="41" t="str">
        <f>IFERROR(__xludf.DUMMYFUNCTION("""COMPUTED_VALUE"""),"銷售營運部")</f>
        <v>銷售營運部</v>
      </c>
      <c r="O65" s="41" t="str">
        <f>IFERROR(__xludf.DUMMYFUNCTION("""COMPUTED_VALUE"""),"銷售顧問團隊")</f>
        <v>銷售顧問團隊</v>
      </c>
      <c r="P65" s="68">
        <f>IFERROR(__xludf.DUMMYFUNCTION("""COMPUTED_VALUE"""),275.0)</f>
        <v>275</v>
      </c>
      <c r="Q65" s="68">
        <f>IFERROR(__xludf.DUMMYFUNCTION("""COMPUTED_VALUE"""),275.0)</f>
        <v>275</v>
      </c>
      <c r="R65" s="68">
        <f>IFERROR(__xludf.DUMMYFUNCTION("""COMPUTED_VALUE"""),275.0)</f>
        <v>275</v>
      </c>
      <c r="S65" s="68">
        <f>IFERROR(__xludf.DUMMYFUNCTION("""COMPUTED_VALUE"""),275.0)</f>
        <v>275</v>
      </c>
      <c r="T65" s="68">
        <f>IFERROR(__xludf.DUMMYFUNCTION("""COMPUTED_VALUE"""),275.0)</f>
        <v>275</v>
      </c>
      <c r="U65" s="68">
        <f>IFERROR(__xludf.DUMMYFUNCTION("""COMPUTED_VALUE"""),275.0)</f>
        <v>275</v>
      </c>
      <c r="V65" s="68">
        <f>IFERROR(__xludf.DUMMYFUNCTION("""COMPUTED_VALUE"""),275.0)</f>
        <v>275</v>
      </c>
      <c r="W65" s="68">
        <f>IFERROR(__xludf.DUMMYFUNCTION("""COMPUTED_VALUE"""),275.0)</f>
        <v>275</v>
      </c>
      <c r="X65" s="68">
        <f>IFERROR(__xludf.DUMMYFUNCTION("""COMPUTED_VALUE"""),275.0)</f>
        <v>275</v>
      </c>
      <c r="Y65" s="68">
        <f>IFERROR(__xludf.DUMMYFUNCTION("""COMPUTED_VALUE"""),275.0)</f>
        <v>275</v>
      </c>
      <c r="Z65" s="68">
        <f>IFERROR(__xludf.DUMMYFUNCTION("""COMPUTED_VALUE"""),275.0)</f>
        <v>275</v>
      </c>
      <c r="AA65" s="68">
        <f>IFERROR(__xludf.DUMMYFUNCTION("""COMPUTED_VALUE"""),275.0)</f>
        <v>275</v>
      </c>
      <c r="AB65" s="68">
        <f>IFERROR(__xludf.DUMMYFUNCTION("""COMPUTED_VALUE"""),3300.0)</f>
        <v>3300</v>
      </c>
    </row>
    <row r="66">
      <c r="B66" s="41"/>
      <c r="C66" s="41"/>
      <c r="D66" s="41"/>
      <c r="E66" s="41"/>
      <c r="F66" s="41"/>
      <c r="G66" s="41"/>
      <c r="H66" s="41"/>
      <c r="I66" s="41"/>
      <c r="J66" s="41" t="str">
        <f>IFERROR(__xludf.DUMMYFUNCTION("""COMPUTED_VALUE"""),"AICHIP02404101")</f>
        <v>AICHIP02404101</v>
      </c>
      <c r="K66" s="41" t="str">
        <f>IFERROR(__xludf.DUMMYFUNCTION("""COMPUTED_VALUE"""),"1 台 iPad")</f>
        <v>1 台 iPad</v>
      </c>
      <c r="L66" s="41" t="str">
        <f>IFERROR(__xludf.DUMMYFUNCTION("""COMPUTED_VALUE"""),"韓庚祐")</f>
        <v>韓庚祐</v>
      </c>
      <c r="M66" s="41" t="str">
        <f>IFERROR(__xludf.DUMMYFUNCTION("""COMPUTED_VALUE"""),"行銷營運中心")</f>
        <v>行銷營運中心</v>
      </c>
      <c r="N66" s="41" t="str">
        <f>IFERROR(__xludf.DUMMYFUNCTION("""COMPUTED_VALUE"""),"銷售營運部")</f>
        <v>銷售營運部</v>
      </c>
      <c r="O66" s="41" t="str">
        <f>IFERROR(__xludf.DUMMYFUNCTION("""COMPUTED_VALUE"""),"客戶導入團隊")</f>
        <v>客戶導入團隊</v>
      </c>
      <c r="P66" s="68">
        <f>IFERROR(__xludf.DUMMYFUNCTION("""COMPUTED_VALUE"""),275.0)</f>
        <v>275</v>
      </c>
      <c r="Q66" s="68">
        <f>IFERROR(__xludf.DUMMYFUNCTION("""COMPUTED_VALUE"""),275.0)</f>
        <v>275</v>
      </c>
      <c r="R66" s="68">
        <f>IFERROR(__xludf.DUMMYFUNCTION("""COMPUTED_VALUE"""),275.0)</f>
        <v>275</v>
      </c>
      <c r="S66" s="68">
        <f>IFERROR(__xludf.DUMMYFUNCTION("""COMPUTED_VALUE"""),275.0)</f>
        <v>275</v>
      </c>
      <c r="T66" s="68">
        <f>IFERROR(__xludf.DUMMYFUNCTION("""COMPUTED_VALUE"""),275.0)</f>
        <v>275</v>
      </c>
      <c r="U66" s="68">
        <f>IFERROR(__xludf.DUMMYFUNCTION("""COMPUTED_VALUE"""),275.0)</f>
        <v>275</v>
      </c>
      <c r="V66" s="68">
        <f>IFERROR(__xludf.DUMMYFUNCTION("""COMPUTED_VALUE"""),275.0)</f>
        <v>275</v>
      </c>
      <c r="W66" s="68">
        <f>IFERROR(__xludf.DUMMYFUNCTION("""COMPUTED_VALUE"""),275.0)</f>
        <v>275</v>
      </c>
      <c r="X66" s="68">
        <f>IFERROR(__xludf.DUMMYFUNCTION("""COMPUTED_VALUE"""),275.0)</f>
        <v>275</v>
      </c>
      <c r="Y66" s="68">
        <f>IFERROR(__xludf.DUMMYFUNCTION("""COMPUTED_VALUE"""),275.0)</f>
        <v>275</v>
      </c>
      <c r="Z66" s="68">
        <f>IFERROR(__xludf.DUMMYFUNCTION("""COMPUTED_VALUE"""),275.0)</f>
        <v>275</v>
      </c>
      <c r="AA66" s="68">
        <f>IFERROR(__xludf.DUMMYFUNCTION("""COMPUTED_VALUE"""),275.0)</f>
        <v>275</v>
      </c>
      <c r="AB66" s="68">
        <f>IFERROR(__xludf.DUMMYFUNCTION("""COMPUTED_VALUE"""),3300.0)</f>
        <v>3300</v>
      </c>
    </row>
    <row r="67">
      <c r="B67" s="41"/>
      <c r="C67" s="41"/>
      <c r="D67" s="41"/>
      <c r="E67" s="41"/>
      <c r="F67" s="41"/>
      <c r="G67" s="41"/>
      <c r="H67" s="41"/>
      <c r="I67" s="41"/>
      <c r="J67" s="41" t="str">
        <f>IFERROR(__xludf.DUMMYFUNCTION("""COMPUTED_VALUE"""),"AICHMA02405068")</f>
        <v>AICHMA02405068</v>
      </c>
      <c r="K67" s="41" t="str">
        <f>IFERROR(__xludf.DUMMYFUNCTION("""COMPUTED_VALUE"""),"Macbook Air 15""")</f>
        <v>Macbook Air 15"</v>
      </c>
      <c r="L67" s="41" t="str">
        <f>IFERROR(__xludf.DUMMYFUNCTION("""COMPUTED_VALUE"""),"簡士鈞")</f>
        <v>簡士鈞</v>
      </c>
      <c r="M67" s="41" t="str">
        <f>IFERROR(__xludf.DUMMYFUNCTION("""COMPUTED_VALUE"""),"管理中心")</f>
        <v>管理中心</v>
      </c>
      <c r="N67" s="41" t="str">
        <f>IFERROR(__xludf.DUMMYFUNCTION("""COMPUTED_VALUE"""),"人資部")</f>
        <v>人資部</v>
      </c>
      <c r="O67" s="41" t="str">
        <f>IFERROR(__xludf.DUMMYFUNCTION("""COMPUTED_VALUE"""),"人資團隊")</f>
        <v>人資團隊</v>
      </c>
      <c r="P67" s="68">
        <f>IFERROR(__xludf.DUMMYFUNCTION("""COMPUTED_VALUE"""),1206.0)</f>
        <v>1206</v>
      </c>
      <c r="Q67" s="68">
        <f>IFERROR(__xludf.DUMMYFUNCTION("""COMPUTED_VALUE"""),1206.0)</f>
        <v>1206</v>
      </c>
      <c r="R67" s="68">
        <f>IFERROR(__xludf.DUMMYFUNCTION("""COMPUTED_VALUE"""),1206.0)</f>
        <v>1206</v>
      </c>
      <c r="S67" s="68">
        <f>IFERROR(__xludf.DUMMYFUNCTION("""COMPUTED_VALUE"""),1206.0)</f>
        <v>1206</v>
      </c>
      <c r="T67" s="68">
        <f>IFERROR(__xludf.DUMMYFUNCTION("""COMPUTED_VALUE"""),1206.0)</f>
        <v>1206</v>
      </c>
      <c r="U67" s="68">
        <f>IFERROR(__xludf.DUMMYFUNCTION("""COMPUTED_VALUE"""),1206.0)</f>
        <v>1206</v>
      </c>
      <c r="V67" s="68">
        <f>IFERROR(__xludf.DUMMYFUNCTION("""COMPUTED_VALUE"""),1206.0)</f>
        <v>1206</v>
      </c>
      <c r="W67" s="68">
        <f>IFERROR(__xludf.DUMMYFUNCTION("""COMPUTED_VALUE"""),1206.0)</f>
        <v>1206</v>
      </c>
      <c r="X67" s="68">
        <f>IFERROR(__xludf.DUMMYFUNCTION("""COMPUTED_VALUE"""),1206.0)</f>
        <v>1206</v>
      </c>
      <c r="Y67" s="68">
        <f>IFERROR(__xludf.DUMMYFUNCTION("""COMPUTED_VALUE"""),1206.0)</f>
        <v>1206</v>
      </c>
      <c r="Z67" s="68">
        <f>IFERROR(__xludf.DUMMYFUNCTION("""COMPUTED_VALUE"""),1206.0)</f>
        <v>1206</v>
      </c>
      <c r="AA67" s="68">
        <f>IFERROR(__xludf.DUMMYFUNCTION("""COMPUTED_VALUE"""),1206.0)</f>
        <v>1206</v>
      </c>
      <c r="AB67" s="68">
        <f>IFERROR(__xludf.DUMMYFUNCTION("""COMPUTED_VALUE"""),14472.0)</f>
        <v>14472</v>
      </c>
    </row>
    <row r="68">
      <c r="B68" s="41"/>
      <c r="C68" s="41"/>
      <c r="D68" s="41"/>
      <c r="E68" s="41"/>
      <c r="F68" s="41"/>
      <c r="G68" s="41"/>
      <c r="H68" s="41"/>
      <c r="I68" s="41"/>
      <c r="J68" s="41" t="str">
        <f>IFERROR(__xludf.DUMMYFUNCTION("""COMPUTED_VALUE"""),"AICHMA02405069")</f>
        <v>AICHMA02405069</v>
      </c>
      <c r="K68" s="41" t="str">
        <f>IFERROR(__xludf.DUMMYFUNCTION("""COMPUTED_VALUE"""),"Macbook Air")</f>
        <v>Macbook Air</v>
      </c>
      <c r="L68" s="41" t="str">
        <f>IFERROR(__xludf.DUMMYFUNCTION("""COMPUTED_VALUE"""),"許裴宸")</f>
        <v>許裴宸</v>
      </c>
      <c r="M68" s="41" t="str">
        <f>IFERROR(__xludf.DUMMYFUNCTION("""COMPUTED_VALUE"""),"客戶價值中心")</f>
        <v>客戶價值中心</v>
      </c>
      <c r="N68" s="41" t="str">
        <f>IFERROR(__xludf.DUMMYFUNCTION("""COMPUTED_VALUE"""),"客戶關係管理部")</f>
        <v>客戶關係管理部</v>
      </c>
      <c r="O68" s="41" t="str">
        <f>IFERROR(__xludf.DUMMYFUNCTION("""COMPUTED_VALUE"""),"續約管理團隊")</f>
        <v>續約管理團隊</v>
      </c>
      <c r="P68" s="68">
        <f>IFERROR(__xludf.DUMMYFUNCTION("""COMPUTED_VALUE"""),1031.0)</f>
        <v>1031</v>
      </c>
      <c r="Q68" s="68">
        <f>IFERROR(__xludf.DUMMYFUNCTION("""COMPUTED_VALUE"""),1031.0)</f>
        <v>1031</v>
      </c>
      <c r="R68" s="68">
        <f>IFERROR(__xludf.DUMMYFUNCTION("""COMPUTED_VALUE"""),1031.0)</f>
        <v>1031</v>
      </c>
      <c r="S68" s="68">
        <f>IFERROR(__xludf.DUMMYFUNCTION("""COMPUTED_VALUE"""),1031.0)</f>
        <v>1031</v>
      </c>
      <c r="T68" s="68">
        <f>IFERROR(__xludf.DUMMYFUNCTION("""COMPUTED_VALUE"""),1031.0)</f>
        <v>1031</v>
      </c>
      <c r="U68" s="68">
        <f>IFERROR(__xludf.DUMMYFUNCTION("""COMPUTED_VALUE"""),1031.0)</f>
        <v>1031</v>
      </c>
      <c r="V68" s="68">
        <f>IFERROR(__xludf.DUMMYFUNCTION("""COMPUTED_VALUE"""),1031.0)</f>
        <v>1031</v>
      </c>
      <c r="W68" s="68">
        <f>IFERROR(__xludf.DUMMYFUNCTION("""COMPUTED_VALUE"""),1031.0)</f>
        <v>1031</v>
      </c>
      <c r="X68" s="68">
        <f>IFERROR(__xludf.DUMMYFUNCTION("""COMPUTED_VALUE"""),1031.0)</f>
        <v>1031</v>
      </c>
      <c r="Y68" s="68">
        <f>IFERROR(__xludf.DUMMYFUNCTION("""COMPUTED_VALUE"""),1031.0)</f>
        <v>1031</v>
      </c>
      <c r="Z68" s="68">
        <f>IFERROR(__xludf.DUMMYFUNCTION("""COMPUTED_VALUE"""),1031.0)</f>
        <v>1031</v>
      </c>
      <c r="AA68" s="68">
        <f>IFERROR(__xludf.DUMMYFUNCTION("""COMPUTED_VALUE"""),1031.0)</f>
        <v>1031</v>
      </c>
      <c r="AB68" s="68">
        <f>IFERROR(__xludf.DUMMYFUNCTION("""COMPUTED_VALUE"""),12372.0)</f>
        <v>12372</v>
      </c>
    </row>
    <row r="69">
      <c r="B69" s="41"/>
      <c r="C69" s="41"/>
      <c r="D69" s="41"/>
      <c r="E69" s="41"/>
      <c r="F69" s="41"/>
      <c r="G69" s="41"/>
      <c r="H69" s="41"/>
      <c r="I69" s="41"/>
      <c r="J69" s="41" t="str">
        <f>IFERROR(__xludf.DUMMYFUNCTION("""COMPUTED_VALUE"""),"AICHMA02405070")</f>
        <v>AICHMA02405070</v>
      </c>
      <c r="K69" s="41" t="str">
        <f>IFERROR(__xludf.DUMMYFUNCTION("""COMPUTED_VALUE"""),"Macbook Air")</f>
        <v>Macbook Air</v>
      </c>
      <c r="L69" s="41" t="str">
        <f>IFERROR(__xludf.DUMMYFUNCTION("""COMPUTED_VALUE"""),"楊為方")</f>
        <v>楊為方</v>
      </c>
      <c r="M69" s="41" t="str">
        <f>IFERROR(__xludf.DUMMYFUNCTION("""COMPUTED_VALUE"""),"行銷營運中心")</f>
        <v>行銷營運中心</v>
      </c>
      <c r="N69" s="41" t="str">
        <f>IFERROR(__xludf.DUMMYFUNCTION("""COMPUTED_VALUE"""),"產品行銷部")</f>
        <v>產品行銷部</v>
      </c>
      <c r="O69" s="41" t="str">
        <f>IFERROR(__xludf.DUMMYFUNCTION("""COMPUTED_VALUE"""),"產品品牌團隊")</f>
        <v>產品品牌團隊</v>
      </c>
      <c r="P69" s="68">
        <f>IFERROR(__xludf.DUMMYFUNCTION("""COMPUTED_VALUE"""),1033.0)</f>
        <v>1033</v>
      </c>
      <c r="Q69" s="68">
        <f>IFERROR(__xludf.DUMMYFUNCTION("""COMPUTED_VALUE"""),1033.0)</f>
        <v>1033</v>
      </c>
      <c r="R69" s="68">
        <f>IFERROR(__xludf.DUMMYFUNCTION("""COMPUTED_VALUE"""),1033.0)</f>
        <v>1033</v>
      </c>
      <c r="S69" s="68">
        <f>IFERROR(__xludf.DUMMYFUNCTION("""COMPUTED_VALUE"""),1033.0)</f>
        <v>1033</v>
      </c>
      <c r="T69" s="68">
        <f>IFERROR(__xludf.DUMMYFUNCTION("""COMPUTED_VALUE"""),1033.0)</f>
        <v>1033</v>
      </c>
      <c r="U69" s="68">
        <f>IFERROR(__xludf.DUMMYFUNCTION("""COMPUTED_VALUE"""),1033.0)</f>
        <v>1033</v>
      </c>
      <c r="V69" s="68">
        <f>IFERROR(__xludf.DUMMYFUNCTION("""COMPUTED_VALUE"""),1033.0)</f>
        <v>1033</v>
      </c>
      <c r="W69" s="68">
        <f>IFERROR(__xludf.DUMMYFUNCTION("""COMPUTED_VALUE"""),1033.0)</f>
        <v>1033</v>
      </c>
      <c r="X69" s="68">
        <f>IFERROR(__xludf.DUMMYFUNCTION("""COMPUTED_VALUE"""),1033.0)</f>
        <v>1033</v>
      </c>
      <c r="Y69" s="68">
        <f>IFERROR(__xludf.DUMMYFUNCTION("""COMPUTED_VALUE"""),1033.0)</f>
        <v>1033</v>
      </c>
      <c r="Z69" s="68">
        <f>IFERROR(__xludf.DUMMYFUNCTION("""COMPUTED_VALUE"""),1033.0)</f>
        <v>1033</v>
      </c>
      <c r="AA69" s="68">
        <f>IFERROR(__xludf.DUMMYFUNCTION("""COMPUTED_VALUE"""),1033.0)</f>
        <v>1033</v>
      </c>
      <c r="AB69" s="68">
        <f>IFERROR(__xludf.DUMMYFUNCTION("""COMPUTED_VALUE"""),12396.0)</f>
        <v>12396</v>
      </c>
    </row>
    <row r="70">
      <c r="B70" s="41"/>
      <c r="C70" s="41"/>
      <c r="D70" s="41"/>
      <c r="E70" s="41"/>
      <c r="F70" s="41"/>
      <c r="G70" s="41"/>
      <c r="H70" s="41"/>
      <c r="I70" s="41"/>
      <c r="J70" s="41" t="str">
        <f>IFERROR(__xludf.DUMMYFUNCTION("""COMPUTED_VALUE"""),"AICHMA02405071")</f>
        <v>AICHMA02405071</v>
      </c>
      <c r="K70" s="41" t="str">
        <f>IFERROR(__xludf.DUMMYFUNCTION("""COMPUTED_VALUE"""),"Macbook Air")</f>
        <v>Macbook Air</v>
      </c>
      <c r="L70" s="41" t="str">
        <f>IFERROR(__xludf.DUMMYFUNCTION("""COMPUTED_VALUE"""),"黃詩婷")</f>
        <v>黃詩婷</v>
      </c>
      <c r="M70" s="41" t="str">
        <f>IFERROR(__xludf.DUMMYFUNCTION("""COMPUTED_VALUE"""),"管理中心")</f>
        <v>管理中心</v>
      </c>
      <c r="N70" s="41" t="str">
        <f>IFERROR(__xludf.DUMMYFUNCTION("""COMPUTED_VALUE"""),"法務部")</f>
        <v>法務部</v>
      </c>
      <c r="O70" s="41" t="str">
        <f>IFERROR(__xludf.DUMMYFUNCTION("""COMPUTED_VALUE"""),"法務團隊")</f>
        <v>法務團隊</v>
      </c>
      <c r="P70" s="68">
        <f>IFERROR(__xludf.DUMMYFUNCTION("""COMPUTED_VALUE"""),811.0)</f>
        <v>811</v>
      </c>
      <c r="Q70" s="68">
        <f>IFERROR(__xludf.DUMMYFUNCTION("""COMPUTED_VALUE"""),811.0)</f>
        <v>811</v>
      </c>
      <c r="R70" s="68">
        <f>IFERROR(__xludf.DUMMYFUNCTION("""COMPUTED_VALUE"""),811.0)</f>
        <v>811</v>
      </c>
      <c r="S70" s="68">
        <f>IFERROR(__xludf.DUMMYFUNCTION("""COMPUTED_VALUE"""),811.0)</f>
        <v>811</v>
      </c>
      <c r="T70" s="68">
        <f>IFERROR(__xludf.DUMMYFUNCTION("""COMPUTED_VALUE"""),811.0)</f>
        <v>811</v>
      </c>
      <c r="U70" s="68">
        <f>IFERROR(__xludf.DUMMYFUNCTION("""COMPUTED_VALUE"""),811.0)</f>
        <v>811</v>
      </c>
      <c r="V70" s="68">
        <f>IFERROR(__xludf.DUMMYFUNCTION("""COMPUTED_VALUE"""),811.0)</f>
        <v>811</v>
      </c>
      <c r="W70" s="68">
        <f>IFERROR(__xludf.DUMMYFUNCTION("""COMPUTED_VALUE"""),811.0)</f>
        <v>811</v>
      </c>
      <c r="X70" s="68">
        <f>IFERROR(__xludf.DUMMYFUNCTION("""COMPUTED_VALUE"""),811.0)</f>
        <v>811</v>
      </c>
      <c r="Y70" s="68">
        <f>IFERROR(__xludf.DUMMYFUNCTION("""COMPUTED_VALUE"""),811.0)</f>
        <v>811</v>
      </c>
      <c r="Z70" s="68">
        <f>IFERROR(__xludf.DUMMYFUNCTION("""COMPUTED_VALUE"""),811.0)</f>
        <v>811</v>
      </c>
      <c r="AA70" s="68">
        <f>IFERROR(__xludf.DUMMYFUNCTION("""COMPUTED_VALUE"""),811.0)</f>
        <v>811</v>
      </c>
      <c r="AB70" s="68">
        <f>IFERROR(__xludf.DUMMYFUNCTION("""COMPUTED_VALUE"""),9732.0)</f>
        <v>9732</v>
      </c>
    </row>
    <row r="71">
      <c r="B71" s="41"/>
      <c r="C71" s="41"/>
      <c r="D71" s="41"/>
      <c r="E71" s="41"/>
      <c r="F71" s="41"/>
      <c r="G71" s="41"/>
      <c r="H71" s="41"/>
      <c r="I71" s="41"/>
      <c r="J71" s="41" t="str">
        <f>IFERROR(__xludf.DUMMYFUNCTION("""COMPUTED_VALUE"""),"AICHMA02405072")</f>
        <v>AICHMA02405072</v>
      </c>
      <c r="K71" s="41" t="str">
        <f>IFERROR(__xludf.DUMMYFUNCTION("""COMPUTED_VALUE"""),"Macbook Air")</f>
        <v>Macbook Air</v>
      </c>
      <c r="L71" s="41" t="str">
        <f>IFERROR(__xludf.DUMMYFUNCTION("""COMPUTED_VALUE"""),"李艾凌")</f>
        <v>李艾凌</v>
      </c>
      <c r="M71" s="41" t="str">
        <f>IFERROR(__xludf.DUMMYFUNCTION("""COMPUTED_VALUE"""),"行銷營運中心")</f>
        <v>行銷營運中心</v>
      </c>
      <c r="N71" s="41" t="str">
        <f>IFERROR(__xludf.DUMMYFUNCTION("""COMPUTED_VALUE"""),"銷售營運部")</f>
        <v>銷售營運部</v>
      </c>
      <c r="O71" s="41" t="str">
        <f>IFERROR(__xludf.DUMMYFUNCTION("""COMPUTED_VALUE"""),"銷售顧問團隊")</f>
        <v>銷售顧問團隊</v>
      </c>
      <c r="P71" s="68">
        <f>IFERROR(__xludf.DUMMYFUNCTION("""COMPUTED_VALUE"""),811.0)</f>
        <v>811</v>
      </c>
      <c r="Q71" s="68">
        <f>IFERROR(__xludf.DUMMYFUNCTION("""COMPUTED_VALUE"""),811.0)</f>
        <v>811</v>
      </c>
      <c r="R71" s="68">
        <f>IFERROR(__xludf.DUMMYFUNCTION("""COMPUTED_VALUE"""),811.0)</f>
        <v>811</v>
      </c>
      <c r="S71" s="68">
        <f>IFERROR(__xludf.DUMMYFUNCTION("""COMPUTED_VALUE"""),811.0)</f>
        <v>811</v>
      </c>
      <c r="T71" s="68">
        <f>IFERROR(__xludf.DUMMYFUNCTION("""COMPUTED_VALUE"""),811.0)</f>
        <v>811</v>
      </c>
      <c r="U71" s="68">
        <f>IFERROR(__xludf.DUMMYFUNCTION("""COMPUTED_VALUE"""),811.0)</f>
        <v>811</v>
      </c>
      <c r="V71" s="68">
        <f>IFERROR(__xludf.DUMMYFUNCTION("""COMPUTED_VALUE"""),811.0)</f>
        <v>811</v>
      </c>
      <c r="W71" s="68">
        <f>IFERROR(__xludf.DUMMYFUNCTION("""COMPUTED_VALUE"""),811.0)</f>
        <v>811</v>
      </c>
      <c r="X71" s="68">
        <f>IFERROR(__xludf.DUMMYFUNCTION("""COMPUTED_VALUE"""),811.0)</f>
        <v>811</v>
      </c>
      <c r="Y71" s="68">
        <f>IFERROR(__xludf.DUMMYFUNCTION("""COMPUTED_VALUE"""),811.0)</f>
        <v>811</v>
      </c>
      <c r="Z71" s="68">
        <f>IFERROR(__xludf.DUMMYFUNCTION("""COMPUTED_VALUE"""),811.0)</f>
        <v>811</v>
      </c>
      <c r="AA71" s="68">
        <f>IFERROR(__xludf.DUMMYFUNCTION("""COMPUTED_VALUE"""),811.0)</f>
        <v>811</v>
      </c>
      <c r="AB71" s="68">
        <f>IFERROR(__xludf.DUMMYFUNCTION("""COMPUTED_VALUE"""),9732.0)</f>
        <v>9732</v>
      </c>
    </row>
    <row r="72">
      <c r="B72" s="41"/>
      <c r="C72" s="41"/>
      <c r="D72" s="41"/>
      <c r="E72" s="41"/>
      <c r="F72" s="41"/>
      <c r="G72" s="41"/>
      <c r="H72" s="41"/>
      <c r="I72" s="41"/>
      <c r="J72" s="41" t="str">
        <f>IFERROR(__xludf.DUMMYFUNCTION("""COMPUTED_VALUE"""),"AICHMA02405073")</f>
        <v>AICHMA02405073</v>
      </c>
      <c r="K72" s="41" t="str">
        <f>IFERROR(__xludf.DUMMYFUNCTION("""COMPUTED_VALUE"""),"Macbook Air")</f>
        <v>Macbook Air</v>
      </c>
      <c r="L72" s="41" t="str">
        <f>IFERROR(__xludf.DUMMYFUNCTION("""COMPUTED_VALUE"""),"韓庚祐")</f>
        <v>韓庚祐</v>
      </c>
      <c r="M72" s="41" t="str">
        <f>IFERROR(__xludf.DUMMYFUNCTION("""COMPUTED_VALUE"""),"行銷營運中心")</f>
        <v>行銷營運中心</v>
      </c>
      <c r="N72" s="41" t="str">
        <f>IFERROR(__xludf.DUMMYFUNCTION("""COMPUTED_VALUE"""),"銷售營運部")</f>
        <v>銷售營運部</v>
      </c>
      <c r="O72" s="41" t="str">
        <f>IFERROR(__xludf.DUMMYFUNCTION("""COMPUTED_VALUE"""),"客戶導入團隊")</f>
        <v>客戶導入團隊</v>
      </c>
      <c r="P72" s="68">
        <f>IFERROR(__xludf.DUMMYFUNCTION("""COMPUTED_VALUE"""),811.0)</f>
        <v>811</v>
      </c>
      <c r="Q72" s="68">
        <f>IFERROR(__xludf.DUMMYFUNCTION("""COMPUTED_VALUE"""),811.0)</f>
        <v>811</v>
      </c>
      <c r="R72" s="68">
        <f>IFERROR(__xludf.DUMMYFUNCTION("""COMPUTED_VALUE"""),811.0)</f>
        <v>811</v>
      </c>
      <c r="S72" s="68">
        <f>IFERROR(__xludf.DUMMYFUNCTION("""COMPUTED_VALUE"""),811.0)</f>
        <v>811</v>
      </c>
      <c r="T72" s="68">
        <f>IFERROR(__xludf.DUMMYFUNCTION("""COMPUTED_VALUE"""),811.0)</f>
        <v>811</v>
      </c>
      <c r="U72" s="68">
        <f>IFERROR(__xludf.DUMMYFUNCTION("""COMPUTED_VALUE"""),811.0)</f>
        <v>811</v>
      </c>
      <c r="V72" s="68">
        <f>IFERROR(__xludf.DUMMYFUNCTION("""COMPUTED_VALUE"""),811.0)</f>
        <v>811</v>
      </c>
      <c r="W72" s="68">
        <f>IFERROR(__xludf.DUMMYFUNCTION("""COMPUTED_VALUE"""),811.0)</f>
        <v>811</v>
      </c>
      <c r="X72" s="68">
        <f>IFERROR(__xludf.DUMMYFUNCTION("""COMPUTED_VALUE"""),811.0)</f>
        <v>811</v>
      </c>
      <c r="Y72" s="68">
        <f>IFERROR(__xludf.DUMMYFUNCTION("""COMPUTED_VALUE"""),811.0)</f>
        <v>811</v>
      </c>
      <c r="Z72" s="68">
        <f>IFERROR(__xludf.DUMMYFUNCTION("""COMPUTED_VALUE"""),811.0)</f>
        <v>811</v>
      </c>
      <c r="AA72" s="68">
        <f>IFERROR(__xludf.DUMMYFUNCTION("""COMPUTED_VALUE"""),811.0)</f>
        <v>811</v>
      </c>
      <c r="AB72" s="68">
        <f>IFERROR(__xludf.DUMMYFUNCTION("""COMPUTED_VALUE"""),9732.0)</f>
        <v>9732</v>
      </c>
    </row>
    <row r="73">
      <c r="B73" s="41"/>
      <c r="C73" s="41"/>
      <c r="D73" s="41"/>
      <c r="E73" s="41"/>
      <c r="F73" s="41"/>
      <c r="G73" s="41"/>
      <c r="H73" s="41"/>
      <c r="I73" s="41"/>
      <c r="J73" s="41" t="str">
        <f>IFERROR(__xludf.DUMMYFUNCTION("""COMPUTED_VALUE"""),"AICHMA02405074")</f>
        <v>AICHMA02405074</v>
      </c>
      <c r="K73" s="41" t="str">
        <f>IFERROR(__xludf.DUMMYFUNCTION("""COMPUTED_VALUE"""),"Macbook Air")</f>
        <v>Macbook Air</v>
      </c>
      <c r="L73" s="41" t="str">
        <f>IFERROR(__xludf.DUMMYFUNCTION("""COMPUTED_VALUE"""),"劉貞妘")</f>
        <v>劉貞妘</v>
      </c>
      <c r="M73" s="41" t="str">
        <f>IFERROR(__xludf.DUMMYFUNCTION("""COMPUTED_VALUE"""),"行銷營運中心")</f>
        <v>行銷營運中心</v>
      </c>
      <c r="N73" s="41" t="str">
        <f>IFERROR(__xludf.DUMMYFUNCTION("""COMPUTED_VALUE"""),"銷售營運部")</f>
        <v>銷售營運部</v>
      </c>
      <c r="O73" s="41" t="str">
        <f>IFERROR(__xludf.DUMMYFUNCTION("""COMPUTED_VALUE"""),"銷售顧問團隊")</f>
        <v>銷售顧問團隊</v>
      </c>
      <c r="P73" s="68">
        <f>IFERROR(__xludf.DUMMYFUNCTION("""COMPUTED_VALUE"""),811.0)</f>
        <v>811</v>
      </c>
      <c r="Q73" s="68">
        <f>IFERROR(__xludf.DUMMYFUNCTION("""COMPUTED_VALUE"""),811.0)</f>
        <v>811</v>
      </c>
      <c r="R73" s="68">
        <f>IFERROR(__xludf.DUMMYFUNCTION("""COMPUTED_VALUE"""),811.0)</f>
        <v>811</v>
      </c>
      <c r="S73" s="68">
        <f>IFERROR(__xludf.DUMMYFUNCTION("""COMPUTED_VALUE"""),811.0)</f>
        <v>811</v>
      </c>
      <c r="T73" s="68">
        <f>IFERROR(__xludf.DUMMYFUNCTION("""COMPUTED_VALUE"""),811.0)</f>
        <v>811</v>
      </c>
      <c r="U73" s="68">
        <f>IFERROR(__xludf.DUMMYFUNCTION("""COMPUTED_VALUE"""),811.0)</f>
        <v>811</v>
      </c>
      <c r="V73" s="68">
        <f>IFERROR(__xludf.DUMMYFUNCTION("""COMPUTED_VALUE"""),811.0)</f>
        <v>811</v>
      </c>
      <c r="W73" s="68">
        <f>IFERROR(__xludf.DUMMYFUNCTION("""COMPUTED_VALUE"""),811.0)</f>
        <v>811</v>
      </c>
      <c r="X73" s="68">
        <f>IFERROR(__xludf.DUMMYFUNCTION("""COMPUTED_VALUE"""),811.0)</f>
        <v>811</v>
      </c>
      <c r="Y73" s="68">
        <f>IFERROR(__xludf.DUMMYFUNCTION("""COMPUTED_VALUE"""),811.0)</f>
        <v>811</v>
      </c>
      <c r="Z73" s="68">
        <f>IFERROR(__xludf.DUMMYFUNCTION("""COMPUTED_VALUE"""),811.0)</f>
        <v>811</v>
      </c>
      <c r="AA73" s="68">
        <f>IFERROR(__xludf.DUMMYFUNCTION("""COMPUTED_VALUE"""),811.0)</f>
        <v>811</v>
      </c>
      <c r="AB73" s="68">
        <f>IFERROR(__xludf.DUMMYFUNCTION("""COMPUTED_VALUE"""),9732.0)</f>
        <v>9732</v>
      </c>
    </row>
    <row r="74">
      <c r="B74" s="41"/>
      <c r="C74" s="41"/>
      <c r="D74" s="41"/>
      <c r="E74" s="41"/>
      <c r="F74" s="41"/>
      <c r="G74" s="41"/>
      <c r="H74" s="41"/>
      <c r="I74" s="41"/>
      <c r="J74" s="41" t="str">
        <f>IFERROR(__xludf.DUMMYFUNCTION("""COMPUTED_VALUE"""),"AICHIP02406102")</f>
        <v>AICHIP02406102</v>
      </c>
      <c r="K74" s="41" t="str">
        <f>IFERROR(__xludf.DUMMYFUNCTION("""COMPUTED_VALUE"""),"APPLE MPQ03TA/A 10.9-inch iPad Wi-Fi 64G")</f>
        <v>APPLE MPQ03TA/A 10.9-inch iPad Wi-Fi 64G</v>
      </c>
      <c r="L74" s="41" t="str">
        <f>IFERROR(__xludf.DUMMYFUNCTION("""COMPUTED_VALUE"""),"李菩綾")</f>
        <v>李菩綾</v>
      </c>
      <c r="M74" s="41" t="str">
        <f>IFERROR(__xludf.DUMMYFUNCTION("""COMPUTED_VALUE"""),"客戶價值中心")</f>
        <v>客戶價值中心</v>
      </c>
      <c r="N74" s="41" t="str">
        <f>IFERROR(__xludf.DUMMYFUNCTION("""COMPUTED_VALUE"""),"客戶關係管理部")</f>
        <v>客戶關係管理部</v>
      </c>
      <c r="O74" s="41" t="str">
        <f>IFERROR(__xludf.DUMMYFUNCTION("""COMPUTED_VALUE"""),"客服團隊  客立樂顧問/Oversea")</f>
        <v>客服團隊  客立樂顧問/Oversea</v>
      </c>
      <c r="P74" s="68">
        <f>IFERROR(__xludf.DUMMYFUNCTION("""COMPUTED_VALUE"""),294.0)</f>
        <v>294</v>
      </c>
      <c r="Q74" s="68">
        <f>IFERROR(__xludf.DUMMYFUNCTION("""COMPUTED_VALUE"""),294.0)</f>
        <v>294</v>
      </c>
      <c r="R74" s="68">
        <f>IFERROR(__xludf.DUMMYFUNCTION("""COMPUTED_VALUE"""),294.0)</f>
        <v>294</v>
      </c>
      <c r="S74" s="68">
        <f>IFERROR(__xludf.DUMMYFUNCTION("""COMPUTED_VALUE"""),294.0)</f>
        <v>294</v>
      </c>
      <c r="T74" s="68">
        <f>IFERROR(__xludf.DUMMYFUNCTION("""COMPUTED_VALUE"""),294.0)</f>
        <v>294</v>
      </c>
      <c r="U74" s="68">
        <f>IFERROR(__xludf.DUMMYFUNCTION("""COMPUTED_VALUE"""),294.0)</f>
        <v>294</v>
      </c>
      <c r="V74" s="68">
        <f>IFERROR(__xludf.DUMMYFUNCTION("""COMPUTED_VALUE"""),294.0)</f>
        <v>294</v>
      </c>
      <c r="W74" s="68">
        <f>IFERROR(__xludf.DUMMYFUNCTION("""COMPUTED_VALUE"""),294.0)</f>
        <v>294</v>
      </c>
      <c r="X74" s="68">
        <f>IFERROR(__xludf.DUMMYFUNCTION("""COMPUTED_VALUE"""),294.0)</f>
        <v>294</v>
      </c>
      <c r="Y74" s="68">
        <f>IFERROR(__xludf.DUMMYFUNCTION("""COMPUTED_VALUE"""),294.0)</f>
        <v>294</v>
      </c>
      <c r="Z74" s="68">
        <f>IFERROR(__xludf.DUMMYFUNCTION("""COMPUTED_VALUE"""),294.0)</f>
        <v>294</v>
      </c>
      <c r="AA74" s="68">
        <f>IFERROR(__xludf.DUMMYFUNCTION("""COMPUTED_VALUE"""),294.0)</f>
        <v>294</v>
      </c>
      <c r="AB74" s="68">
        <f>IFERROR(__xludf.DUMMYFUNCTION("""COMPUTED_VALUE"""),3528.0)</f>
        <v>3528</v>
      </c>
    </row>
    <row r="75">
      <c r="B75" s="41"/>
      <c r="C75" s="41"/>
      <c r="D75" s="41"/>
      <c r="E75" s="41"/>
      <c r="F75" s="41"/>
      <c r="G75" s="41"/>
      <c r="H75" s="41"/>
      <c r="I75" s="41"/>
      <c r="J75" s="41" t="str">
        <f>IFERROR(__xludf.DUMMYFUNCTION("""COMPUTED_VALUE"""),"AICHIP02406103")</f>
        <v>AICHIP02406103</v>
      </c>
      <c r="K75" s="41" t="str">
        <f>IFERROR(__xludf.DUMMYFUNCTION("""COMPUTED_VALUE"""),"APPLE MPQ03TA/A 10.9-inch iPad Wi-Fi 64G")</f>
        <v>APPLE MPQ03TA/A 10.9-inch iPad Wi-Fi 64G</v>
      </c>
      <c r="L75" s="41" t="str">
        <f>IFERROR(__xludf.DUMMYFUNCTION("""COMPUTED_VALUE"""),"吳芯儀")</f>
        <v>吳芯儀</v>
      </c>
      <c r="M75" s="41" t="str">
        <f>IFERROR(__xludf.DUMMYFUNCTION("""COMPUTED_VALUE"""),"客戶價值中心")</f>
        <v>客戶價值中心</v>
      </c>
      <c r="N75" s="41" t="str">
        <f>IFERROR(__xludf.DUMMYFUNCTION("""COMPUTED_VALUE"""),"客戶關係管理部")</f>
        <v>客戶關係管理部</v>
      </c>
      <c r="O75" s="41" t="str">
        <f>IFERROR(__xludf.DUMMYFUNCTION("""COMPUTED_VALUE"""),"客服團隊 POS/OMO")</f>
        <v>客服團隊 POS/OMO</v>
      </c>
      <c r="P75" s="68">
        <f>IFERROR(__xludf.DUMMYFUNCTION("""COMPUTED_VALUE"""),294.0)</f>
        <v>294</v>
      </c>
      <c r="Q75" s="68">
        <f>IFERROR(__xludf.DUMMYFUNCTION("""COMPUTED_VALUE"""),294.0)</f>
        <v>294</v>
      </c>
      <c r="R75" s="68">
        <f>IFERROR(__xludf.DUMMYFUNCTION("""COMPUTED_VALUE"""),294.0)</f>
        <v>294</v>
      </c>
      <c r="S75" s="68">
        <f>IFERROR(__xludf.DUMMYFUNCTION("""COMPUTED_VALUE"""),294.0)</f>
        <v>294</v>
      </c>
      <c r="T75" s="68">
        <f>IFERROR(__xludf.DUMMYFUNCTION("""COMPUTED_VALUE"""),294.0)</f>
        <v>294</v>
      </c>
      <c r="U75" s="68">
        <f>IFERROR(__xludf.DUMMYFUNCTION("""COMPUTED_VALUE"""),294.0)</f>
        <v>294</v>
      </c>
      <c r="V75" s="68">
        <f>IFERROR(__xludf.DUMMYFUNCTION("""COMPUTED_VALUE"""),294.0)</f>
        <v>294</v>
      </c>
      <c r="W75" s="68">
        <f>IFERROR(__xludf.DUMMYFUNCTION("""COMPUTED_VALUE"""),294.0)</f>
        <v>294</v>
      </c>
      <c r="X75" s="68">
        <f>IFERROR(__xludf.DUMMYFUNCTION("""COMPUTED_VALUE"""),294.0)</f>
        <v>294</v>
      </c>
      <c r="Y75" s="68">
        <f>IFERROR(__xludf.DUMMYFUNCTION("""COMPUTED_VALUE"""),294.0)</f>
        <v>294</v>
      </c>
      <c r="Z75" s="68">
        <f>IFERROR(__xludf.DUMMYFUNCTION("""COMPUTED_VALUE"""),294.0)</f>
        <v>294</v>
      </c>
      <c r="AA75" s="68">
        <f>IFERROR(__xludf.DUMMYFUNCTION("""COMPUTED_VALUE"""),294.0)</f>
        <v>294</v>
      </c>
      <c r="AB75" s="68">
        <f>IFERROR(__xludf.DUMMYFUNCTION("""COMPUTED_VALUE"""),3528.0)</f>
        <v>3528</v>
      </c>
    </row>
    <row r="76">
      <c r="B76" s="41"/>
      <c r="C76" s="41"/>
      <c r="D76" s="41"/>
      <c r="E76" s="41"/>
      <c r="F76" s="41"/>
      <c r="G76" s="41"/>
      <c r="H76" s="41"/>
      <c r="I76" s="41"/>
      <c r="J76" s="41" t="str">
        <f>IFERROR(__xludf.DUMMYFUNCTION("""COMPUTED_VALUE"""),"AICHMA02405066")</f>
        <v>AICHMA02405066</v>
      </c>
      <c r="K76" s="41" t="str">
        <f>IFERROR(__xludf.DUMMYFUNCTION("""COMPUTED_VALUE"""),"Macbook Air")</f>
        <v>Macbook Air</v>
      </c>
      <c r="L76" s="41" t="str">
        <f>IFERROR(__xludf.DUMMYFUNCTION("""COMPUTED_VALUE"""),"莊媁晨")</f>
        <v>莊媁晨</v>
      </c>
      <c r="M76" s="41" t="str">
        <f>IFERROR(__xludf.DUMMYFUNCTION("""COMPUTED_VALUE"""),"客戶價值中心")</f>
        <v>客戶價值中心</v>
      </c>
      <c r="N76" s="41" t="str">
        <f>IFERROR(__xludf.DUMMYFUNCTION("""COMPUTED_VALUE"""),"客戶關係管理部")</f>
        <v>客戶關係管理部</v>
      </c>
      <c r="O76" s="41" t="str">
        <f>IFERROR(__xludf.DUMMYFUNCTION("""COMPUTED_VALUE"""),"續約管理團隊")</f>
        <v>續約管理團隊</v>
      </c>
      <c r="P76" s="68">
        <f>IFERROR(__xludf.DUMMYFUNCTION("""COMPUTED_VALUE"""),883.0)</f>
        <v>883</v>
      </c>
      <c r="Q76" s="68">
        <f>IFERROR(__xludf.DUMMYFUNCTION("""COMPUTED_VALUE"""),883.0)</f>
        <v>883</v>
      </c>
      <c r="R76" s="68">
        <f>IFERROR(__xludf.DUMMYFUNCTION("""COMPUTED_VALUE"""),883.0)</f>
        <v>883</v>
      </c>
      <c r="S76" s="68">
        <f>IFERROR(__xludf.DUMMYFUNCTION("""COMPUTED_VALUE"""),883.0)</f>
        <v>883</v>
      </c>
      <c r="T76" s="68">
        <f>IFERROR(__xludf.DUMMYFUNCTION("""COMPUTED_VALUE"""),883.0)</f>
        <v>883</v>
      </c>
      <c r="U76" s="68">
        <f>IFERROR(__xludf.DUMMYFUNCTION("""COMPUTED_VALUE"""),883.0)</f>
        <v>883</v>
      </c>
      <c r="V76" s="68">
        <f>IFERROR(__xludf.DUMMYFUNCTION("""COMPUTED_VALUE"""),883.0)</f>
        <v>883</v>
      </c>
      <c r="W76" s="68">
        <f>IFERROR(__xludf.DUMMYFUNCTION("""COMPUTED_VALUE"""),883.0)</f>
        <v>883</v>
      </c>
      <c r="X76" s="68">
        <f>IFERROR(__xludf.DUMMYFUNCTION("""COMPUTED_VALUE"""),883.0)</f>
        <v>883</v>
      </c>
      <c r="Y76" s="68">
        <f>IFERROR(__xludf.DUMMYFUNCTION("""COMPUTED_VALUE"""),883.0)</f>
        <v>883</v>
      </c>
      <c r="Z76" s="68">
        <f>IFERROR(__xludf.DUMMYFUNCTION("""COMPUTED_VALUE"""),883.0)</f>
        <v>883</v>
      </c>
      <c r="AA76" s="68">
        <f>IFERROR(__xludf.DUMMYFUNCTION("""COMPUTED_VALUE"""),883.0)</f>
        <v>883</v>
      </c>
      <c r="AB76" s="68">
        <f>IFERROR(__xludf.DUMMYFUNCTION("""COMPUTED_VALUE"""),10596.0)</f>
        <v>10596</v>
      </c>
    </row>
    <row r="77">
      <c r="B77" s="41"/>
      <c r="C77" s="41"/>
      <c r="D77" s="41"/>
      <c r="E77" s="41"/>
      <c r="F77" s="41"/>
      <c r="G77" s="41"/>
      <c r="H77" s="41"/>
      <c r="I77" s="41"/>
      <c r="J77" s="41" t="str">
        <f>IFERROR(__xludf.DUMMYFUNCTION("""COMPUTED_VALUE"""),"AICHMA02405067")</f>
        <v>AICHMA02405067</v>
      </c>
      <c r="K77" s="41" t="str">
        <f>IFERROR(__xludf.DUMMYFUNCTION("""COMPUTED_VALUE"""),"Macbook Air")</f>
        <v>Macbook Air</v>
      </c>
      <c r="L77" s="41" t="str">
        <f>IFERROR(__xludf.DUMMYFUNCTION("""COMPUTED_VALUE"""),"朱肇平")</f>
        <v>朱肇平</v>
      </c>
      <c r="M77" s="41" t="str">
        <f>IFERROR(__xludf.DUMMYFUNCTION("""COMPUTED_VALUE"""),"客戶價值中心")</f>
        <v>客戶價值中心</v>
      </c>
      <c r="N77" s="41" t="str">
        <f>IFERROR(__xludf.DUMMYFUNCTION("""COMPUTED_VALUE"""),"客戶成功管理部")</f>
        <v>客戶成功管理部</v>
      </c>
      <c r="O77" s="41" t="str">
        <f>IFERROR(__xludf.DUMMYFUNCTION("""COMPUTED_VALUE"""),"PE團隊")</f>
        <v>PE團隊</v>
      </c>
      <c r="P77" s="68">
        <f>IFERROR(__xludf.DUMMYFUNCTION("""COMPUTED_VALUE"""),883.0)</f>
        <v>883</v>
      </c>
      <c r="Q77" s="68">
        <f>IFERROR(__xludf.DUMMYFUNCTION("""COMPUTED_VALUE"""),883.0)</f>
        <v>883</v>
      </c>
      <c r="R77" s="68">
        <f>IFERROR(__xludf.DUMMYFUNCTION("""COMPUTED_VALUE"""),883.0)</f>
        <v>883</v>
      </c>
      <c r="S77" s="68">
        <f>IFERROR(__xludf.DUMMYFUNCTION("""COMPUTED_VALUE"""),883.0)</f>
        <v>883</v>
      </c>
      <c r="T77" s="68">
        <f>IFERROR(__xludf.DUMMYFUNCTION("""COMPUTED_VALUE"""),883.0)</f>
        <v>883</v>
      </c>
      <c r="U77" s="68">
        <f>IFERROR(__xludf.DUMMYFUNCTION("""COMPUTED_VALUE"""),883.0)</f>
        <v>883</v>
      </c>
      <c r="V77" s="68">
        <f>IFERROR(__xludf.DUMMYFUNCTION("""COMPUTED_VALUE"""),883.0)</f>
        <v>883</v>
      </c>
      <c r="W77" s="68">
        <f>IFERROR(__xludf.DUMMYFUNCTION("""COMPUTED_VALUE"""),883.0)</f>
        <v>883</v>
      </c>
      <c r="X77" s="68">
        <f>IFERROR(__xludf.DUMMYFUNCTION("""COMPUTED_VALUE"""),883.0)</f>
        <v>883</v>
      </c>
      <c r="Y77" s="68">
        <f>IFERROR(__xludf.DUMMYFUNCTION("""COMPUTED_VALUE"""),883.0)</f>
        <v>883</v>
      </c>
      <c r="Z77" s="68">
        <f>IFERROR(__xludf.DUMMYFUNCTION("""COMPUTED_VALUE"""),883.0)</f>
        <v>883</v>
      </c>
      <c r="AA77" s="68">
        <f>IFERROR(__xludf.DUMMYFUNCTION("""COMPUTED_VALUE"""),883.0)</f>
        <v>883</v>
      </c>
      <c r="AB77" s="68">
        <f>IFERROR(__xludf.DUMMYFUNCTION("""COMPUTED_VALUE"""),10596.0)</f>
        <v>10596</v>
      </c>
    </row>
    <row r="78">
      <c r="B78" s="41"/>
      <c r="C78" s="41"/>
      <c r="D78" s="41"/>
      <c r="E78" s="41"/>
      <c r="F78" s="41"/>
      <c r="G78" s="41"/>
      <c r="H78" s="41"/>
      <c r="I78" s="41"/>
      <c r="J78" s="41" t="str">
        <f>IFERROR(__xludf.DUMMYFUNCTION("""COMPUTED_VALUE"""),"AICHMA02407077")</f>
        <v>AICHMA02407077</v>
      </c>
      <c r="K78" s="41" t="str">
        <f>IFERROR(__xludf.DUMMYFUNCTION("""COMPUTED_VALUE"""),"Macbook Air")</f>
        <v>Macbook Air</v>
      </c>
      <c r="L78" s="41" t="str">
        <f>IFERROR(__xludf.DUMMYFUNCTION("""COMPUTED_VALUE"""),"王壯為")</f>
        <v>王壯為</v>
      </c>
      <c r="M78" s="41" t="str">
        <f>IFERROR(__xludf.DUMMYFUNCTION("""COMPUTED_VALUE"""),"管理中心")</f>
        <v>管理中心</v>
      </c>
      <c r="N78" s="41" t="str">
        <f>IFERROR(__xludf.DUMMYFUNCTION("""COMPUTED_VALUE"""),"資訊部")</f>
        <v>資訊部</v>
      </c>
      <c r="O78" s="41"/>
      <c r="P78" s="68">
        <f>IFERROR(__xludf.DUMMYFUNCTION("""COMPUTED_VALUE"""),883.0)</f>
        <v>883</v>
      </c>
      <c r="Q78" s="68">
        <f>IFERROR(__xludf.DUMMYFUNCTION("""COMPUTED_VALUE"""),883.0)</f>
        <v>883</v>
      </c>
      <c r="R78" s="68">
        <f>IFERROR(__xludf.DUMMYFUNCTION("""COMPUTED_VALUE"""),883.0)</f>
        <v>883</v>
      </c>
      <c r="S78" s="68">
        <f>IFERROR(__xludf.DUMMYFUNCTION("""COMPUTED_VALUE"""),883.0)</f>
        <v>883</v>
      </c>
      <c r="T78" s="68">
        <f>IFERROR(__xludf.DUMMYFUNCTION("""COMPUTED_VALUE"""),883.0)</f>
        <v>883</v>
      </c>
      <c r="U78" s="68">
        <f>IFERROR(__xludf.DUMMYFUNCTION("""COMPUTED_VALUE"""),883.0)</f>
        <v>883</v>
      </c>
      <c r="V78" s="68">
        <f>IFERROR(__xludf.DUMMYFUNCTION("""COMPUTED_VALUE"""),883.0)</f>
        <v>883</v>
      </c>
      <c r="W78" s="68">
        <f>IFERROR(__xludf.DUMMYFUNCTION("""COMPUTED_VALUE"""),883.0)</f>
        <v>883</v>
      </c>
      <c r="X78" s="68">
        <f>IFERROR(__xludf.DUMMYFUNCTION("""COMPUTED_VALUE"""),883.0)</f>
        <v>883</v>
      </c>
      <c r="Y78" s="68">
        <f>IFERROR(__xludf.DUMMYFUNCTION("""COMPUTED_VALUE"""),883.0)</f>
        <v>883</v>
      </c>
      <c r="Z78" s="68">
        <f>IFERROR(__xludf.DUMMYFUNCTION("""COMPUTED_VALUE"""),883.0)</f>
        <v>883</v>
      </c>
      <c r="AA78" s="68">
        <f>IFERROR(__xludf.DUMMYFUNCTION("""COMPUTED_VALUE"""),883.0)</f>
        <v>883</v>
      </c>
      <c r="AB78" s="68">
        <f>IFERROR(__xludf.DUMMYFUNCTION("""COMPUTED_VALUE"""),10596.0)</f>
        <v>10596</v>
      </c>
    </row>
    <row r="79">
      <c r="B79" s="41"/>
      <c r="C79" s="41"/>
      <c r="D79" s="41"/>
      <c r="E79" s="41"/>
      <c r="F79" s="41"/>
      <c r="G79" s="41"/>
      <c r="H79" s="41"/>
      <c r="I79" s="41"/>
      <c r="J79" s="41" t="str">
        <f>IFERROR(__xludf.DUMMYFUNCTION("""COMPUTED_VALUE"""),"AICHMP02407076")</f>
        <v>AICHMP02407076</v>
      </c>
      <c r="K79" s="41" t="str">
        <f>IFERROR(__xludf.DUMMYFUNCTION("""COMPUTED_VALUE"""),"Macbook Pro")</f>
        <v>Macbook Pro</v>
      </c>
      <c r="L79" s="41" t="str">
        <f>IFERROR(__xludf.DUMMYFUNCTION("""COMPUTED_VALUE"""),"鄭敏弘")</f>
        <v>鄭敏弘</v>
      </c>
      <c r="M79" s="41" t="str">
        <f>IFERROR(__xludf.DUMMYFUNCTION("""COMPUTED_VALUE"""),"研發中心")</f>
        <v>研發中心</v>
      </c>
      <c r="N79" s="41" t="str">
        <f>IFERROR(__xludf.DUMMYFUNCTION("""COMPUTED_VALUE"""),"產品設計部")</f>
        <v>產品設計部</v>
      </c>
      <c r="O79" s="41" t="str">
        <f>IFERROR(__xludf.DUMMYFUNCTION("""COMPUTED_VALUE"""),"數據分析團隊")</f>
        <v>數據分析團隊</v>
      </c>
      <c r="P79" s="68">
        <f>IFERROR(__xludf.DUMMYFUNCTION("""COMPUTED_VALUE"""),1794.0)</f>
        <v>1794</v>
      </c>
      <c r="Q79" s="68">
        <f>IFERROR(__xludf.DUMMYFUNCTION("""COMPUTED_VALUE"""),1794.0)</f>
        <v>1794</v>
      </c>
      <c r="R79" s="68">
        <f>IFERROR(__xludf.DUMMYFUNCTION("""COMPUTED_VALUE"""),1794.0)</f>
        <v>1794</v>
      </c>
      <c r="S79" s="68">
        <f>IFERROR(__xludf.DUMMYFUNCTION("""COMPUTED_VALUE"""),1794.0)</f>
        <v>1794</v>
      </c>
      <c r="T79" s="68">
        <f>IFERROR(__xludf.DUMMYFUNCTION("""COMPUTED_VALUE"""),1794.0)</f>
        <v>1794</v>
      </c>
      <c r="U79" s="68">
        <f>IFERROR(__xludf.DUMMYFUNCTION("""COMPUTED_VALUE"""),1794.0)</f>
        <v>1794</v>
      </c>
      <c r="V79" s="68">
        <f>IFERROR(__xludf.DUMMYFUNCTION("""COMPUTED_VALUE"""),1794.0)</f>
        <v>1794</v>
      </c>
      <c r="W79" s="68">
        <f>IFERROR(__xludf.DUMMYFUNCTION("""COMPUTED_VALUE"""),1794.0)</f>
        <v>1794</v>
      </c>
      <c r="X79" s="68">
        <f>IFERROR(__xludf.DUMMYFUNCTION("""COMPUTED_VALUE"""),1794.0)</f>
        <v>1794</v>
      </c>
      <c r="Y79" s="68">
        <f>IFERROR(__xludf.DUMMYFUNCTION("""COMPUTED_VALUE"""),1794.0)</f>
        <v>1794</v>
      </c>
      <c r="Z79" s="68">
        <f>IFERROR(__xludf.DUMMYFUNCTION("""COMPUTED_VALUE"""),1794.0)</f>
        <v>1794</v>
      </c>
      <c r="AA79" s="68">
        <f>IFERROR(__xludf.DUMMYFUNCTION("""COMPUTED_VALUE"""),1794.0)</f>
        <v>1794</v>
      </c>
      <c r="AB79" s="68">
        <f>IFERROR(__xludf.DUMMYFUNCTION("""COMPUTED_VALUE"""),21528.0)</f>
        <v>21528</v>
      </c>
    </row>
    <row r="80">
      <c r="B80" s="41"/>
      <c r="C80" s="41"/>
      <c r="D80" s="41"/>
      <c r="E80" s="41"/>
      <c r="F80" s="41"/>
      <c r="G80" s="41"/>
      <c r="H80" s="41"/>
      <c r="I80" s="41"/>
      <c r="J80" s="41" t="str">
        <f>IFERROR(__xludf.DUMMYFUNCTION("""COMPUTED_VALUE"""),"AICHNB02407003")</f>
        <v>AICHNB02407003</v>
      </c>
      <c r="K80" s="41" t="str">
        <f>IFERROR(__xludf.DUMMYFUNCTION("""COMPUTED_VALUE"""),"Windows NB")</f>
        <v>Windows NB</v>
      </c>
      <c r="L80" s="41" t="str">
        <f>IFERROR(__xludf.DUMMYFUNCTION("""COMPUTED_VALUE"""),"黃馨慧")</f>
        <v>黃馨慧</v>
      </c>
      <c r="M80" s="41" t="str">
        <f>IFERROR(__xludf.DUMMYFUNCTION("""COMPUTED_VALUE"""),"財務中心")</f>
        <v>財務中心</v>
      </c>
      <c r="N80" s="41" t="str">
        <f>IFERROR(__xludf.DUMMYFUNCTION("""COMPUTED_VALUE"""),"財務中心")</f>
        <v>財務中心</v>
      </c>
      <c r="O80" s="41"/>
      <c r="P80" s="68">
        <f>IFERROR(__xludf.DUMMYFUNCTION("""COMPUTED_VALUE"""),1320.0)</f>
        <v>1320</v>
      </c>
      <c r="Q80" s="68">
        <f>IFERROR(__xludf.DUMMYFUNCTION("""COMPUTED_VALUE"""),1320.0)</f>
        <v>1320</v>
      </c>
      <c r="R80" s="68">
        <f>IFERROR(__xludf.DUMMYFUNCTION("""COMPUTED_VALUE"""),1320.0)</f>
        <v>1320</v>
      </c>
      <c r="S80" s="68">
        <f>IFERROR(__xludf.DUMMYFUNCTION("""COMPUTED_VALUE"""),1320.0)</f>
        <v>1320</v>
      </c>
      <c r="T80" s="68">
        <f>IFERROR(__xludf.DUMMYFUNCTION("""COMPUTED_VALUE"""),1320.0)</f>
        <v>1320</v>
      </c>
      <c r="U80" s="68">
        <f>IFERROR(__xludf.DUMMYFUNCTION("""COMPUTED_VALUE"""),1320.0)</f>
        <v>1320</v>
      </c>
      <c r="V80" s="68">
        <f>IFERROR(__xludf.DUMMYFUNCTION("""COMPUTED_VALUE"""),1320.0)</f>
        <v>1320</v>
      </c>
      <c r="W80" s="68">
        <f>IFERROR(__xludf.DUMMYFUNCTION("""COMPUTED_VALUE"""),1320.0)</f>
        <v>1320</v>
      </c>
      <c r="X80" s="68">
        <f>IFERROR(__xludf.DUMMYFUNCTION("""COMPUTED_VALUE"""),1320.0)</f>
        <v>1320</v>
      </c>
      <c r="Y80" s="68">
        <f>IFERROR(__xludf.DUMMYFUNCTION("""COMPUTED_VALUE"""),1320.0)</f>
        <v>1320</v>
      </c>
      <c r="Z80" s="68">
        <f>IFERROR(__xludf.DUMMYFUNCTION("""COMPUTED_VALUE"""),1320.0)</f>
        <v>1320</v>
      </c>
      <c r="AA80" s="68">
        <f>IFERROR(__xludf.DUMMYFUNCTION("""COMPUTED_VALUE"""),1320.0)</f>
        <v>1320</v>
      </c>
      <c r="AB80" s="68">
        <f>IFERROR(__xludf.DUMMYFUNCTION("""COMPUTED_VALUE"""),15840.0)</f>
        <v>15840</v>
      </c>
    </row>
    <row r="81">
      <c r="B81" s="41"/>
      <c r="C81" s="41"/>
      <c r="D81" s="41"/>
      <c r="E81" s="41"/>
      <c r="F81" s="41"/>
      <c r="G81" s="41"/>
      <c r="H81" s="41"/>
      <c r="I81" s="41"/>
      <c r="J81" s="41" t="str">
        <f>IFERROR(__xludf.DUMMYFUNCTION("""COMPUTED_VALUE"""),"AICHMC02409022")</f>
        <v>AICHMC02409022</v>
      </c>
      <c r="K81" s="41" t="str">
        <f>IFERROR(__xludf.DUMMYFUNCTION("""COMPUTED_VALUE"""),"iMac")</f>
        <v>iMac</v>
      </c>
      <c r="L81" s="41" t="str">
        <f>IFERROR(__xludf.DUMMYFUNCTION("""COMPUTED_VALUE"""),"張惠鈞")</f>
        <v>張惠鈞</v>
      </c>
      <c r="M81" s="41" t="str">
        <f>IFERROR(__xludf.DUMMYFUNCTION("""COMPUTED_VALUE"""),"行銷營運中心")</f>
        <v>行銷營運中心</v>
      </c>
      <c r="N81" s="41" t="str">
        <f>IFERROR(__xludf.DUMMYFUNCTION("""COMPUTED_VALUE"""),"社群關係部")</f>
        <v>社群關係部</v>
      </c>
      <c r="O81" s="41" t="str">
        <f>IFERROR(__xludf.DUMMYFUNCTION("""COMPUTED_VALUE"""),"餐廳社群團隊")</f>
        <v>餐廳社群團隊</v>
      </c>
      <c r="P81" s="68">
        <f>IFERROR(__xludf.DUMMYFUNCTION("""COMPUTED_VALUE"""),1844.0)</f>
        <v>1844</v>
      </c>
      <c r="Q81" s="68">
        <f>IFERROR(__xludf.DUMMYFUNCTION("""COMPUTED_VALUE"""),1844.0)</f>
        <v>1844</v>
      </c>
      <c r="R81" s="68">
        <f>IFERROR(__xludf.DUMMYFUNCTION("""COMPUTED_VALUE"""),1844.0)</f>
        <v>1844</v>
      </c>
      <c r="S81" s="68">
        <f>IFERROR(__xludf.DUMMYFUNCTION("""COMPUTED_VALUE"""),1844.0)</f>
        <v>1844</v>
      </c>
      <c r="T81" s="68">
        <f>IFERROR(__xludf.DUMMYFUNCTION("""COMPUTED_VALUE"""),1844.0)</f>
        <v>1844</v>
      </c>
      <c r="U81" s="68">
        <f>IFERROR(__xludf.DUMMYFUNCTION("""COMPUTED_VALUE"""),1844.0)</f>
        <v>1844</v>
      </c>
      <c r="V81" s="68">
        <f>IFERROR(__xludf.DUMMYFUNCTION("""COMPUTED_VALUE"""),1844.0)</f>
        <v>1844</v>
      </c>
      <c r="W81" s="68">
        <f>IFERROR(__xludf.DUMMYFUNCTION("""COMPUTED_VALUE"""),1844.0)</f>
        <v>1844</v>
      </c>
      <c r="X81" s="68">
        <f>IFERROR(__xludf.DUMMYFUNCTION("""COMPUTED_VALUE"""),1844.0)</f>
        <v>1844</v>
      </c>
      <c r="Y81" s="68">
        <f>IFERROR(__xludf.DUMMYFUNCTION("""COMPUTED_VALUE"""),1844.0)</f>
        <v>1844</v>
      </c>
      <c r="Z81" s="68">
        <f>IFERROR(__xludf.DUMMYFUNCTION("""COMPUTED_VALUE"""),1844.0)</f>
        <v>1844</v>
      </c>
      <c r="AA81" s="68">
        <f>IFERROR(__xludf.DUMMYFUNCTION("""COMPUTED_VALUE"""),1844.0)</f>
        <v>1844</v>
      </c>
      <c r="AB81" s="68">
        <f>IFERROR(__xludf.DUMMYFUNCTION("""COMPUTED_VALUE"""),22128.0)</f>
        <v>22128</v>
      </c>
    </row>
    <row r="82">
      <c r="B82" s="41"/>
      <c r="C82" s="41"/>
      <c r="D82" s="41"/>
      <c r="E82" s="41"/>
      <c r="F82" s="41"/>
      <c r="G82" s="41"/>
      <c r="H82" s="41"/>
      <c r="I82" s="41"/>
      <c r="J82" s="41" t="str">
        <f>IFERROR(__xludf.DUMMYFUNCTION("""COMPUTED_VALUE"""),"AICHFU02505006")</f>
        <v>AICHFU02505006</v>
      </c>
      <c r="K82" s="41" t="str">
        <f>IFERROR(__xludf.DUMMYFUNCTION("""COMPUTED_VALUE"""),"Panasonic國際牌無邊框鋼板650公升雙⾨冰箱NR-B651TV-K(晶漾⿊)")</f>
        <v>Panasonic國際牌無邊框鋼板650公升雙⾨冰箱NR-B651TV-K(晶漾⿊)</v>
      </c>
      <c r="L82" s="41" t="str">
        <f>IFERROR(__xludf.DUMMYFUNCTION("""COMPUTED_VALUE"""),"行政備用")</f>
        <v>行政備用</v>
      </c>
      <c r="M82" s="41" t="str">
        <f>IFERROR(__xludf.DUMMYFUNCTION("""COMPUTED_VALUE"""),"管理中心")</f>
        <v>管理中心</v>
      </c>
      <c r="N82" s="41"/>
      <c r="O82" s="41"/>
      <c r="P82" s="68">
        <f>IFERROR(__xludf.DUMMYFUNCTION("""COMPUTED_VALUE"""),742.0)</f>
        <v>742</v>
      </c>
      <c r="Q82" s="68">
        <f>IFERROR(__xludf.DUMMYFUNCTION("""COMPUTED_VALUE"""),742.0)</f>
        <v>742</v>
      </c>
      <c r="R82" s="68">
        <f>IFERROR(__xludf.DUMMYFUNCTION("""COMPUTED_VALUE"""),742.0)</f>
        <v>742</v>
      </c>
      <c r="S82" s="68">
        <f>IFERROR(__xludf.DUMMYFUNCTION("""COMPUTED_VALUE"""),742.0)</f>
        <v>742</v>
      </c>
      <c r="T82" s="68">
        <f>IFERROR(__xludf.DUMMYFUNCTION("""COMPUTED_VALUE"""),742.0)</f>
        <v>742</v>
      </c>
      <c r="U82" s="68">
        <f>IFERROR(__xludf.DUMMYFUNCTION("""COMPUTED_VALUE"""),742.0)</f>
        <v>742</v>
      </c>
      <c r="V82" s="68">
        <f>IFERROR(__xludf.DUMMYFUNCTION("""COMPUTED_VALUE"""),742.0)</f>
        <v>742</v>
      </c>
      <c r="W82" s="68">
        <f>IFERROR(__xludf.DUMMYFUNCTION("""COMPUTED_VALUE"""),742.0)</f>
        <v>742</v>
      </c>
      <c r="X82" s="68">
        <f>IFERROR(__xludf.DUMMYFUNCTION("""COMPUTED_VALUE"""),742.0)</f>
        <v>742</v>
      </c>
      <c r="Y82" s="68">
        <f>IFERROR(__xludf.DUMMYFUNCTION("""COMPUTED_VALUE"""),742.0)</f>
        <v>742</v>
      </c>
      <c r="Z82" s="68">
        <f>IFERROR(__xludf.DUMMYFUNCTION("""COMPUTED_VALUE"""),742.0)</f>
        <v>742</v>
      </c>
      <c r="AA82" s="68">
        <f>IFERROR(__xludf.DUMMYFUNCTION("""COMPUTED_VALUE"""),742.0)</f>
        <v>742</v>
      </c>
      <c r="AB82" s="68">
        <f>IFERROR(__xludf.DUMMYFUNCTION("""COMPUTED_VALUE"""),8904.0)</f>
        <v>8904</v>
      </c>
    </row>
    <row r="83">
      <c r="B83" s="41"/>
      <c r="C83" s="41"/>
      <c r="D83" s="41"/>
      <c r="E83" s="41"/>
      <c r="F83" s="41"/>
      <c r="G83" s="41"/>
      <c r="H83" s="41"/>
      <c r="I83" s="41"/>
      <c r="J83" s="41" t="str">
        <f>IFERROR(__xludf.DUMMYFUNCTION("""COMPUTED_VALUE"""),"AICHMA02408082")</f>
        <v>AICHMA02408082</v>
      </c>
      <c r="K83" s="41" t="str">
        <f>IFERROR(__xludf.DUMMYFUNCTION("""COMPUTED_VALUE"""),"Macbook Air")</f>
        <v>Macbook Air</v>
      </c>
      <c r="L83" s="41" t="str">
        <f>IFERROR(__xludf.DUMMYFUNCTION("""COMPUTED_VALUE"""),"王壯為")</f>
        <v>王壯為</v>
      </c>
      <c r="M83" s="41" t="str">
        <f>IFERROR(__xludf.DUMMYFUNCTION("""COMPUTED_VALUE"""),"管理中心")</f>
        <v>管理中心</v>
      </c>
      <c r="N83" s="41" t="str">
        <f>IFERROR(__xludf.DUMMYFUNCTION("""COMPUTED_VALUE"""),"資訊部")</f>
        <v>資訊部</v>
      </c>
      <c r="O83" s="41"/>
      <c r="P83" s="68">
        <f>IFERROR(__xludf.DUMMYFUNCTION("""COMPUTED_VALUE"""),1181.0)</f>
        <v>1181</v>
      </c>
      <c r="Q83" s="68">
        <f>IFERROR(__xludf.DUMMYFUNCTION("""COMPUTED_VALUE"""),1181.0)</f>
        <v>1181</v>
      </c>
      <c r="R83" s="68">
        <f>IFERROR(__xludf.DUMMYFUNCTION("""COMPUTED_VALUE"""),1181.0)</f>
        <v>1181</v>
      </c>
      <c r="S83" s="68">
        <f>IFERROR(__xludf.DUMMYFUNCTION("""COMPUTED_VALUE"""),1181.0)</f>
        <v>1181</v>
      </c>
      <c r="T83" s="68">
        <f>IFERROR(__xludf.DUMMYFUNCTION("""COMPUTED_VALUE"""),1181.0)</f>
        <v>1181</v>
      </c>
      <c r="U83" s="68">
        <f>IFERROR(__xludf.DUMMYFUNCTION("""COMPUTED_VALUE"""),1181.0)</f>
        <v>1181</v>
      </c>
      <c r="V83" s="68">
        <f>IFERROR(__xludf.DUMMYFUNCTION("""COMPUTED_VALUE"""),1181.0)</f>
        <v>1181</v>
      </c>
      <c r="W83" s="68">
        <f>IFERROR(__xludf.DUMMYFUNCTION("""COMPUTED_VALUE"""),1181.0)</f>
        <v>1181</v>
      </c>
      <c r="X83" s="68">
        <f>IFERROR(__xludf.DUMMYFUNCTION("""COMPUTED_VALUE"""),1181.0)</f>
        <v>1181</v>
      </c>
      <c r="Y83" s="68">
        <f>IFERROR(__xludf.DUMMYFUNCTION("""COMPUTED_VALUE"""),1181.0)</f>
        <v>1181</v>
      </c>
      <c r="Z83" s="68">
        <f>IFERROR(__xludf.DUMMYFUNCTION("""COMPUTED_VALUE"""),1181.0)</f>
        <v>1181</v>
      </c>
      <c r="AA83" s="68">
        <f>IFERROR(__xludf.DUMMYFUNCTION("""COMPUTED_VALUE"""),1181.0)</f>
        <v>1181</v>
      </c>
      <c r="AB83" s="68">
        <f>IFERROR(__xludf.DUMMYFUNCTION("""COMPUTED_VALUE"""),14172.0)</f>
        <v>14172</v>
      </c>
    </row>
    <row r="84">
      <c r="B84" s="41"/>
      <c r="C84" s="41"/>
      <c r="D84" s="41"/>
      <c r="E84" s="41"/>
      <c r="F84" s="41"/>
      <c r="G84" s="41"/>
      <c r="H84" s="41"/>
      <c r="I84" s="41"/>
      <c r="J84" s="41" t="str">
        <f>IFERROR(__xludf.DUMMYFUNCTION("""COMPUTED_VALUE"""),"AICHOF02408022")</f>
        <v>AICHOF02408022</v>
      </c>
      <c r="K84" s="41" t="str">
        <f>IFERROR(__xludf.DUMMYFUNCTION("""COMPUTED_VALUE"""),"LG 43吋螢幕")</f>
        <v>LG 43吋螢幕</v>
      </c>
      <c r="L84" s="41" t="str">
        <f>IFERROR(__xludf.DUMMYFUNCTION("""COMPUTED_VALUE"""),"行政備用")</f>
        <v>行政備用</v>
      </c>
      <c r="M84" s="41" t="str">
        <f>IFERROR(__xludf.DUMMYFUNCTION("""COMPUTED_VALUE"""),"管理中心")</f>
        <v>管理中心</v>
      </c>
      <c r="N84" s="41"/>
      <c r="O84" s="41"/>
      <c r="P84" s="68">
        <f>IFERROR(__xludf.DUMMYFUNCTION("""COMPUTED_VALUE"""),611.0)</f>
        <v>611</v>
      </c>
      <c r="Q84" s="68">
        <f>IFERROR(__xludf.DUMMYFUNCTION("""COMPUTED_VALUE"""),611.0)</f>
        <v>611</v>
      </c>
      <c r="R84" s="68">
        <f>IFERROR(__xludf.DUMMYFUNCTION("""COMPUTED_VALUE"""),611.0)</f>
        <v>611</v>
      </c>
      <c r="S84" s="68">
        <f>IFERROR(__xludf.DUMMYFUNCTION("""COMPUTED_VALUE"""),611.0)</f>
        <v>611</v>
      </c>
      <c r="T84" s="68">
        <f>IFERROR(__xludf.DUMMYFUNCTION("""COMPUTED_VALUE"""),611.0)</f>
        <v>611</v>
      </c>
      <c r="U84" s="68">
        <f>IFERROR(__xludf.DUMMYFUNCTION("""COMPUTED_VALUE"""),611.0)</f>
        <v>611</v>
      </c>
      <c r="V84" s="68">
        <f>IFERROR(__xludf.DUMMYFUNCTION("""COMPUTED_VALUE"""),611.0)</f>
        <v>611</v>
      </c>
      <c r="W84" s="68">
        <f>IFERROR(__xludf.DUMMYFUNCTION("""COMPUTED_VALUE"""),611.0)</f>
        <v>611</v>
      </c>
      <c r="X84" s="68">
        <f>IFERROR(__xludf.DUMMYFUNCTION("""COMPUTED_VALUE"""),611.0)</f>
        <v>611</v>
      </c>
      <c r="Y84" s="68">
        <f>IFERROR(__xludf.DUMMYFUNCTION("""COMPUTED_VALUE"""),611.0)</f>
        <v>611</v>
      </c>
      <c r="Z84" s="68">
        <f>IFERROR(__xludf.DUMMYFUNCTION("""COMPUTED_VALUE"""),611.0)</f>
        <v>611</v>
      </c>
      <c r="AA84" s="68">
        <f>IFERROR(__xludf.DUMMYFUNCTION("""COMPUTED_VALUE"""),611.0)</f>
        <v>611</v>
      </c>
      <c r="AB84" s="68">
        <f>IFERROR(__xludf.DUMMYFUNCTION("""COMPUTED_VALUE"""),7332.0)</f>
        <v>7332</v>
      </c>
    </row>
    <row r="85">
      <c r="B85" s="41"/>
      <c r="C85" s="41"/>
      <c r="D85" s="41"/>
      <c r="E85" s="41"/>
      <c r="F85" s="41"/>
      <c r="G85" s="41"/>
      <c r="H85" s="41"/>
      <c r="I85" s="41"/>
      <c r="J85" s="41" t="str">
        <f>IFERROR(__xludf.DUMMYFUNCTION("""COMPUTED_VALUE"""),"AICHMA02407075")</f>
        <v>AICHMA02407075</v>
      </c>
      <c r="K85" s="41" t="str">
        <f>IFERROR(__xludf.DUMMYFUNCTION("""COMPUTED_VALUE"""),"Macbook Air")</f>
        <v>Macbook Air</v>
      </c>
      <c r="L85" s="41" t="str">
        <f>IFERROR(__xludf.DUMMYFUNCTION("""COMPUTED_VALUE"""),"曾詩芸")</f>
        <v>曾詩芸</v>
      </c>
      <c r="M85" s="41" t="str">
        <f>IFERROR(__xludf.DUMMYFUNCTION("""COMPUTED_VALUE"""),"管理中心")</f>
        <v>管理中心</v>
      </c>
      <c r="N85" s="41" t="str">
        <f>IFERROR(__xludf.DUMMYFUNCTION("""COMPUTED_VALUE"""),"人資部")</f>
        <v>人資部</v>
      </c>
      <c r="O85" s="41" t="str">
        <f>IFERROR(__xludf.DUMMYFUNCTION("""COMPUTED_VALUE"""),"人資團隊")</f>
        <v>人資團隊</v>
      </c>
      <c r="P85" s="68">
        <f>IFERROR(__xludf.DUMMYFUNCTION("""COMPUTED_VALUE"""),883.0)</f>
        <v>883</v>
      </c>
      <c r="Q85" s="68">
        <f>IFERROR(__xludf.DUMMYFUNCTION("""COMPUTED_VALUE"""),883.0)</f>
        <v>883</v>
      </c>
      <c r="R85" s="68">
        <f>IFERROR(__xludf.DUMMYFUNCTION("""COMPUTED_VALUE"""),883.0)</f>
        <v>883</v>
      </c>
      <c r="S85" s="68">
        <f>IFERROR(__xludf.DUMMYFUNCTION("""COMPUTED_VALUE"""),883.0)</f>
        <v>883</v>
      </c>
      <c r="T85" s="68">
        <f>IFERROR(__xludf.DUMMYFUNCTION("""COMPUTED_VALUE"""),883.0)</f>
        <v>883</v>
      </c>
      <c r="U85" s="68">
        <f>IFERROR(__xludf.DUMMYFUNCTION("""COMPUTED_VALUE"""),883.0)</f>
        <v>883</v>
      </c>
      <c r="V85" s="68">
        <f>IFERROR(__xludf.DUMMYFUNCTION("""COMPUTED_VALUE"""),883.0)</f>
        <v>883</v>
      </c>
      <c r="W85" s="68">
        <f>IFERROR(__xludf.DUMMYFUNCTION("""COMPUTED_VALUE"""),883.0)</f>
        <v>883</v>
      </c>
      <c r="X85" s="68">
        <f>IFERROR(__xludf.DUMMYFUNCTION("""COMPUTED_VALUE"""),883.0)</f>
        <v>883</v>
      </c>
      <c r="Y85" s="68">
        <f>IFERROR(__xludf.DUMMYFUNCTION("""COMPUTED_VALUE"""),883.0)</f>
        <v>883</v>
      </c>
      <c r="Z85" s="68">
        <f>IFERROR(__xludf.DUMMYFUNCTION("""COMPUTED_VALUE"""),883.0)</f>
        <v>883</v>
      </c>
      <c r="AA85" s="68">
        <f>IFERROR(__xludf.DUMMYFUNCTION("""COMPUTED_VALUE"""),883.0)</f>
        <v>883</v>
      </c>
      <c r="AB85" s="68">
        <f>IFERROR(__xludf.DUMMYFUNCTION("""COMPUTED_VALUE"""),10596.0)</f>
        <v>10596</v>
      </c>
    </row>
    <row r="86">
      <c r="B86" s="41"/>
      <c r="C86" s="41"/>
      <c r="D86" s="41"/>
      <c r="E86" s="41"/>
      <c r="F86" s="41"/>
      <c r="G86" s="41"/>
      <c r="H86" s="41"/>
      <c r="I86" s="41"/>
      <c r="J86" s="41" t="str">
        <f>IFERROR(__xludf.DUMMYFUNCTION("""COMPUTED_VALUE"""),"AICHMA02407076")</f>
        <v>AICHMA02407076</v>
      </c>
      <c r="K86" s="41" t="str">
        <f>IFERROR(__xludf.DUMMYFUNCTION("""COMPUTED_VALUE"""),"Macbook Air")</f>
        <v>Macbook Air</v>
      </c>
      <c r="L86" s="41" t="str">
        <f>IFERROR(__xludf.DUMMYFUNCTION("""COMPUTED_VALUE"""),"徐唯宸")</f>
        <v>徐唯宸</v>
      </c>
      <c r="M86" s="41" t="str">
        <f>IFERROR(__xludf.DUMMYFUNCTION("""COMPUTED_VALUE"""),"行銷營運中心")</f>
        <v>行銷營運中心</v>
      </c>
      <c r="N86" s="41" t="str">
        <f>IFERROR(__xludf.DUMMYFUNCTION("""COMPUTED_VALUE"""),"社群關係部")</f>
        <v>社群關係部</v>
      </c>
      <c r="O86" s="41" t="str">
        <f>IFERROR(__xludf.DUMMYFUNCTION("""COMPUTED_VALUE"""),"餐廳社群團隊")</f>
        <v>餐廳社群團隊</v>
      </c>
      <c r="P86" s="68">
        <f>IFERROR(__xludf.DUMMYFUNCTION("""COMPUTED_VALUE"""),956.0)</f>
        <v>956</v>
      </c>
      <c r="Q86" s="68">
        <f>IFERROR(__xludf.DUMMYFUNCTION("""COMPUTED_VALUE"""),956.0)</f>
        <v>956</v>
      </c>
      <c r="R86" s="68">
        <f>IFERROR(__xludf.DUMMYFUNCTION("""COMPUTED_VALUE"""),956.0)</f>
        <v>956</v>
      </c>
      <c r="S86" s="68">
        <f>IFERROR(__xludf.DUMMYFUNCTION("""COMPUTED_VALUE"""),956.0)</f>
        <v>956</v>
      </c>
      <c r="T86" s="68">
        <f>IFERROR(__xludf.DUMMYFUNCTION("""COMPUTED_VALUE"""),956.0)</f>
        <v>956</v>
      </c>
      <c r="U86" s="68">
        <f>IFERROR(__xludf.DUMMYFUNCTION("""COMPUTED_VALUE"""),956.0)</f>
        <v>956</v>
      </c>
      <c r="V86" s="68">
        <f>IFERROR(__xludf.DUMMYFUNCTION("""COMPUTED_VALUE"""),956.0)</f>
        <v>956</v>
      </c>
      <c r="W86" s="68">
        <f>IFERROR(__xludf.DUMMYFUNCTION("""COMPUTED_VALUE"""),956.0)</f>
        <v>956</v>
      </c>
      <c r="X86" s="68">
        <f>IFERROR(__xludf.DUMMYFUNCTION("""COMPUTED_VALUE"""),956.0)</f>
        <v>956</v>
      </c>
      <c r="Y86" s="68">
        <f>IFERROR(__xludf.DUMMYFUNCTION("""COMPUTED_VALUE"""),956.0)</f>
        <v>956</v>
      </c>
      <c r="Z86" s="68">
        <f>IFERROR(__xludf.DUMMYFUNCTION("""COMPUTED_VALUE"""),956.0)</f>
        <v>956</v>
      </c>
      <c r="AA86" s="68">
        <f>IFERROR(__xludf.DUMMYFUNCTION("""COMPUTED_VALUE"""),956.0)</f>
        <v>956</v>
      </c>
      <c r="AB86" s="68">
        <f>IFERROR(__xludf.DUMMYFUNCTION("""COMPUTED_VALUE"""),11472.0)</f>
        <v>11472</v>
      </c>
    </row>
    <row r="87">
      <c r="B87" s="41"/>
      <c r="C87" s="41"/>
      <c r="D87" s="41"/>
      <c r="E87" s="41"/>
      <c r="F87" s="41"/>
      <c r="G87" s="41"/>
      <c r="H87" s="41"/>
      <c r="I87" s="41"/>
      <c r="J87" s="41" t="str">
        <f>IFERROR(__xludf.DUMMYFUNCTION("""COMPUTED_VALUE"""),"AICHMA02407078")</f>
        <v>AICHMA02407078</v>
      </c>
      <c r="K87" s="41" t="str">
        <f>IFERROR(__xludf.DUMMYFUNCTION("""COMPUTED_VALUE"""),"Macbook Air")</f>
        <v>Macbook Air</v>
      </c>
      <c r="L87" s="41" t="str">
        <f>IFERROR(__xludf.DUMMYFUNCTION("""COMPUTED_VALUE"""),"陳可諠")</f>
        <v>陳可諠</v>
      </c>
      <c r="M87" s="41" t="str">
        <f>IFERROR(__xludf.DUMMYFUNCTION("""COMPUTED_VALUE"""),"行銷營運中心")</f>
        <v>行銷營運中心</v>
      </c>
      <c r="N87" s="41" t="str">
        <f>IFERROR(__xludf.DUMMYFUNCTION("""COMPUTED_VALUE"""),"銷售營運部")</f>
        <v>銷售營運部</v>
      </c>
      <c r="O87" s="41" t="str">
        <f>IFERROR(__xludf.DUMMYFUNCTION("""COMPUTED_VALUE"""),"銷售顧問團隊")</f>
        <v>銷售顧問團隊</v>
      </c>
      <c r="P87" s="68">
        <f>IFERROR(__xludf.DUMMYFUNCTION("""COMPUTED_VALUE"""),883.0)</f>
        <v>883</v>
      </c>
      <c r="Q87" s="68">
        <f>IFERROR(__xludf.DUMMYFUNCTION("""COMPUTED_VALUE"""),883.0)</f>
        <v>883</v>
      </c>
      <c r="R87" s="68">
        <f>IFERROR(__xludf.DUMMYFUNCTION("""COMPUTED_VALUE"""),883.0)</f>
        <v>883</v>
      </c>
      <c r="S87" s="68">
        <f>IFERROR(__xludf.DUMMYFUNCTION("""COMPUTED_VALUE"""),883.0)</f>
        <v>883</v>
      </c>
      <c r="T87" s="68">
        <f>IFERROR(__xludf.DUMMYFUNCTION("""COMPUTED_VALUE"""),883.0)</f>
        <v>883</v>
      </c>
      <c r="U87" s="68">
        <f>IFERROR(__xludf.DUMMYFUNCTION("""COMPUTED_VALUE"""),883.0)</f>
        <v>883</v>
      </c>
      <c r="V87" s="68">
        <f>IFERROR(__xludf.DUMMYFUNCTION("""COMPUTED_VALUE"""),883.0)</f>
        <v>883</v>
      </c>
      <c r="W87" s="68">
        <f>IFERROR(__xludf.DUMMYFUNCTION("""COMPUTED_VALUE"""),883.0)</f>
        <v>883</v>
      </c>
      <c r="X87" s="68">
        <f>IFERROR(__xludf.DUMMYFUNCTION("""COMPUTED_VALUE"""),883.0)</f>
        <v>883</v>
      </c>
      <c r="Y87" s="68">
        <f>IFERROR(__xludf.DUMMYFUNCTION("""COMPUTED_VALUE"""),883.0)</f>
        <v>883</v>
      </c>
      <c r="Z87" s="68">
        <f>IFERROR(__xludf.DUMMYFUNCTION("""COMPUTED_VALUE"""),883.0)</f>
        <v>883</v>
      </c>
      <c r="AA87" s="68">
        <f>IFERROR(__xludf.DUMMYFUNCTION("""COMPUTED_VALUE"""),883.0)</f>
        <v>883</v>
      </c>
      <c r="AB87" s="68">
        <f>IFERROR(__xludf.DUMMYFUNCTION("""COMPUTED_VALUE"""),10596.0)</f>
        <v>10596</v>
      </c>
    </row>
    <row r="88">
      <c r="B88" s="41"/>
      <c r="C88" s="41"/>
      <c r="D88" s="41"/>
      <c r="E88" s="41"/>
      <c r="F88" s="41"/>
      <c r="G88" s="41"/>
      <c r="H88" s="41"/>
      <c r="I88" s="41"/>
      <c r="J88" s="41" t="str">
        <f>IFERROR(__xludf.DUMMYFUNCTION("""COMPUTED_VALUE"""),"AICHMA02407079")</f>
        <v>AICHMA02407079</v>
      </c>
      <c r="K88" s="41" t="str">
        <f>IFERROR(__xludf.DUMMYFUNCTION("""COMPUTED_VALUE"""),"Macbook Air")</f>
        <v>Macbook Air</v>
      </c>
      <c r="L88" s="41" t="str">
        <f>IFERROR(__xludf.DUMMYFUNCTION("""COMPUTED_VALUE"""),"李珈錡")</f>
        <v>李珈錡</v>
      </c>
      <c r="M88" s="41" t="str">
        <f>IFERROR(__xludf.DUMMYFUNCTION("""COMPUTED_VALUE"""),"研發中心")</f>
        <v>研發中心</v>
      </c>
      <c r="N88" s="41" t="str">
        <f>IFERROR(__xludf.DUMMYFUNCTION("""COMPUTED_VALUE"""),"產品設計部")</f>
        <v>產品設計部</v>
      </c>
      <c r="O88" s="41" t="str">
        <f>IFERROR(__xludf.DUMMYFUNCTION("""COMPUTED_VALUE"""),"產品經理團隊")</f>
        <v>產品經理團隊</v>
      </c>
      <c r="P88" s="68">
        <f>IFERROR(__xludf.DUMMYFUNCTION("""COMPUTED_VALUE"""),1475.0)</f>
        <v>1475</v>
      </c>
      <c r="Q88" s="68">
        <f>IFERROR(__xludf.DUMMYFUNCTION("""COMPUTED_VALUE"""),1475.0)</f>
        <v>1475</v>
      </c>
      <c r="R88" s="68">
        <f>IFERROR(__xludf.DUMMYFUNCTION("""COMPUTED_VALUE"""),1475.0)</f>
        <v>1475</v>
      </c>
      <c r="S88" s="68">
        <f>IFERROR(__xludf.DUMMYFUNCTION("""COMPUTED_VALUE"""),1475.0)</f>
        <v>1475</v>
      </c>
      <c r="T88" s="68">
        <f>IFERROR(__xludf.DUMMYFUNCTION("""COMPUTED_VALUE"""),1475.0)</f>
        <v>1475</v>
      </c>
      <c r="U88" s="68">
        <f>IFERROR(__xludf.DUMMYFUNCTION("""COMPUTED_VALUE"""),1475.0)</f>
        <v>1475</v>
      </c>
      <c r="V88" s="68">
        <f>IFERROR(__xludf.DUMMYFUNCTION("""COMPUTED_VALUE"""),1475.0)</f>
        <v>1475</v>
      </c>
      <c r="W88" s="68">
        <f>IFERROR(__xludf.DUMMYFUNCTION("""COMPUTED_VALUE"""),1475.0)</f>
        <v>1475</v>
      </c>
      <c r="X88" s="68">
        <f>IFERROR(__xludf.DUMMYFUNCTION("""COMPUTED_VALUE"""),1475.0)</f>
        <v>1475</v>
      </c>
      <c r="Y88" s="68">
        <f>IFERROR(__xludf.DUMMYFUNCTION("""COMPUTED_VALUE"""),1475.0)</f>
        <v>1475</v>
      </c>
      <c r="Z88" s="68">
        <f>IFERROR(__xludf.DUMMYFUNCTION("""COMPUTED_VALUE"""),1475.0)</f>
        <v>1475</v>
      </c>
      <c r="AA88" s="68">
        <f>IFERROR(__xludf.DUMMYFUNCTION("""COMPUTED_VALUE"""),1475.0)</f>
        <v>1475</v>
      </c>
      <c r="AB88" s="68">
        <f>IFERROR(__xludf.DUMMYFUNCTION("""COMPUTED_VALUE"""),17700.0)</f>
        <v>17700</v>
      </c>
    </row>
    <row r="89">
      <c r="B89" s="41"/>
      <c r="C89" s="41"/>
      <c r="D89" s="41"/>
      <c r="E89" s="41"/>
      <c r="F89" s="41"/>
      <c r="G89" s="41"/>
      <c r="H89" s="41"/>
      <c r="I89" s="41"/>
      <c r="J89" s="41" t="str">
        <f>IFERROR(__xludf.DUMMYFUNCTION("""COMPUTED_VALUE"""),"AICHMA02408080")</f>
        <v>AICHMA02408080</v>
      </c>
      <c r="K89" s="41" t="str">
        <f>IFERROR(__xludf.DUMMYFUNCTION("""COMPUTED_VALUE"""),"Macbook Air")</f>
        <v>Macbook Air</v>
      </c>
      <c r="L89" s="41" t="str">
        <f>IFERROR(__xludf.DUMMYFUNCTION("""COMPUTED_VALUE"""),"楊雅雯")</f>
        <v>楊雅雯</v>
      </c>
      <c r="M89" s="41" t="str">
        <f>IFERROR(__xludf.DUMMYFUNCTION("""COMPUTED_VALUE"""),"行銷營運中心")</f>
        <v>行銷營運中心</v>
      </c>
      <c r="N89" s="41" t="str">
        <f>IFERROR(__xludf.DUMMYFUNCTION("""COMPUTED_VALUE"""),"銷售營運部")</f>
        <v>銷售營運部</v>
      </c>
      <c r="O89" s="41" t="str">
        <f>IFERROR(__xludf.DUMMYFUNCTION("""COMPUTED_VALUE"""),"銷售顧問團隊")</f>
        <v>銷售顧問團隊</v>
      </c>
      <c r="P89" s="68">
        <f>IFERROR(__xludf.DUMMYFUNCTION("""COMPUTED_VALUE"""),883.0)</f>
        <v>883</v>
      </c>
      <c r="Q89" s="68">
        <f>IFERROR(__xludf.DUMMYFUNCTION("""COMPUTED_VALUE"""),883.0)</f>
        <v>883</v>
      </c>
      <c r="R89" s="68">
        <f>IFERROR(__xludf.DUMMYFUNCTION("""COMPUTED_VALUE"""),883.0)</f>
        <v>883</v>
      </c>
      <c r="S89" s="68">
        <f>IFERROR(__xludf.DUMMYFUNCTION("""COMPUTED_VALUE"""),883.0)</f>
        <v>883</v>
      </c>
      <c r="T89" s="68">
        <f>IFERROR(__xludf.DUMMYFUNCTION("""COMPUTED_VALUE"""),883.0)</f>
        <v>883</v>
      </c>
      <c r="U89" s="68">
        <f>IFERROR(__xludf.DUMMYFUNCTION("""COMPUTED_VALUE"""),883.0)</f>
        <v>883</v>
      </c>
      <c r="V89" s="68">
        <f>IFERROR(__xludf.DUMMYFUNCTION("""COMPUTED_VALUE"""),883.0)</f>
        <v>883</v>
      </c>
      <c r="W89" s="68">
        <f>IFERROR(__xludf.DUMMYFUNCTION("""COMPUTED_VALUE"""),883.0)</f>
        <v>883</v>
      </c>
      <c r="X89" s="68">
        <f>IFERROR(__xludf.DUMMYFUNCTION("""COMPUTED_VALUE"""),883.0)</f>
        <v>883</v>
      </c>
      <c r="Y89" s="68">
        <f>IFERROR(__xludf.DUMMYFUNCTION("""COMPUTED_VALUE"""),883.0)</f>
        <v>883</v>
      </c>
      <c r="Z89" s="68">
        <f>IFERROR(__xludf.DUMMYFUNCTION("""COMPUTED_VALUE"""),883.0)</f>
        <v>883</v>
      </c>
      <c r="AA89" s="68">
        <f>IFERROR(__xludf.DUMMYFUNCTION("""COMPUTED_VALUE"""),883.0)</f>
        <v>883</v>
      </c>
      <c r="AB89" s="68">
        <f>IFERROR(__xludf.DUMMYFUNCTION("""COMPUTED_VALUE"""),10596.0)</f>
        <v>10596</v>
      </c>
    </row>
    <row r="90">
      <c r="B90" s="41"/>
      <c r="C90" s="41"/>
      <c r="D90" s="41"/>
      <c r="E90" s="41"/>
      <c r="F90" s="41"/>
      <c r="G90" s="41"/>
      <c r="H90" s="41"/>
      <c r="I90" s="41"/>
      <c r="J90" s="41" t="str">
        <f>IFERROR(__xludf.DUMMYFUNCTION("""COMPUTED_VALUE"""),"AICHMA02408081")</f>
        <v>AICHMA02408081</v>
      </c>
      <c r="K90" s="41" t="str">
        <f>IFERROR(__xludf.DUMMYFUNCTION("""COMPUTED_VALUE"""),"Macbook Air")</f>
        <v>Macbook Air</v>
      </c>
      <c r="L90" s="41" t="str">
        <f>IFERROR(__xludf.DUMMYFUNCTION("""COMPUTED_VALUE"""),"王壯為")</f>
        <v>王壯為</v>
      </c>
      <c r="M90" s="41" t="str">
        <f>IFERROR(__xludf.DUMMYFUNCTION("""COMPUTED_VALUE"""),"管理中心")</f>
        <v>管理中心</v>
      </c>
      <c r="N90" s="41" t="str">
        <f>IFERROR(__xludf.DUMMYFUNCTION("""COMPUTED_VALUE"""),"資訊部")</f>
        <v>資訊部</v>
      </c>
      <c r="O90" s="41"/>
      <c r="P90" s="68">
        <f>IFERROR(__xludf.DUMMYFUNCTION("""COMPUTED_VALUE"""),883.0)</f>
        <v>883</v>
      </c>
      <c r="Q90" s="68">
        <f>IFERROR(__xludf.DUMMYFUNCTION("""COMPUTED_VALUE"""),883.0)</f>
        <v>883</v>
      </c>
      <c r="R90" s="68">
        <f>IFERROR(__xludf.DUMMYFUNCTION("""COMPUTED_VALUE"""),883.0)</f>
        <v>883</v>
      </c>
      <c r="S90" s="68">
        <f>IFERROR(__xludf.DUMMYFUNCTION("""COMPUTED_VALUE"""),883.0)</f>
        <v>883</v>
      </c>
      <c r="T90" s="68">
        <f>IFERROR(__xludf.DUMMYFUNCTION("""COMPUTED_VALUE"""),883.0)</f>
        <v>883</v>
      </c>
      <c r="U90" s="68">
        <f>IFERROR(__xludf.DUMMYFUNCTION("""COMPUTED_VALUE"""),883.0)</f>
        <v>883</v>
      </c>
      <c r="V90" s="68">
        <f>IFERROR(__xludf.DUMMYFUNCTION("""COMPUTED_VALUE"""),883.0)</f>
        <v>883</v>
      </c>
      <c r="W90" s="68">
        <f>IFERROR(__xludf.DUMMYFUNCTION("""COMPUTED_VALUE"""),883.0)</f>
        <v>883</v>
      </c>
      <c r="X90" s="68">
        <f>IFERROR(__xludf.DUMMYFUNCTION("""COMPUTED_VALUE"""),883.0)</f>
        <v>883</v>
      </c>
      <c r="Y90" s="68">
        <f>IFERROR(__xludf.DUMMYFUNCTION("""COMPUTED_VALUE"""),883.0)</f>
        <v>883</v>
      </c>
      <c r="Z90" s="68">
        <f>IFERROR(__xludf.DUMMYFUNCTION("""COMPUTED_VALUE"""),883.0)</f>
        <v>883</v>
      </c>
      <c r="AA90" s="68">
        <f>IFERROR(__xludf.DUMMYFUNCTION("""COMPUTED_VALUE"""),883.0)</f>
        <v>883</v>
      </c>
      <c r="AB90" s="68">
        <f>IFERROR(__xludf.DUMMYFUNCTION("""COMPUTED_VALUE"""),10596.0)</f>
        <v>10596</v>
      </c>
    </row>
    <row r="91">
      <c r="B91" s="41"/>
      <c r="C91" s="41"/>
      <c r="D91" s="41"/>
      <c r="E91" s="41"/>
      <c r="F91" s="41"/>
      <c r="G91" s="41"/>
      <c r="H91" s="41"/>
      <c r="I91" s="41"/>
      <c r="J91" s="41" t="str">
        <f>IFERROR(__xludf.DUMMYFUNCTION("""COMPUTED_VALUE"""),"AICHIP02408104")</f>
        <v>AICHIP02408104</v>
      </c>
      <c r="K91" s="41" t="str">
        <f>IFERROR(__xludf.DUMMYFUNCTION("""COMPUTED_VALUE"""),"iPad 10")</f>
        <v>iPad 10</v>
      </c>
      <c r="L91" s="41" t="str">
        <f>IFERROR(__xludf.DUMMYFUNCTION("""COMPUTED_VALUE"""),"楊雅雯")</f>
        <v>楊雅雯</v>
      </c>
      <c r="M91" s="41" t="str">
        <f>IFERROR(__xludf.DUMMYFUNCTION("""COMPUTED_VALUE"""),"行銷營運中心")</f>
        <v>行銷營運中心</v>
      </c>
      <c r="N91" s="41" t="str">
        <f>IFERROR(__xludf.DUMMYFUNCTION("""COMPUTED_VALUE"""),"銷售營運部")</f>
        <v>銷售營運部</v>
      </c>
      <c r="O91" s="41" t="str">
        <f>IFERROR(__xludf.DUMMYFUNCTION("""COMPUTED_VALUE"""),"銷售顧問團隊")</f>
        <v>銷售顧問團隊</v>
      </c>
      <c r="P91" s="68">
        <f>IFERROR(__xludf.DUMMYFUNCTION("""COMPUTED_VALUE"""),294.0)</f>
        <v>294</v>
      </c>
      <c r="Q91" s="68">
        <f>IFERROR(__xludf.DUMMYFUNCTION("""COMPUTED_VALUE"""),294.0)</f>
        <v>294</v>
      </c>
      <c r="R91" s="68">
        <f>IFERROR(__xludf.DUMMYFUNCTION("""COMPUTED_VALUE"""),294.0)</f>
        <v>294</v>
      </c>
      <c r="S91" s="68">
        <f>IFERROR(__xludf.DUMMYFUNCTION("""COMPUTED_VALUE"""),294.0)</f>
        <v>294</v>
      </c>
      <c r="T91" s="68">
        <f>IFERROR(__xludf.DUMMYFUNCTION("""COMPUTED_VALUE"""),294.0)</f>
        <v>294</v>
      </c>
      <c r="U91" s="68">
        <f>IFERROR(__xludf.DUMMYFUNCTION("""COMPUTED_VALUE"""),294.0)</f>
        <v>294</v>
      </c>
      <c r="V91" s="68">
        <f>IFERROR(__xludf.DUMMYFUNCTION("""COMPUTED_VALUE"""),294.0)</f>
        <v>294</v>
      </c>
      <c r="W91" s="68">
        <f>IFERROR(__xludf.DUMMYFUNCTION("""COMPUTED_VALUE"""),294.0)</f>
        <v>294</v>
      </c>
      <c r="X91" s="68">
        <f>IFERROR(__xludf.DUMMYFUNCTION("""COMPUTED_VALUE"""),294.0)</f>
        <v>294</v>
      </c>
      <c r="Y91" s="68">
        <f>IFERROR(__xludf.DUMMYFUNCTION("""COMPUTED_VALUE"""),294.0)</f>
        <v>294</v>
      </c>
      <c r="Z91" s="68">
        <f>IFERROR(__xludf.DUMMYFUNCTION("""COMPUTED_VALUE"""),294.0)</f>
        <v>294</v>
      </c>
      <c r="AA91" s="68">
        <f>IFERROR(__xludf.DUMMYFUNCTION("""COMPUTED_VALUE"""),294.0)</f>
        <v>294</v>
      </c>
      <c r="AB91" s="68">
        <f>IFERROR(__xludf.DUMMYFUNCTION("""COMPUTED_VALUE"""),3528.0)</f>
        <v>3528</v>
      </c>
    </row>
    <row r="92">
      <c r="B92" s="41"/>
      <c r="C92" s="41"/>
      <c r="D92" s="41"/>
      <c r="E92" s="41"/>
      <c r="F92" s="41"/>
      <c r="G92" s="41"/>
      <c r="H92" s="41"/>
      <c r="I92" s="41"/>
      <c r="J92" s="41" t="str">
        <f>IFERROR(__xludf.DUMMYFUNCTION("""COMPUTED_VALUE"""),"AICHIP02408105")</f>
        <v>AICHIP02408105</v>
      </c>
      <c r="K92" s="41" t="str">
        <f>IFERROR(__xludf.DUMMYFUNCTION("""COMPUTED_VALUE"""),"iPad 10")</f>
        <v>iPad 10</v>
      </c>
      <c r="L92" s="41" t="str">
        <f>IFERROR(__xludf.DUMMYFUNCTION("""COMPUTED_VALUE"""),"王壯為")</f>
        <v>王壯為</v>
      </c>
      <c r="M92" s="41" t="str">
        <f>IFERROR(__xludf.DUMMYFUNCTION("""COMPUTED_VALUE"""),"管理中心")</f>
        <v>管理中心</v>
      </c>
      <c r="N92" s="41" t="str">
        <f>IFERROR(__xludf.DUMMYFUNCTION("""COMPUTED_VALUE"""),"資訊部")</f>
        <v>資訊部</v>
      </c>
      <c r="O92" s="41"/>
      <c r="P92" s="68">
        <f>IFERROR(__xludf.DUMMYFUNCTION("""COMPUTED_VALUE"""),294.0)</f>
        <v>294</v>
      </c>
      <c r="Q92" s="68">
        <f>IFERROR(__xludf.DUMMYFUNCTION("""COMPUTED_VALUE"""),294.0)</f>
        <v>294</v>
      </c>
      <c r="R92" s="68">
        <f>IFERROR(__xludf.DUMMYFUNCTION("""COMPUTED_VALUE"""),294.0)</f>
        <v>294</v>
      </c>
      <c r="S92" s="68">
        <f>IFERROR(__xludf.DUMMYFUNCTION("""COMPUTED_VALUE"""),294.0)</f>
        <v>294</v>
      </c>
      <c r="T92" s="68">
        <f>IFERROR(__xludf.DUMMYFUNCTION("""COMPUTED_VALUE"""),294.0)</f>
        <v>294</v>
      </c>
      <c r="U92" s="68">
        <f>IFERROR(__xludf.DUMMYFUNCTION("""COMPUTED_VALUE"""),294.0)</f>
        <v>294</v>
      </c>
      <c r="V92" s="68">
        <f>IFERROR(__xludf.DUMMYFUNCTION("""COMPUTED_VALUE"""),294.0)</f>
        <v>294</v>
      </c>
      <c r="W92" s="68">
        <f>IFERROR(__xludf.DUMMYFUNCTION("""COMPUTED_VALUE"""),294.0)</f>
        <v>294</v>
      </c>
      <c r="X92" s="68">
        <f>IFERROR(__xludf.DUMMYFUNCTION("""COMPUTED_VALUE"""),294.0)</f>
        <v>294</v>
      </c>
      <c r="Y92" s="68">
        <f>IFERROR(__xludf.DUMMYFUNCTION("""COMPUTED_VALUE"""),294.0)</f>
        <v>294</v>
      </c>
      <c r="Z92" s="68">
        <f>IFERROR(__xludf.DUMMYFUNCTION("""COMPUTED_VALUE"""),294.0)</f>
        <v>294</v>
      </c>
      <c r="AA92" s="68">
        <f>IFERROR(__xludf.DUMMYFUNCTION("""COMPUTED_VALUE"""),294.0)</f>
        <v>294</v>
      </c>
      <c r="AB92" s="68">
        <f>IFERROR(__xludf.DUMMYFUNCTION("""COMPUTED_VALUE"""),3528.0)</f>
        <v>3528</v>
      </c>
    </row>
    <row r="93">
      <c r="B93" s="41"/>
      <c r="C93" s="41"/>
      <c r="D93" s="41"/>
      <c r="E93" s="41"/>
      <c r="F93" s="41"/>
      <c r="G93" s="41"/>
      <c r="H93" s="41"/>
      <c r="I93" s="41"/>
      <c r="J93" s="41" t="str">
        <f>IFERROR(__xludf.DUMMYFUNCTION("""COMPUTED_VALUE"""),"AICHMN02408145")</f>
        <v>AICHMN02408145</v>
      </c>
      <c r="K93" s="41" t="str">
        <f>IFERROR(__xludf.DUMMYFUNCTION("""COMPUTED_VALUE"""),"螢幕")</f>
        <v>螢幕</v>
      </c>
      <c r="L93" s="41" t="str">
        <f>IFERROR(__xludf.DUMMYFUNCTION("""COMPUTED_VALUE"""),"王壯為")</f>
        <v>王壯為</v>
      </c>
      <c r="M93" s="41" t="str">
        <f>IFERROR(__xludf.DUMMYFUNCTION("""COMPUTED_VALUE"""),"管理中心")</f>
        <v>管理中心</v>
      </c>
      <c r="N93" s="41" t="str">
        <f>IFERROR(__xludf.DUMMYFUNCTION("""COMPUTED_VALUE"""),"資訊部")</f>
        <v>資訊部</v>
      </c>
      <c r="O93" s="41"/>
      <c r="P93" s="68">
        <f>IFERROR(__xludf.DUMMYFUNCTION("""COMPUTED_VALUE"""),1647.0)</f>
        <v>1647</v>
      </c>
      <c r="Q93" s="68">
        <f>IFERROR(__xludf.DUMMYFUNCTION("""COMPUTED_VALUE"""),1647.0)</f>
        <v>1647</v>
      </c>
      <c r="R93" s="68">
        <f>IFERROR(__xludf.DUMMYFUNCTION("""COMPUTED_VALUE"""),1647.0)</f>
        <v>1647</v>
      </c>
      <c r="S93" s="68">
        <f>IFERROR(__xludf.DUMMYFUNCTION("""COMPUTED_VALUE"""),1647.0)</f>
        <v>1647</v>
      </c>
      <c r="T93" s="68">
        <f>IFERROR(__xludf.DUMMYFUNCTION("""COMPUTED_VALUE"""),1647.0)</f>
        <v>1647</v>
      </c>
      <c r="U93" s="68">
        <f>IFERROR(__xludf.DUMMYFUNCTION("""COMPUTED_VALUE"""),1647.0)</f>
        <v>1647</v>
      </c>
      <c r="V93" s="68">
        <f>IFERROR(__xludf.DUMMYFUNCTION("""COMPUTED_VALUE"""),1647.0)</f>
        <v>1647</v>
      </c>
      <c r="W93" s="68">
        <f>IFERROR(__xludf.DUMMYFUNCTION("""COMPUTED_VALUE"""),1647.0)</f>
        <v>1647</v>
      </c>
      <c r="X93" s="68">
        <f>IFERROR(__xludf.DUMMYFUNCTION("""COMPUTED_VALUE"""),1647.0)</f>
        <v>1647</v>
      </c>
      <c r="Y93" s="68">
        <f>IFERROR(__xludf.DUMMYFUNCTION("""COMPUTED_VALUE"""),1647.0)</f>
        <v>1647</v>
      </c>
      <c r="Z93" s="68">
        <f>IFERROR(__xludf.DUMMYFUNCTION("""COMPUTED_VALUE"""),1647.0)</f>
        <v>1647</v>
      </c>
      <c r="AA93" s="68">
        <f>IFERROR(__xludf.DUMMYFUNCTION("""COMPUTED_VALUE"""),1647.0)</f>
        <v>1647</v>
      </c>
      <c r="AB93" s="68">
        <f>IFERROR(__xludf.DUMMYFUNCTION("""COMPUTED_VALUE"""),19764.0)</f>
        <v>19764</v>
      </c>
    </row>
    <row r="94">
      <c r="B94" s="41"/>
      <c r="C94" s="41"/>
      <c r="D94" s="41"/>
      <c r="E94" s="41"/>
      <c r="F94" s="41"/>
      <c r="G94" s="41"/>
      <c r="H94" s="41"/>
      <c r="I94" s="41"/>
      <c r="J94" s="41" t="str">
        <f>IFERROR(__xludf.DUMMYFUNCTION("""COMPUTED_VALUE"""),"AICHMP02409077")</f>
        <v>AICHMP02409077</v>
      </c>
      <c r="K94" s="41" t="str">
        <f>IFERROR(__xludf.DUMMYFUNCTION("""COMPUTED_VALUE"""),"Macbook Pro")</f>
        <v>Macbook Pro</v>
      </c>
      <c r="L94" s="41" t="str">
        <f>IFERROR(__xludf.DUMMYFUNCTION("""COMPUTED_VALUE"""),"李中正")</f>
        <v>李中正</v>
      </c>
      <c r="M94" s="41" t="str">
        <f>IFERROR(__xludf.DUMMYFUNCTION("""COMPUTED_VALUE"""),"研發中心")</f>
        <v>研發中心</v>
      </c>
      <c r="N94" s="41" t="str">
        <f>IFERROR(__xludf.DUMMYFUNCTION("""COMPUTED_VALUE"""),"軟體工程部")</f>
        <v>軟體工程部</v>
      </c>
      <c r="O94" s="41"/>
      <c r="P94" s="68">
        <f>IFERROR(__xludf.DUMMYFUNCTION("""COMPUTED_VALUE"""),1794.0)</f>
        <v>1794</v>
      </c>
      <c r="Q94" s="68">
        <f>IFERROR(__xludf.DUMMYFUNCTION("""COMPUTED_VALUE"""),1794.0)</f>
        <v>1794</v>
      </c>
      <c r="R94" s="68">
        <f>IFERROR(__xludf.DUMMYFUNCTION("""COMPUTED_VALUE"""),1794.0)</f>
        <v>1794</v>
      </c>
      <c r="S94" s="68">
        <f>IFERROR(__xludf.DUMMYFUNCTION("""COMPUTED_VALUE"""),1794.0)</f>
        <v>1794</v>
      </c>
      <c r="T94" s="68">
        <f>IFERROR(__xludf.DUMMYFUNCTION("""COMPUTED_VALUE"""),1794.0)</f>
        <v>1794</v>
      </c>
      <c r="U94" s="68">
        <f>IFERROR(__xludf.DUMMYFUNCTION("""COMPUTED_VALUE"""),1794.0)</f>
        <v>1794</v>
      </c>
      <c r="V94" s="68">
        <f>IFERROR(__xludf.DUMMYFUNCTION("""COMPUTED_VALUE"""),1794.0)</f>
        <v>1794</v>
      </c>
      <c r="W94" s="68">
        <f>IFERROR(__xludf.DUMMYFUNCTION("""COMPUTED_VALUE"""),1794.0)</f>
        <v>1794</v>
      </c>
      <c r="X94" s="68">
        <f>IFERROR(__xludf.DUMMYFUNCTION("""COMPUTED_VALUE"""),1794.0)</f>
        <v>1794</v>
      </c>
      <c r="Y94" s="68">
        <f>IFERROR(__xludf.DUMMYFUNCTION("""COMPUTED_VALUE"""),1794.0)</f>
        <v>1794</v>
      </c>
      <c r="Z94" s="68">
        <f>IFERROR(__xludf.DUMMYFUNCTION("""COMPUTED_VALUE"""),1794.0)</f>
        <v>1794</v>
      </c>
      <c r="AA94" s="68">
        <f>IFERROR(__xludf.DUMMYFUNCTION("""COMPUTED_VALUE"""),1794.0)</f>
        <v>1794</v>
      </c>
      <c r="AB94" s="68">
        <f>IFERROR(__xludf.DUMMYFUNCTION("""COMPUTED_VALUE"""),21528.0)</f>
        <v>21528</v>
      </c>
    </row>
    <row r="95">
      <c r="B95" s="41"/>
      <c r="C95" s="41"/>
      <c r="D95" s="41"/>
      <c r="E95" s="41"/>
      <c r="F95" s="41"/>
      <c r="G95" s="41"/>
      <c r="H95" s="41"/>
      <c r="I95" s="41"/>
      <c r="J95" s="41" t="str">
        <f>IFERROR(__xludf.DUMMYFUNCTION("""COMPUTED_VALUE"""),"AICHMA02409083")</f>
        <v>AICHMA02409083</v>
      </c>
      <c r="K95" s="41" t="str">
        <f>IFERROR(__xludf.DUMMYFUNCTION("""COMPUTED_VALUE"""),"Macbook Air")</f>
        <v>Macbook Air</v>
      </c>
      <c r="L95" s="41" t="str">
        <f>IFERROR(__xludf.DUMMYFUNCTION("""COMPUTED_VALUE"""),"盧欣妤")</f>
        <v>盧欣妤</v>
      </c>
      <c r="M95" s="41" t="str">
        <f>IFERROR(__xludf.DUMMYFUNCTION("""COMPUTED_VALUE"""),"客戶價值中心")</f>
        <v>客戶價值中心</v>
      </c>
      <c r="N95" s="41" t="str">
        <f>IFERROR(__xludf.DUMMYFUNCTION("""COMPUTED_VALUE"""),"客戶關係管理部")</f>
        <v>客戶關係管理部</v>
      </c>
      <c r="O95" s="41" t="str">
        <f>IFERROR(__xludf.DUMMYFUNCTION("""COMPUTED_VALUE"""),"客服團隊 POS/OMO")</f>
        <v>客服團隊 POS/OMO</v>
      </c>
      <c r="P95" s="68">
        <f>IFERROR(__xludf.DUMMYFUNCTION("""COMPUTED_VALUE"""),917.0)</f>
        <v>917</v>
      </c>
      <c r="Q95" s="68">
        <f>IFERROR(__xludf.DUMMYFUNCTION("""COMPUTED_VALUE"""),917.0)</f>
        <v>917</v>
      </c>
      <c r="R95" s="68">
        <f>IFERROR(__xludf.DUMMYFUNCTION("""COMPUTED_VALUE"""),917.0)</f>
        <v>917</v>
      </c>
      <c r="S95" s="68">
        <f>IFERROR(__xludf.DUMMYFUNCTION("""COMPUTED_VALUE"""),917.0)</f>
        <v>917</v>
      </c>
      <c r="T95" s="68">
        <f>IFERROR(__xludf.DUMMYFUNCTION("""COMPUTED_VALUE"""),917.0)</f>
        <v>917</v>
      </c>
      <c r="U95" s="68">
        <f>IFERROR(__xludf.DUMMYFUNCTION("""COMPUTED_VALUE"""),917.0)</f>
        <v>917</v>
      </c>
      <c r="V95" s="68">
        <f>IFERROR(__xludf.DUMMYFUNCTION("""COMPUTED_VALUE"""),917.0)</f>
        <v>917</v>
      </c>
      <c r="W95" s="68">
        <f>IFERROR(__xludf.DUMMYFUNCTION("""COMPUTED_VALUE"""),917.0)</f>
        <v>917</v>
      </c>
      <c r="X95" s="68">
        <f>IFERROR(__xludf.DUMMYFUNCTION("""COMPUTED_VALUE"""),917.0)</f>
        <v>917</v>
      </c>
      <c r="Y95" s="68">
        <f>IFERROR(__xludf.DUMMYFUNCTION("""COMPUTED_VALUE"""),917.0)</f>
        <v>917</v>
      </c>
      <c r="Z95" s="68">
        <f>IFERROR(__xludf.DUMMYFUNCTION("""COMPUTED_VALUE"""),917.0)</f>
        <v>917</v>
      </c>
      <c r="AA95" s="68">
        <f>IFERROR(__xludf.DUMMYFUNCTION("""COMPUTED_VALUE"""),917.0)</f>
        <v>917</v>
      </c>
      <c r="AB95" s="68">
        <f>IFERROR(__xludf.DUMMYFUNCTION("""COMPUTED_VALUE"""),11004.0)</f>
        <v>11004</v>
      </c>
    </row>
    <row r="96">
      <c r="B96" s="41"/>
      <c r="C96" s="41"/>
      <c r="D96" s="41"/>
      <c r="E96" s="41"/>
      <c r="F96" s="41"/>
      <c r="G96" s="41"/>
      <c r="H96" s="41"/>
      <c r="I96" s="41"/>
      <c r="J96" s="41" t="str">
        <f>IFERROR(__xludf.DUMMYFUNCTION("""COMPUTED_VALUE"""),"AICHMA02409084")</f>
        <v>AICHMA02409084</v>
      </c>
      <c r="K96" s="41" t="str">
        <f>IFERROR(__xludf.DUMMYFUNCTION("""COMPUTED_VALUE"""),"Macbook Air")</f>
        <v>Macbook Air</v>
      </c>
      <c r="L96" s="41" t="str">
        <f>IFERROR(__xludf.DUMMYFUNCTION("""COMPUTED_VALUE"""),"黃承駿")</f>
        <v>黃承駿</v>
      </c>
      <c r="M96" s="41" t="str">
        <f>IFERROR(__xludf.DUMMYFUNCTION("""COMPUTED_VALUE"""),"管理中心")</f>
        <v>管理中心</v>
      </c>
      <c r="N96" s="41" t="str">
        <f>IFERROR(__xludf.DUMMYFUNCTION("""COMPUTED_VALUE"""),"法務部")</f>
        <v>法務部</v>
      </c>
      <c r="O96" s="41" t="str">
        <f>IFERROR(__xludf.DUMMYFUNCTION("""COMPUTED_VALUE"""),"法務團隊")</f>
        <v>法務團隊</v>
      </c>
      <c r="P96" s="68">
        <f>IFERROR(__xludf.DUMMYFUNCTION("""COMPUTED_VALUE"""),917.0)</f>
        <v>917</v>
      </c>
      <c r="Q96" s="68">
        <f>IFERROR(__xludf.DUMMYFUNCTION("""COMPUTED_VALUE"""),917.0)</f>
        <v>917</v>
      </c>
      <c r="R96" s="68">
        <f>IFERROR(__xludf.DUMMYFUNCTION("""COMPUTED_VALUE"""),917.0)</f>
        <v>917</v>
      </c>
      <c r="S96" s="68">
        <f>IFERROR(__xludf.DUMMYFUNCTION("""COMPUTED_VALUE"""),917.0)</f>
        <v>917</v>
      </c>
      <c r="T96" s="68">
        <f>IFERROR(__xludf.DUMMYFUNCTION("""COMPUTED_VALUE"""),917.0)</f>
        <v>917</v>
      </c>
      <c r="U96" s="68">
        <f>IFERROR(__xludf.DUMMYFUNCTION("""COMPUTED_VALUE"""),917.0)</f>
        <v>917</v>
      </c>
      <c r="V96" s="68">
        <f>IFERROR(__xludf.DUMMYFUNCTION("""COMPUTED_VALUE"""),917.0)</f>
        <v>917</v>
      </c>
      <c r="W96" s="68">
        <f>IFERROR(__xludf.DUMMYFUNCTION("""COMPUTED_VALUE"""),917.0)</f>
        <v>917</v>
      </c>
      <c r="X96" s="68">
        <f>IFERROR(__xludf.DUMMYFUNCTION("""COMPUTED_VALUE"""),917.0)</f>
        <v>917</v>
      </c>
      <c r="Y96" s="68">
        <f>IFERROR(__xludf.DUMMYFUNCTION("""COMPUTED_VALUE"""),917.0)</f>
        <v>917</v>
      </c>
      <c r="Z96" s="68">
        <f>IFERROR(__xludf.DUMMYFUNCTION("""COMPUTED_VALUE"""),917.0)</f>
        <v>917</v>
      </c>
      <c r="AA96" s="68">
        <f>IFERROR(__xludf.DUMMYFUNCTION("""COMPUTED_VALUE"""),917.0)</f>
        <v>917</v>
      </c>
      <c r="AB96" s="68">
        <f>IFERROR(__xludf.DUMMYFUNCTION("""COMPUTED_VALUE"""),11004.0)</f>
        <v>11004</v>
      </c>
    </row>
    <row r="97">
      <c r="B97" s="41"/>
      <c r="C97" s="41"/>
      <c r="D97" s="41"/>
      <c r="E97" s="41"/>
      <c r="F97" s="41"/>
      <c r="G97" s="41"/>
      <c r="H97" s="41"/>
      <c r="I97" s="41"/>
      <c r="J97" s="41" t="str">
        <f>IFERROR(__xludf.DUMMYFUNCTION("""COMPUTED_VALUE"""),"AICHNB02409004")</f>
        <v>AICHNB02409004</v>
      </c>
      <c r="K97" s="41" t="str">
        <f>IFERROR(__xludf.DUMMYFUNCTION("""COMPUTED_VALUE"""),"Windows 筆電")</f>
        <v>Windows 筆電</v>
      </c>
      <c r="L97" s="41" t="str">
        <f>IFERROR(__xludf.DUMMYFUNCTION("""COMPUTED_VALUE"""),"魏宜婷")</f>
        <v>魏宜婷</v>
      </c>
      <c r="M97" s="41" t="str">
        <f>IFERROR(__xludf.DUMMYFUNCTION("""COMPUTED_VALUE"""),"執行長室")</f>
        <v>執行長室</v>
      </c>
      <c r="N97" s="41" t="str">
        <f>IFERROR(__xludf.DUMMYFUNCTION("""COMPUTED_VALUE"""),"稽核室")</f>
        <v>稽核室</v>
      </c>
      <c r="O97" s="41"/>
      <c r="P97" s="68">
        <f>IFERROR(__xludf.DUMMYFUNCTION("""COMPUTED_VALUE"""),1139.0)</f>
        <v>1139</v>
      </c>
      <c r="Q97" s="68">
        <f>IFERROR(__xludf.DUMMYFUNCTION("""COMPUTED_VALUE"""),1139.0)</f>
        <v>1139</v>
      </c>
      <c r="R97" s="68">
        <f>IFERROR(__xludf.DUMMYFUNCTION("""COMPUTED_VALUE"""),1139.0)</f>
        <v>1139</v>
      </c>
      <c r="S97" s="68">
        <f>IFERROR(__xludf.DUMMYFUNCTION("""COMPUTED_VALUE"""),1139.0)</f>
        <v>1139</v>
      </c>
      <c r="T97" s="68">
        <f>IFERROR(__xludf.DUMMYFUNCTION("""COMPUTED_VALUE"""),1139.0)</f>
        <v>1139</v>
      </c>
      <c r="U97" s="68">
        <f>IFERROR(__xludf.DUMMYFUNCTION("""COMPUTED_VALUE"""),1139.0)</f>
        <v>1139</v>
      </c>
      <c r="V97" s="68">
        <f>IFERROR(__xludf.DUMMYFUNCTION("""COMPUTED_VALUE"""),1139.0)</f>
        <v>1139</v>
      </c>
      <c r="W97" s="68">
        <f>IFERROR(__xludf.DUMMYFUNCTION("""COMPUTED_VALUE"""),1139.0)</f>
        <v>1139</v>
      </c>
      <c r="X97" s="68">
        <f>IFERROR(__xludf.DUMMYFUNCTION("""COMPUTED_VALUE"""),1139.0)</f>
        <v>1139</v>
      </c>
      <c r="Y97" s="68">
        <f>IFERROR(__xludf.DUMMYFUNCTION("""COMPUTED_VALUE"""),1139.0)</f>
        <v>1139</v>
      </c>
      <c r="Z97" s="68">
        <f>IFERROR(__xludf.DUMMYFUNCTION("""COMPUTED_VALUE"""),1139.0)</f>
        <v>1139</v>
      </c>
      <c r="AA97" s="68">
        <f>IFERROR(__xludf.DUMMYFUNCTION("""COMPUTED_VALUE"""),1139.0)</f>
        <v>1139</v>
      </c>
      <c r="AB97" s="68">
        <f>IFERROR(__xludf.DUMMYFUNCTION("""COMPUTED_VALUE"""),13668.0)</f>
        <v>13668</v>
      </c>
    </row>
    <row r="98">
      <c r="B98" s="41"/>
      <c r="C98" s="41"/>
      <c r="D98" s="41"/>
      <c r="E98" s="41"/>
      <c r="F98" s="41"/>
      <c r="G98" s="41"/>
      <c r="H98" s="41"/>
      <c r="I98" s="41"/>
      <c r="J98" s="41" t="str">
        <f>IFERROR(__xludf.DUMMYFUNCTION("""COMPUTED_VALUE"""),"AICHMA02409086")</f>
        <v>AICHMA02409086</v>
      </c>
      <c r="K98" s="41" t="str">
        <f>IFERROR(__xludf.DUMMYFUNCTION("""COMPUTED_VALUE"""),"Macbook Air")</f>
        <v>Macbook Air</v>
      </c>
      <c r="L98" s="41" t="str">
        <f>IFERROR(__xludf.DUMMYFUNCTION("""COMPUTED_VALUE"""),"林育萱")</f>
        <v>林育萱</v>
      </c>
      <c r="M98" s="41" t="str">
        <f>IFERROR(__xludf.DUMMYFUNCTION("""COMPUTED_VALUE"""),"行銷營運中心")</f>
        <v>行銷營運中心</v>
      </c>
      <c r="N98" s="41" t="str">
        <f>IFERROR(__xludf.DUMMYFUNCTION("""COMPUTED_VALUE"""),"銷售營運部")</f>
        <v>銷售營運部</v>
      </c>
      <c r="O98" s="41" t="str">
        <f>IFERROR(__xludf.DUMMYFUNCTION("""COMPUTED_VALUE"""),"成交營運團隊")</f>
        <v>成交營運團隊</v>
      </c>
      <c r="P98" s="68">
        <f>IFERROR(__xludf.DUMMYFUNCTION("""COMPUTED_VALUE"""),1033.0)</f>
        <v>1033</v>
      </c>
      <c r="Q98" s="68">
        <f>IFERROR(__xludf.DUMMYFUNCTION("""COMPUTED_VALUE"""),1033.0)</f>
        <v>1033</v>
      </c>
      <c r="R98" s="68">
        <f>IFERROR(__xludf.DUMMYFUNCTION("""COMPUTED_VALUE"""),1033.0)</f>
        <v>1033</v>
      </c>
      <c r="S98" s="68">
        <f>IFERROR(__xludf.DUMMYFUNCTION("""COMPUTED_VALUE"""),1033.0)</f>
        <v>1033</v>
      </c>
      <c r="T98" s="68">
        <f>IFERROR(__xludf.DUMMYFUNCTION("""COMPUTED_VALUE"""),1033.0)</f>
        <v>1033</v>
      </c>
      <c r="U98" s="68">
        <f>IFERROR(__xludf.DUMMYFUNCTION("""COMPUTED_VALUE"""),1033.0)</f>
        <v>1033</v>
      </c>
      <c r="V98" s="68">
        <f>IFERROR(__xludf.DUMMYFUNCTION("""COMPUTED_VALUE"""),1033.0)</f>
        <v>1033</v>
      </c>
      <c r="W98" s="68">
        <f>IFERROR(__xludf.DUMMYFUNCTION("""COMPUTED_VALUE"""),1033.0)</f>
        <v>1033</v>
      </c>
      <c r="X98" s="68">
        <f>IFERROR(__xludf.DUMMYFUNCTION("""COMPUTED_VALUE"""),1033.0)</f>
        <v>1033</v>
      </c>
      <c r="Y98" s="68">
        <f>IFERROR(__xludf.DUMMYFUNCTION("""COMPUTED_VALUE"""),1033.0)</f>
        <v>1033</v>
      </c>
      <c r="Z98" s="68">
        <f>IFERROR(__xludf.DUMMYFUNCTION("""COMPUTED_VALUE"""),1033.0)</f>
        <v>1033</v>
      </c>
      <c r="AA98" s="68">
        <f>IFERROR(__xludf.DUMMYFUNCTION("""COMPUTED_VALUE"""),1033.0)</f>
        <v>1033</v>
      </c>
      <c r="AB98" s="68">
        <f>IFERROR(__xludf.DUMMYFUNCTION("""COMPUTED_VALUE"""),12396.0)</f>
        <v>12396</v>
      </c>
    </row>
    <row r="99">
      <c r="B99" s="41"/>
      <c r="C99" s="41"/>
      <c r="D99" s="41"/>
      <c r="E99" s="41"/>
      <c r="F99" s="41"/>
      <c r="G99" s="41"/>
      <c r="H99" s="41"/>
      <c r="I99" s="41"/>
      <c r="J99" s="41" t="str">
        <f>IFERROR(__xludf.DUMMYFUNCTION("""COMPUTED_VALUE"""),"AICHMA02409087")</f>
        <v>AICHMA02409087</v>
      </c>
      <c r="K99" s="41" t="str">
        <f>IFERROR(__xludf.DUMMYFUNCTION("""COMPUTED_VALUE"""),"Macbook Air")</f>
        <v>Macbook Air</v>
      </c>
      <c r="L99" s="41" t="str">
        <f>IFERROR(__xludf.DUMMYFUNCTION("""COMPUTED_VALUE"""),"王壯為")</f>
        <v>王壯為</v>
      </c>
      <c r="M99" s="41" t="str">
        <f>IFERROR(__xludf.DUMMYFUNCTION("""COMPUTED_VALUE"""),"管理中心")</f>
        <v>管理中心</v>
      </c>
      <c r="N99" s="41" t="str">
        <f>IFERROR(__xludf.DUMMYFUNCTION("""COMPUTED_VALUE"""),"資訊部")</f>
        <v>資訊部</v>
      </c>
      <c r="O99" s="41"/>
      <c r="P99" s="68">
        <f>IFERROR(__xludf.DUMMYFUNCTION("""COMPUTED_VALUE"""),1033.0)</f>
        <v>1033</v>
      </c>
      <c r="Q99" s="68">
        <f>IFERROR(__xludf.DUMMYFUNCTION("""COMPUTED_VALUE"""),1033.0)</f>
        <v>1033</v>
      </c>
      <c r="R99" s="68">
        <f>IFERROR(__xludf.DUMMYFUNCTION("""COMPUTED_VALUE"""),1033.0)</f>
        <v>1033</v>
      </c>
      <c r="S99" s="68">
        <f>IFERROR(__xludf.DUMMYFUNCTION("""COMPUTED_VALUE"""),1033.0)</f>
        <v>1033</v>
      </c>
      <c r="T99" s="68">
        <f>IFERROR(__xludf.DUMMYFUNCTION("""COMPUTED_VALUE"""),1033.0)</f>
        <v>1033</v>
      </c>
      <c r="U99" s="68">
        <f>IFERROR(__xludf.DUMMYFUNCTION("""COMPUTED_VALUE"""),1033.0)</f>
        <v>1033</v>
      </c>
      <c r="V99" s="68">
        <f>IFERROR(__xludf.DUMMYFUNCTION("""COMPUTED_VALUE"""),1033.0)</f>
        <v>1033</v>
      </c>
      <c r="W99" s="68">
        <f>IFERROR(__xludf.DUMMYFUNCTION("""COMPUTED_VALUE"""),1033.0)</f>
        <v>1033</v>
      </c>
      <c r="X99" s="68">
        <f>IFERROR(__xludf.DUMMYFUNCTION("""COMPUTED_VALUE"""),1033.0)</f>
        <v>1033</v>
      </c>
      <c r="Y99" s="68">
        <f>IFERROR(__xludf.DUMMYFUNCTION("""COMPUTED_VALUE"""),1033.0)</f>
        <v>1033</v>
      </c>
      <c r="Z99" s="68">
        <f>IFERROR(__xludf.DUMMYFUNCTION("""COMPUTED_VALUE"""),1033.0)</f>
        <v>1033</v>
      </c>
      <c r="AA99" s="68">
        <f>IFERROR(__xludf.DUMMYFUNCTION("""COMPUTED_VALUE"""),1033.0)</f>
        <v>1033</v>
      </c>
      <c r="AB99" s="68">
        <f>IFERROR(__xludf.DUMMYFUNCTION("""COMPUTED_VALUE"""),12396.0)</f>
        <v>12396</v>
      </c>
    </row>
    <row r="100">
      <c r="B100" s="41"/>
      <c r="C100" s="41"/>
      <c r="D100" s="41"/>
      <c r="E100" s="41"/>
      <c r="F100" s="41"/>
      <c r="G100" s="41"/>
      <c r="H100" s="41"/>
      <c r="I100" s="41"/>
      <c r="J100" s="41" t="str">
        <f>IFERROR(__xludf.DUMMYFUNCTION("""COMPUTED_VALUE"""),"AICHIP02409106")</f>
        <v>AICHIP02409106</v>
      </c>
      <c r="K100" s="41" t="str">
        <f>IFERROR(__xludf.DUMMYFUNCTION("""COMPUTED_VALUE"""),"iPad 10 _10.9 吋 / 64G Wifi_銀色")</f>
        <v>iPad 10 _10.9 吋 / 64G Wifi_銀色</v>
      </c>
      <c r="L100" s="41" t="str">
        <f>IFERROR(__xludf.DUMMYFUNCTION("""COMPUTED_VALUE"""),"陳可諠")</f>
        <v>陳可諠</v>
      </c>
      <c r="M100" s="41" t="str">
        <f>IFERROR(__xludf.DUMMYFUNCTION("""COMPUTED_VALUE"""),"行銷營運中心")</f>
        <v>行銷營運中心</v>
      </c>
      <c r="N100" s="41" t="str">
        <f>IFERROR(__xludf.DUMMYFUNCTION("""COMPUTED_VALUE"""),"銷售營運部")</f>
        <v>銷售營運部</v>
      </c>
      <c r="O100" s="41" t="str">
        <f>IFERROR(__xludf.DUMMYFUNCTION("""COMPUTED_VALUE"""),"銷售顧問團隊")</f>
        <v>銷售顧問團隊</v>
      </c>
      <c r="P100" s="68">
        <f>IFERROR(__xludf.DUMMYFUNCTION("""COMPUTED_VALUE"""),294.0)</f>
        <v>294</v>
      </c>
      <c r="Q100" s="68">
        <f>IFERROR(__xludf.DUMMYFUNCTION("""COMPUTED_VALUE"""),294.0)</f>
        <v>294</v>
      </c>
      <c r="R100" s="68">
        <f>IFERROR(__xludf.DUMMYFUNCTION("""COMPUTED_VALUE"""),294.0)</f>
        <v>294</v>
      </c>
      <c r="S100" s="68">
        <f>IFERROR(__xludf.DUMMYFUNCTION("""COMPUTED_VALUE"""),294.0)</f>
        <v>294</v>
      </c>
      <c r="T100" s="68">
        <f>IFERROR(__xludf.DUMMYFUNCTION("""COMPUTED_VALUE"""),294.0)</f>
        <v>294</v>
      </c>
      <c r="U100" s="68">
        <f>IFERROR(__xludf.DUMMYFUNCTION("""COMPUTED_VALUE"""),294.0)</f>
        <v>294</v>
      </c>
      <c r="V100" s="68">
        <f>IFERROR(__xludf.DUMMYFUNCTION("""COMPUTED_VALUE"""),294.0)</f>
        <v>294</v>
      </c>
      <c r="W100" s="68">
        <f>IFERROR(__xludf.DUMMYFUNCTION("""COMPUTED_VALUE"""),294.0)</f>
        <v>294</v>
      </c>
      <c r="X100" s="68">
        <f>IFERROR(__xludf.DUMMYFUNCTION("""COMPUTED_VALUE"""),294.0)</f>
        <v>294</v>
      </c>
      <c r="Y100" s="68">
        <f>IFERROR(__xludf.DUMMYFUNCTION("""COMPUTED_VALUE"""),294.0)</f>
        <v>294</v>
      </c>
      <c r="Z100" s="68">
        <f>IFERROR(__xludf.DUMMYFUNCTION("""COMPUTED_VALUE"""),294.0)</f>
        <v>294</v>
      </c>
      <c r="AA100" s="68">
        <f>IFERROR(__xludf.DUMMYFUNCTION("""COMPUTED_VALUE"""),294.0)</f>
        <v>294</v>
      </c>
      <c r="AB100" s="68">
        <f>IFERROR(__xludf.DUMMYFUNCTION("""COMPUTED_VALUE"""),3528.0)</f>
        <v>3528</v>
      </c>
    </row>
    <row r="101">
      <c r="B101" s="41"/>
      <c r="C101" s="41"/>
      <c r="D101" s="41"/>
      <c r="E101" s="41"/>
      <c r="F101" s="41"/>
      <c r="G101" s="41"/>
      <c r="H101" s="41"/>
      <c r="I101" s="41"/>
      <c r="J101" s="41" t="str">
        <f>IFERROR(__xludf.DUMMYFUNCTION("""COMPUTED_VALUE"""),"AICHIP02409108")</f>
        <v>AICHIP02409108</v>
      </c>
      <c r="K101" s="41" t="str">
        <f>IFERROR(__xludf.DUMMYFUNCTION("""COMPUTED_VALUE"""),"iPad 10 _10.9 吋 / 64G Wifi_銀色")</f>
        <v>iPad 10 _10.9 吋 / 64G Wifi_銀色</v>
      </c>
      <c r="L101" s="41" t="str">
        <f>IFERROR(__xludf.DUMMYFUNCTION("""COMPUTED_VALUE"""),"黃裕真")</f>
        <v>黃裕真</v>
      </c>
      <c r="M101" s="41" t="str">
        <f>IFERROR(__xludf.DUMMYFUNCTION("""COMPUTED_VALUE"""),"客戶價值中心")</f>
        <v>客戶價值中心</v>
      </c>
      <c r="N101" s="41" t="str">
        <f>IFERROR(__xludf.DUMMYFUNCTION("""COMPUTED_VALUE"""),"客戶關係管理部")</f>
        <v>客戶關係管理部</v>
      </c>
      <c r="O101" s="41" t="str">
        <f>IFERROR(__xludf.DUMMYFUNCTION("""COMPUTED_VALUE"""),"客服團隊 POS/OMO")</f>
        <v>客服團隊 POS/OMO</v>
      </c>
      <c r="P101" s="68">
        <f>IFERROR(__xludf.DUMMYFUNCTION("""COMPUTED_VALUE"""),293.0)</f>
        <v>293</v>
      </c>
      <c r="Q101" s="68">
        <f>IFERROR(__xludf.DUMMYFUNCTION("""COMPUTED_VALUE"""),293.0)</f>
        <v>293</v>
      </c>
      <c r="R101" s="68">
        <f>IFERROR(__xludf.DUMMYFUNCTION("""COMPUTED_VALUE"""),293.0)</f>
        <v>293</v>
      </c>
      <c r="S101" s="68">
        <f>IFERROR(__xludf.DUMMYFUNCTION("""COMPUTED_VALUE"""),293.0)</f>
        <v>293</v>
      </c>
      <c r="T101" s="68">
        <f>IFERROR(__xludf.DUMMYFUNCTION("""COMPUTED_VALUE"""),293.0)</f>
        <v>293</v>
      </c>
      <c r="U101" s="68">
        <f>IFERROR(__xludf.DUMMYFUNCTION("""COMPUTED_VALUE"""),293.0)</f>
        <v>293</v>
      </c>
      <c r="V101" s="68">
        <f>IFERROR(__xludf.DUMMYFUNCTION("""COMPUTED_VALUE"""),293.0)</f>
        <v>293</v>
      </c>
      <c r="W101" s="68">
        <f>IFERROR(__xludf.DUMMYFUNCTION("""COMPUTED_VALUE"""),293.0)</f>
        <v>293</v>
      </c>
      <c r="X101" s="68">
        <f>IFERROR(__xludf.DUMMYFUNCTION("""COMPUTED_VALUE"""),293.0)</f>
        <v>293</v>
      </c>
      <c r="Y101" s="68">
        <f>IFERROR(__xludf.DUMMYFUNCTION("""COMPUTED_VALUE"""),293.0)</f>
        <v>293</v>
      </c>
      <c r="Z101" s="68">
        <f>IFERROR(__xludf.DUMMYFUNCTION("""COMPUTED_VALUE"""),293.0)</f>
        <v>293</v>
      </c>
      <c r="AA101" s="68">
        <f>IFERROR(__xludf.DUMMYFUNCTION("""COMPUTED_VALUE"""),293.0)</f>
        <v>293</v>
      </c>
      <c r="AB101" s="68">
        <f>IFERROR(__xludf.DUMMYFUNCTION("""COMPUTED_VALUE"""),3516.0)</f>
        <v>3516</v>
      </c>
    </row>
    <row r="102">
      <c r="B102" s="41"/>
      <c r="C102" s="41"/>
      <c r="D102" s="41"/>
      <c r="E102" s="41"/>
      <c r="F102" s="41"/>
      <c r="G102" s="41"/>
      <c r="H102" s="41"/>
      <c r="I102" s="41"/>
      <c r="J102" s="41" t="str">
        <f>IFERROR(__xludf.DUMMYFUNCTION("""COMPUTED_VALUE"""),"AICHMA02409085")</f>
        <v>AICHMA02409085</v>
      </c>
      <c r="K102" s="41" t="str">
        <f>IFERROR(__xludf.DUMMYFUNCTION("""COMPUTED_VALUE"""),"Macbook Pro")</f>
        <v>Macbook Pro</v>
      </c>
      <c r="L102" s="41" t="str">
        <f>IFERROR(__xludf.DUMMYFUNCTION("""COMPUTED_VALUE"""),"邱音綺")</f>
        <v>邱音綺</v>
      </c>
      <c r="M102" s="41" t="str">
        <f>IFERROR(__xludf.DUMMYFUNCTION("""COMPUTED_VALUE"""),"管理中心")</f>
        <v>管理中心</v>
      </c>
      <c r="N102" s="41" t="str">
        <f>IFERROR(__xludf.DUMMYFUNCTION("""COMPUTED_VALUE"""),"人資部")</f>
        <v>人資部</v>
      </c>
      <c r="O102" s="41" t="str">
        <f>IFERROR(__xludf.DUMMYFUNCTION("""COMPUTED_VALUE"""),"人資團隊")</f>
        <v>人資團隊</v>
      </c>
      <c r="P102" s="68">
        <f>IFERROR(__xludf.DUMMYFUNCTION("""COMPUTED_VALUE"""),1181.0)</f>
        <v>1181</v>
      </c>
      <c r="Q102" s="68">
        <f>IFERROR(__xludf.DUMMYFUNCTION("""COMPUTED_VALUE"""),1181.0)</f>
        <v>1181</v>
      </c>
      <c r="R102" s="68">
        <f>IFERROR(__xludf.DUMMYFUNCTION("""COMPUTED_VALUE"""),1181.0)</f>
        <v>1181</v>
      </c>
      <c r="S102" s="68">
        <f>IFERROR(__xludf.DUMMYFUNCTION("""COMPUTED_VALUE"""),1181.0)</f>
        <v>1181</v>
      </c>
      <c r="T102" s="68">
        <f>IFERROR(__xludf.DUMMYFUNCTION("""COMPUTED_VALUE"""),1181.0)</f>
        <v>1181</v>
      </c>
      <c r="U102" s="68">
        <f>IFERROR(__xludf.DUMMYFUNCTION("""COMPUTED_VALUE"""),1181.0)</f>
        <v>1181</v>
      </c>
      <c r="V102" s="68">
        <f>IFERROR(__xludf.DUMMYFUNCTION("""COMPUTED_VALUE"""),1181.0)</f>
        <v>1181</v>
      </c>
      <c r="W102" s="68">
        <f>IFERROR(__xludf.DUMMYFUNCTION("""COMPUTED_VALUE"""),1181.0)</f>
        <v>1181</v>
      </c>
      <c r="X102" s="68">
        <f>IFERROR(__xludf.DUMMYFUNCTION("""COMPUTED_VALUE"""),1181.0)</f>
        <v>1181</v>
      </c>
      <c r="Y102" s="68">
        <f>IFERROR(__xludf.DUMMYFUNCTION("""COMPUTED_VALUE"""),1181.0)</f>
        <v>1181</v>
      </c>
      <c r="Z102" s="68">
        <f>IFERROR(__xludf.DUMMYFUNCTION("""COMPUTED_VALUE"""),1181.0)</f>
        <v>1181</v>
      </c>
      <c r="AA102" s="68">
        <f>IFERROR(__xludf.DUMMYFUNCTION("""COMPUTED_VALUE"""),1181.0)</f>
        <v>1181</v>
      </c>
      <c r="AB102" s="68">
        <f>IFERROR(__xludf.DUMMYFUNCTION("""COMPUTED_VALUE"""),14172.0)</f>
        <v>14172</v>
      </c>
    </row>
    <row r="103">
      <c r="B103" s="41"/>
      <c r="C103" s="41"/>
      <c r="D103" s="41"/>
      <c r="E103" s="41"/>
      <c r="F103" s="41"/>
      <c r="G103" s="41"/>
      <c r="H103" s="41"/>
      <c r="I103" s="41"/>
      <c r="J103" s="41" t="str">
        <f>IFERROR(__xludf.DUMMYFUNCTION("""COMPUTED_VALUE"""),"AICHMP02409078")</f>
        <v>AICHMP02409078</v>
      </c>
      <c r="K103" s="41" t="str">
        <f>IFERROR(__xludf.DUMMYFUNCTION("""COMPUTED_VALUE"""),"Macbook Pro")</f>
        <v>Macbook Pro</v>
      </c>
      <c r="L103" s="41" t="str">
        <f>IFERROR(__xludf.DUMMYFUNCTION("""COMPUTED_VALUE"""),"李冠宇")</f>
        <v>李冠宇</v>
      </c>
      <c r="M103" s="41" t="str">
        <f>IFERROR(__xludf.DUMMYFUNCTION("""COMPUTED_VALUE"""),"研發中心")</f>
        <v>研發中心</v>
      </c>
      <c r="N103" s="41" t="str">
        <f>IFERROR(__xludf.DUMMYFUNCTION("""COMPUTED_VALUE"""),"軟體工程部")</f>
        <v>軟體工程部</v>
      </c>
      <c r="O103" s="41" t="str">
        <f>IFERROR(__xludf.DUMMYFUNCTION("""COMPUTED_VALUE"""),"QE團隊")</f>
        <v>QE團隊</v>
      </c>
      <c r="P103" s="68">
        <f>IFERROR(__xludf.DUMMYFUNCTION("""COMPUTED_VALUE"""),1661.0)</f>
        <v>1661</v>
      </c>
      <c r="Q103" s="68">
        <f>IFERROR(__xludf.DUMMYFUNCTION("""COMPUTED_VALUE"""),1661.0)</f>
        <v>1661</v>
      </c>
      <c r="R103" s="68">
        <f>IFERROR(__xludf.DUMMYFUNCTION("""COMPUTED_VALUE"""),1661.0)</f>
        <v>1661</v>
      </c>
      <c r="S103" s="68">
        <f>IFERROR(__xludf.DUMMYFUNCTION("""COMPUTED_VALUE"""),1661.0)</f>
        <v>1661</v>
      </c>
      <c r="T103" s="68">
        <f>IFERROR(__xludf.DUMMYFUNCTION("""COMPUTED_VALUE"""),1661.0)</f>
        <v>1661</v>
      </c>
      <c r="U103" s="68">
        <f>IFERROR(__xludf.DUMMYFUNCTION("""COMPUTED_VALUE"""),1661.0)</f>
        <v>1661</v>
      </c>
      <c r="V103" s="68">
        <f>IFERROR(__xludf.DUMMYFUNCTION("""COMPUTED_VALUE"""),1661.0)</f>
        <v>1661</v>
      </c>
      <c r="W103" s="68">
        <f>IFERROR(__xludf.DUMMYFUNCTION("""COMPUTED_VALUE"""),1661.0)</f>
        <v>1661</v>
      </c>
      <c r="X103" s="68">
        <f>IFERROR(__xludf.DUMMYFUNCTION("""COMPUTED_VALUE"""),1661.0)</f>
        <v>1661</v>
      </c>
      <c r="Y103" s="68">
        <f>IFERROR(__xludf.DUMMYFUNCTION("""COMPUTED_VALUE"""),1661.0)</f>
        <v>1661</v>
      </c>
      <c r="Z103" s="68">
        <f>IFERROR(__xludf.DUMMYFUNCTION("""COMPUTED_VALUE"""),1661.0)</f>
        <v>1661</v>
      </c>
      <c r="AA103" s="68">
        <f>IFERROR(__xludf.DUMMYFUNCTION("""COMPUTED_VALUE"""),1661.0)</f>
        <v>1661</v>
      </c>
      <c r="AB103" s="68">
        <f>IFERROR(__xludf.DUMMYFUNCTION("""COMPUTED_VALUE"""),19932.0)</f>
        <v>19932</v>
      </c>
    </row>
    <row r="104">
      <c r="B104" s="41"/>
      <c r="C104" s="41"/>
      <c r="D104" s="41"/>
      <c r="E104" s="41"/>
      <c r="F104" s="41"/>
      <c r="G104" s="41"/>
      <c r="H104" s="41"/>
      <c r="I104" s="41"/>
      <c r="J104" s="41" t="str">
        <f>IFERROR(__xludf.DUMMYFUNCTION("""COMPUTED_VALUE"""),"AICHMP02410079")</f>
        <v>AICHMP02410079</v>
      </c>
      <c r="K104" s="41" t="str">
        <f>IFERROR(__xludf.DUMMYFUNCTION("""COMPUTED_VALUE"""),"Macbook Pro")</f>
        <v>Macbook Pro</v>
      </c>
      <c r="L104" s="41" t="str">
        <f>IFERROR(__xludf.DUMMYFUNCTION("""COMPUTED_VALUE"""),"馮荺琪")</f>
        <v>馮荺琪</v>
      </c>
      <c r="M104" s="41" t="str">
        <f>IFERROR(__xludf.DUMMYFUNCTION("""COMPUTED_VALUE"""),"研發中心")</f>
        <v>研發中心</v>
      </c>
      <c r="N104" s="41" t="str">
        <f>IFERROR(__xludf.DUMMYFUNCTION("""COMPUTED_VALUE"""),"產品設計部")</f>
        <v>產品設計部</v>
      </c>
      <c r="O104" s="41" t="str">
        <f>IFERROR(__xludf.DUMMYFUNCTION("""COMPUTED_VALUE"""),"產品設計師團隊")</f>
        <v>產品設計師團隊</v>
      </c>
      <c r="P104" s="68">
        <f>IFERROR(__xludf.DUMMYFUNCTION("""COMPUTED_VALUE"""),1647.0)</f>
        <v>1647</v>
      </c>
      <c r="Q104" s="68">
        <f>IFERROR(__xludf.DUMMYFUNCTION("""COMPUTED_VALUE"""),1647.0)</f>
        <v>1647</v>
      </c>
      <c r="R104" s="68">
        <f>IFERROR(__xludf.DUMMYFUNCTION("""COMPUTED_VALUE"""),1647.0)</f>
        <v>1647</v>
      </c>
      <c r="S104" s="68">
        <f>IFERROR(__xludf.DUMMYFUNCTION("""COMPUTED_VALUE"""),1647.0)</f>
        <v>1647</v>
      </c>
      <c r="T104" s="68">
        <f>IFERROR(__xludf.DUMMYFUNCTION("""COMPUTED_VALUE"""),1647.0)</f>
        <v>1647</v>
      </c>
      <c r="U104" s="68">
        <f>IFERROR(__xludf.DUMMYFUNCTION("""COMPUTED_VALUE"""),1647.0)</f>
        <v>1647</v>
      </c>
      <c r="V104" s="68">
        <f>IFERROR(__xludf.DUMMYFUNCTION("""COMPUTED_VALUE"""),1647.0)</f>
        <v>1647</v>
      </c>
      <c r="W104" s="68">
        <f>IFERROR(__xludf.DUMMYFUNCTION("""COMPUTED_VALUE"""),1647.0)</f>
        <v>1647</v>
      </c>
      <c r="X104" s="68">
        <f>IFERROR(__xludf.DUMMYFUNCTION("""COMPUTED_VALUE"""),1647.0)</f>
        <v>1647</v>
      </c>
      <c r="Y104" s="68">
        <f>IFERROR(__xludf.DUMMYFUNCTION("""COMPUTED_VALUE"""),1647.0)</f>
        <v>1647</v>
      </c>
      <c r="Z104" s="68">
        <f>IFERROR(__xludf.DUMMYFUNCTION("""COMPUTED_VALUE"""),1647.0)</f>
        <v>1647</v>
      </c>
      <c r="AA104" s="68">
        <f>IFERROR(__xludf.DUMMYFUNCTION("""COMPUTED_VALUE"""),1647.0)</f>
        <v>1647</v>
      </c>
      <c r="AB104" s="68">
        <f>IFERROR(__xludf.DUMMYFUNCTION("""COMPUTED_VALUE"""),19764.0)</f>
        <v>19764</v>
      </c>
    </row>
    <row r="105">
      <c r="B105" s="41"/>
      <c r="C105" s="41"/>
      <c r="D105" s="41"/>
      <c r="E105" s="41"/>
      <c r="F105" s="41"/>
      <c r="G105" s="41"/>
      <c r="H105" s="41"/>
      <c r="I105" s="41"/>
      <c r="J105" s="41" t="str">
        <f>IFERROR(__xludf.DUMMYFUNCTION("""COMPUTED_VALUE"""),"AICHMA02410092")</f>
        <v>AICHMA02410092</v>
      </c>
      <c r="K105" s="41" t="str">
        <f>IFERROR(__xludf.DUMMYFUNCTION("""COMPUTED_VALUE"""),"Macbook Air")</f>
        <v>Macbook Air</v>
      </c>
      <c r="L105" s="41" t="str">
        <f>IFERROR(__xludf.DUMMYFUNCTION("""COMPUTED_VALUE"""),"徐揚真")</f>
        <v>徐揚真</v>
      </c>
      <c r="M105" s="41" t="str">
        <f>IFERROR(__xludf.DUMMYFUNCTION("""COMPUTED_VALUE"""),"策略資料中心")</f>
        <v>策略資料中心</v>
      </c>
      <c r="N105" s="41" t="str">
        <f>IFERROR(__xludf.DUMMYFUNCTION("""COMPUTED_VALUE"""),"策略規劃部")</f>
        <v>策略規劃部</v>
      </c>
      <c r="O105" s="41"/>
      <c r="P105" s="68">
        <f>IFERROR(__xludf.DUMMYFUNCTION("""COMPUTED_VALUE"""),1033.0)</f>
        <v>1033</v>
      </c>
      <c r="Q105" s="68">
        <f>IFERROR(__xludf.DUMMYFUNCTION("""COMPUTED_VALUE"""),1033.0)</f>
        <v>1033</v>
      </c>
      <c r="R105" s="68">
        <f>IFERROR(__xludf.DUMMYFUNCTION("""COMPUTED_VALUE"""),1033.0)</f>
        <v>1033</v>
      </c>
      <c r="S105" s="68">
        <f>IFERROR(__xludf.DUMMYFUNCTION("""COMPUTED_VALUE"""),1033.0)</f>
        <v>1033</v>
      </c>
      <c r="T105" s="68">
        <f>IFERROR(__xludf.DUMMYFUNCTION("""COMPUTED_VALUE"""),1033.0)</f>
        <v>1033</v>
      </c>
      <c r="U105" s="68">
        <f>IFERROR(__xludf.DUMMYFUNCTION("""COMPUTED_VALUE"""),1033.0)</f>
        <v>1033</v>
      </c>
      <c r="V105" s="68">
        <f>IFERROR(__xludf.DUMMYFUNCTION("""COMPUTED_VALUE"""),1033.0)</f>
        <v>1033</v>
      </c>
      <c r="W105" s="68">
        <f>IFERROR(__xludf.DUMMYFUNCTION("""COMPUTED_VALUE"""),1033.0)</f>
        <v>1033</v>
      </c>
      <c r="X105" s="68">
        <f>IFERROR(__xludf.DUMMYFUNCTION("""COMPUTED_VALUE"""),1033.0)</f>
        <v>1033</v>
      </c>
      <c r="Y105" s="68">
        <f>IFERROR(__xludf.DUMMYFUNCTION("""COMPUTED_VALUE"""),1033.0)</f>
        <v>1033</v>
      </c>
      <c r="Z105" s="68">
        <f>IFERROR(__xludf.DUMMYFUNCTION("""COMPUTED_VALUE"""),1033.0)</f>
        <v>1033</v>
      </c>
      <c r="AA105" s="68">
        <f>IFERROR(__xludf.DUMMYFUNCTION("""COMPUTED_VALUE"""),1033.0)</f>
        <v>1033</v>
      </c>
      <c r="AB105" s="68">
        <f>IFERROR(__xludf.DUMMYFUNCTION("""COMPUTED_VALUE"""),12396.0)</f>
        <v>12396</v>
      </c>
    </row>
    <row r="106">
      <c r="B106" s="41"/>
      <c r="C106" s="41"/>
      <c r="D106" s="41"/>
      <c r="E106" s="41"/>
      <c r="F106" s="41"/>
      <c r="G106" s="41"/>
      <c r="H106" s="41"/>
      <c r="I106" s="41"/>
      <c r="J106" s="41" t="str">
        <f>IFERROR(__xludf.DUMMYFUNCTION("""COMPUTED_VALUE"""),"AICHMA02410091")</f>
        <v>AICHMA02410091</v>
      </c>
      <c r="K106" s="41" t="str">
        <f>IFERROR(__xludf.DUMMYFUNCTION("""COMPUTED_VALUE"""),"Macbook Air")</f>
        <v>Macbook Air</v>
      </c>
      <c r="L106" s="41" t="str">
        <f>IFERROR(__xludf.DUMMYFUNCTION("""COMPUTED_VALUE"""),"陳韋如")</f>
        <v>陳韋如</v>
      </c>
      <c r="M106" s="41" t="str">
        <f>IFERROR(__xludf.DUMMYFUNCTION("""COMPUTED_VALUE"""),"管理中心")</f>
        <v>管理中心</v>
      </c>
      <c r="N106" s="41" t="str">
        <f>IFERROR(__xludf.DUMMYFUNCTION("""COMPUTED_VALUE"""),"行政總務部")</f>
        <v>行政總務部</v>
      </c>
      <c r="O106" s="41"/>
      <c r="P106" s="68">
        <f>IFERROR(__xludf.DUMMYFUNCTION("""COMPUTED_VALUE"""),883.0)</f>
        <v>883</v>
      </c>
      <c r="Q106" s="68">
        <f>IFERROR(__xludf.DUMMYFUNCTION("""COMPUTED_VALUE"""),883.0)</f>
        <v>883</v>
      </c>
      <c r="R106" s="68">
        <f>IFERROR(__xludf.DUMMYFUNCTION("""COMPUTED_VALUE"""),883.0)</f>
        <v>883</v>
      </c>
      <c r="S106" s="68">
        <f>IFERROR(__xludf.DUMMYFUNCTION("""COMPUTED_VALUE"""),883.0)</f>
        <v>883</v>
      </c>
      <c r="T106" s="68">
        <f>IFERROR(__xludf.DUMMYFUNCTION("""COMPUTED_VALUE"""),883.0)</f>
        <v>883</v>
      </c>
      <c r="U106" s="68">
        <f>IFERROR(__xludf.DUMMYFUNCTION("""COMPUTED_VALUE"""),883.0)</f>
        <v>883</v>
      </c>
      <c r="V106" s="68">
        <f>IFERROR(__xludf.DUMMYFUNCTION("""COMPUTED_VALUE"""),883.0)</f>
        <v>883</v>
      </c>
      <c r="W106" s="68">
        <f>IFERROR(__xludf.DUMMYFUNCTION("""COMPUTED_VALUE"""),883.0)</f>
        <v>883</v>
      </c>
      <c r="X106" s="68">
        <f>IFERROR(__xludf.DUMMYFUNCTION("""COMPUTED_VALUE"""),883.0)</f>
        <v>883</v>
      </c>
      <c r="Y106" s="68">
        <f>IFERROR(__xludf.DUMMYFUNCTION("""COMPUTED_VALUE"""),883.0)</f>
        <v>883</v>
      </c>
      <c r="Z106" s="68">
        <f>IFERROR(__xludf.DUMMYFUNCTION("""COMPUTED_VALUE"""),883.0)</f>
        <v>883</v>
      </c>
      <c r="AA106" s="68">
        <f>IFERROR(__xludf.DUMMYFUNCTION("""COMPUTED_VALUE"""),883.0)</f>
        <v>883</v>
      </c>
      <c r="AB106" s="68">
        <f>IFERROR(__xludf.DUMMYFUNCTION("""COMPUTED_VALUE"""),10596.0)</f>
        <v>10596</v>
      </c>
    </row>
    <row r="107">
      <c r="B107" s="41"/>
      <c r="C107" s="41"/>
      <c r="D107" s="41"/>
      <c r="E107" s="41"/>
      <c r="F107" s="41"/>
      <c r="G107" s="41"/>
      <c r="H107" s="41"/>
      <c r="I107" s="41"/>
      <c r="J107" s="41" t="str">
        <f>IFERROR(__xludf.DUMMYFUNCTION("""COMPUTED_VALUE"""),"AICHMA02410090")</f>
        <v>AICHMA02410090</v>
      </c>
      <c r="K107" s="41" t="str">
        <f>IFERROR(__xludf.DUMMYFUNCTION("""COMPUTED_VALUE"""),"Macbook Air")</f>
        <v>Macbook Air</v>
      </c>
      <c r="L107" s="41" t="str">
        <f>IFERROR(__xludf.DUMMYFUNCTION("""COMPUTED_VALUE"""),"朱珮瑜")</f>
        <v>朱珮瑜</v>
      </c>
      <c r="M107" s="41" t="str">
        <f>IFERROR(__xludf.DUMMYFUNCTION("""COMPUTED_VALUE"""),"客戶價值中心")</f>
        <v>客戶價值中心</v>
      </c>
      <c r="N107" s="41" t="str">
        <f>IFERROR(__xludf.DUMMYFUNCTION("""COMPUTED_VALUE"""),"客戶關係管理部")</f>
        <v>客戶關係管理部</v>
      </c>
      <c r="O107" s="41" t="str">
        <f>IFERROR(__xludf.DUMMYFUNCTION("""COMPUTED_VALUE"""),"客服團隊 POS/OMO")</f>
        <v>客服團隊 POS/OMO</v>
      </c>
      <c r="P107" s="68">
        <f>IFERROR(__xludf.DUMMYFUNCTION("""COMPUTED_VALUE"""),883.0)</f>
        <v>883</v>
      </c>
      <c r="Q107" s="68">
        <f>IFERROR(__xludf.DUMMYFUNCTION("""COMPUTED_VALUE"""),883.0)</f>
        <v>883</v>
      </c>
      <c r="R107" s="68">
        <f>IFERROR(__xludf.DUMMYFUNCTION("""COMPUTED_VALUE"""),883.0)</f>
        <v>883</v>
      </c>
      <c r="S107" s="68">
        <f>IFERROR(__xludf.DUMMYFUNCTION("""COMPUTED_VALUE"""),883.0)</f>
        <v>883</v>
      </c>
      <c r="T107" s="68">
        <f>IFERROR(__xludf.DUMMYFUNCTION("""COMPUTED_VALUE"""),883.0)</f>
        <v>883</v>
      </c>
      <c r="U107" s="68">
        <f>IFERROR(__xludf.DUMMYFUNCTION("""COMPUTED_VALUE"""),883.0)</f>
        <v>883</v>
      </c>
      <c r="V107" s="68">
        <f>IFERROR(__xludf.DUMMYFUNCTION("""COMPUTED_VALUE"""),883.0)</f>
        <v>883</v>
      </c>
      <c r="W107" s="68">
        <f>IFERROR(__xludf.DUMMYFUNCTION("""COMPUTED_VALUE"""),883.0)</f>
        <v>883</v>
      </c>
      <c r="X107" s="68">
        <f>IFERROR(__xludf.DUMMYFUNCTION("""COMPUTED_VALUE"""),883.0)</f>
        <v>883</v>
      </c>
      <c r="Y107" s="68">
        <f>IFERROR(__xludf.DUMMYFUNCTION("""COMPUTED_VALUE"""),883.0)</f>
        <v>883</v>
      </c>
      <c r="Z107" s="68">
        <f>IFERROR(__xludf.DUMMYFUNCTION("""COMPUTED_VALUE"""),883.0)</f>
        <v>883</v>
      </c>
      <c r="AA107" s="68">
        <f>IFERROR(__xludf.DUMMYFUNCTION("""COMPUTED_VALUE"""),883.0)</f>
        <v>883</v>
      </c>
      <c r="AB107" s="68">
        <f>IFERROR(__xludf.DUMMYFUNCTION("""COMPUTED_VALUE"""),10596.0)</f>
        <v>10596</v>
      </c>
    </row>
    <row r="108">
      <c r="B108" s="41"/>
      <c r="C108" s="41"/>
      <c r="D108" s="41"/>
      <c r="E108" s="41"/>
      <c r="F108" s="41"/>
      <c r="G108" s="41"/>
      <c r="H108" s="41"/>
      <c r="I108" s="41"/>
      <c r="J108" s="41" t="str">
        <f>IFERROR(__xludf.DUMMYFUNCTION("""COMPUTED_VALUE"""),"AICHMA02410089")</f>
        <v>AICHMA02410089</v>
      </c>
      <c r="K108" s="41" t="str">
        <f>IFERROR(__xludf.DUMMYFUNCTION("""COMPUTED_VALUE"""),"Macbook Air")</f>
        <v>Macbook Air</v>
      </c>
      <c r="L108" s="41" t="str">
        <f>IFERROR(__xludf.DUMMYFUNCTION("""COMPUTED_VALUE"""),"梁嘉穎")</f>
        <v>梁嘉穎</v>
      </c>
      <c r="M108" s="41" t="str">
        <f>IFERROR(__xludf.DUMMYFUNCTION("""COMPUTED_VALUE"""),"行銷營運中心")</f>
        <v>行銷營運中心</v>
      </c>
      <c r="N108" s="41" t="str">
        <f>IFERROR(__xludf.DUMMYFUNCTION("""COMPUTED_VALUE"""),"社群關係部")</f>
        <v>社群關係部</v>
      </c>
      <c r="O108" s="41" t="str">
        <f>IFERROR(__xludf.DUMMYFUNCTION("""COMPUTED_VALUE"""),"餐廳社群團隊")</f>
        <v>餐廳社群團隊</v>
      </c>
      <c r="P108" s="68">
        <f>IFERROR(__xludf.DUMMYFUNCTION("""COMPUTED_VALUE"""),889.0)</f>
        <v>889</v>
      </c>
      <c r="Q108" s="68">
        <f>IFERROR(__xludf.DUMMYFUNCTION("""COMPUTED_VALUE"""),889.0)</f>
        <v>889</v>
      </c>
      <c r="R108" s="68">
        <f>IFERROR(__xludf.DUMMYFUNCTION("""COMPUTED_VALUE"""),889.0)</f>
        <v>889</v>
      </c>
      <c r="S108" s="68">
        <f>IFERROR(__xludf.DUMMYFUNCTION("""COMPUTED_VALUE"""),889.0)</f>
        <v>889</v>
      </c>
      <c r="T108" s="68">
        <f>IFERROR(__xludf.DUMMYFUNCTION("""COMPUTED_VALUE"""),889.0)</f>
        <v>889</v>
      </c>
      <c r="U108" s="68">
        <f>IFERROR(__xludf.DUMMYFUNCTION("""COMPUTED_VALUE"""),889.0)</f>
        <v>889</v>
      </c>
      <c r="V108" s="68">
        <f>IFERROR(__xludf.DUMMYFUNCTION("""COMPUTED_VALUE"""),889.0)</f>
        <v>889</v>
      </c>
      <c r="W108" s="68">
        <f>IFERROR(__xludf.DUMMYFUNCTION("""COMPUTED_VALUE"""),889.0)</f>
        <v>889</v>
      </c>
      <c r="X108" s="68">
        <f>IFERROR(__xludf.DUMMYFUNCTION("""COMPUTED_VALUE"""),889.0)</f>
        <v>889</v>
      </c>
      <c r="Y108" s="68">
        <f>IFERROR(__xludf.DUMMYFUNCTION("""COMPUTED_VALUE"""),889.0)</f>
        <v>889</v>
      </c>
      <c r="Z108" s="68">
        <f>IFERROR(__xludf.DUMMYFUNCTION("""COMPUTED_VALUE"""),889.0)</f>
        <v>889</v>
      </c>
      <c r="AA108" s="68">
        <f>IFERROR(__xludf.DUMMYFUNCTION("""COMPUTED_VALUE"""),889.0)</f>
        <v>889</v>
      </c>
      <c r="AB108" s="68">
        <f>IFERROR(__xludf.DUMMYFUNCTION("""COMPUTED_VALUE"""),10668.0)</f>
        <v>10668</v>
      </c>
    </row>
    <row r="109">
      <c r="B109" s="41"/>
      <c r="C109" s="41"/>
      <c r="D109" s="41"/>
      <c r="E109" s="41"/>
      <c r="F109" s="41"/>
      <c r="G109" s="41"/>
      <c r="H109" s="41"/>
      <c r="I109" s="41"/>
      <c r="J109" s="41" t="str">
        <f>IFERROR(__xludf.DUMMYFUNCTION("""COMPUTED_VALUE"""),"AICHMA02410088")</f>
        <v>AICHMA02410088</v>
      </c>
      <c r="K109" s="41" t="str">
        <f>IFERROR(__xludf.DUMMYFUNCTION("""COMPUTED_VALUE"""),"Macbook Air")</f>
        <v>Macbook Air</v>
      </c>
      <c r="L109" s="41" t="str">
        <f>IFERROR(__xludf.DUMMYFUNCTION("""COMPUTED_VALUE"""),"黃裕真")</f>
        <v>黃裕真</v>
      </c>
      <c r="M109" s="41" t="str">
        <f>IFERROR(__xludf.DUMMYFUNCTION("""COMPUTED_VALUE"""),"客戶價值中心")</f>
        <v>客戶價值中心</v>
      </c>
      <c r="N109" s="41" t="str">
        <f>IFERROR(__xludf.DUMMYFUNCTION("""COMPUTED_VALUE"""),"客戶關係管理部")</f>
        <v>客戶關係管理部</v>
      </c>
      <c r="O109" s="41" t="str">
        <f>IFERROR(__xludf.DUMMYFUNCTION("""COMPUTED_VALUE"""),"客服團隊 POS/OMO")</f>
        <v>客服團隊 POS/OMO</v>
      </c>
      <c r="P109" s="68">
        <f>IFERROR(__xludf.DUMMYFUNCTION("""COMPUTED_VALUE"""),889.0)</f>
        <v>889</v>
      </c>
      <c r="Q109" s="68">
        <f>IFERROR(__xludf.DUMMYFUNCTION("""COMPUTED_VALUE"""),889.0)</f>
        <v>889</v>
      </c>
      <c r="R109" s="68">
        <f>IFERROR(__xludf.DUMMYFUNCTION("""COMPUTED_VALUE"""),889.0)</f>
        <v>889</v>
      </c>
      <c r="S109" s="68">
        <f>IFERROR(__xludf.DUMMYFUNCTION("""COMPUTED_VALUE"""),889.0)</f>
        <v>889</v>
      </c>
      <c r="T109" s="68">
        <f>IFERROR(__xludf.DUMMYFUNCTION("""COMPUTED_VALUE"""),889.0)</f>
        <v>889</v>
      </c>
      <c r="U109" s="68">
        <f>IFERROR(__xludf.DUMMYFUNCTION("""COMPUTED_VALUE"""),889.0)</f>
        <v>889</v>
      </c>
      <c r="V109" s="68">
        <f>IFERROR(__xludf.DUMMYFUNCTION("""COMPUTED_VALUE"""),889.0)</f>
        <v>889</v>
      </c>
      <c r="W109" s="68">
        <f>IFERROR(__xludf.DUMMYFUNCTION("""COMPUTED_VALUE"""),889.0)</f>
        <v>889</v>
      </c>
      <c r="X109" s="68">
        <f>IFERROR(__xludf.DUMMYFUNCTION("""COMPUTED_VALUE"""),889.0)</f>
        <v>889</v>
      </c>
      <c r="Y109" s="68">
        <f>IFERROR(__xludf.DUMMYFUNCTION("""COMPUTED_VALUE"""),889.0)</f>
        <v>889</v>
      </c>
      <c r="Z109" s="68">
        <f>IFERROR(__xludf.DUMMYFUNCTION("""COMPUTED_VALUE"""),889.0)</f>
        <v>889</v>
      </c>
      <c r="AA109" s="68">
        <f>IFERROR(__xludf.DUMMYFUNCTION("""COMPUTED_VALUE"""),889.0)</f>
        <v>889</v>
      </c>
      <c r="AB109" s="68">
        <f>IFERROR(__xludf.DUMMYFUNCTION("""COMPUTED_VALUE"""),10668.0)</f>
        <v>10668</v>
      </c>
    </row>
    <row r="110">
      <c r="B110" s="41"/>
      <c r="C110" s="41"/>
      <c r="D110" s="41"/>
      <c r="E110" s="41"/>
      <c r="F110" s="41"/>
      <c r="G110" s="41"/>
      <c r="H110" s="41"/>
      <c r="I110" s="41"/>
      <c r="J110" s="41" t="str">
        <f>IFERROR(__xludf.DUMMYFUNCTION("""COMPUTED_VALUE"""),"AICHOF02410012")</f>
        <v>AICHOF02410012</v>
      </c>
      <c r="K110" s="41" t="str">
        <f>IFERROR(__xludf.DUMMYFUNCTION("""COMPUTED_VALUE"""),"TSP100USB（整新）")</f>
        <v>TSP100USB（整新）</v>
      </c>
      <c r="L110" s="41" t="str">
        <f>IFERROR(__xludf.DUMMYFUNCTION("""COMPUTED_VALUE"""),"高克瑋")</f>
        <v>高克瑋</v>
      </c>
      <c r="M110" s="41" t="str">
        <f>IFERROR(__xludf.DUMMYFUNCTION("""COMPUTED_VALUE"""),"行銷營運中心")</f>
        <v>行銷營運中心</v>
      </c>
      <c r="N110" s="41" t="str">
        <f>IFERROR(__xludf.DUMMYFUNCTION("""COMPUTED_VALUE"""),"銷售營運部")</f>
        <v>銷售營運部</v>
      </c>
      <c r="O110" s="41"/>
      <c r="P110" s="68">
        <f>IFERROR(__xludf.DUMMYFUNCTION("""COMPUTED_VALUE"""),176.0)</f>
        <v>176</v>
      </c>
      <c r="Q110" s="68">
        <f>IFERROR(__xludf.DUMMYFUNCTION("""COMPUTED_VALUE"""),176.0)</f>
        <v>176</v>
      </c>
      <c r="R110" s="68">
        <f>IFERROR(__xludf.DUMMYFUNCTION("""COMPUTED_VALUE"""),176.0)</f>
        <v>176</v>
      </c>
      <c r="S110" s="68">
        <f>IFERROR(__xludf.DUMMYFUNCTION("""COMPUTED_VALUE"""),176.0)</f>
        <v>176</v>
      </c>
      <c r="T110" s="68">
        <f>IFERROR(__xludf.DUMMYFUNCTION("""COMPUTED_VALUE"""),176.0)</f>
        <v>176</v>
      </c>
      <c r="U110" s="68">
        <f>IFERROR(__xludf.DUMMYFUNCTION("""COMPUTED_VALUE"""),176.0)</f>
        <v>176</v>
      </c>
      <c r="V110" s="68">
        <f>IFERROR(__xludf.DUMMYFUNCTION("""COMPUTED_VALUE"""),176.0)</f>
        <v>176</v>
      </c>
      <c r="W110" s="68">
        <f>IFERROR(__xludf.DUMMYFUNCTION("""COMPUTED_VALUE"""),176.0)</f>
        <v>176</v>
      </c>
      <c r="X110" s="68">
        <f>IFERROR(__xludf.DUMMYFUNCTION("""COMPUTED_VALUE"""),176.0)</f>
        <v>176</v>
      </c>
      <c r="Y110" s="68">
        <f>IFERROR(__xludf.DUMMYFUNCTION("""COMPUTED_VALUE"""),176.0)</f>
        <v>176</v>
      </c>
      <c r="Z110" s="68">
        <f>IFERROR(__xludf.DUMMYFUNCTION("""COMPUTED_VALUE"""),176.0)</f>
        <v>176</v>
      </c>
      <c r="AA110" s="68">
        <f>IFERROR(__xludf.DUMMYFUNCTION("""COMPUTED_VALUE"""),176.0)</f>
        <v>176</v>
      </c>
      <c r="AB110" s="68">
        <f>IFERROR(__xludf.DUMMYFUNCTION("""COMPUTED_VALUE"""),2112.0)</f>
        <v>2112</v>
      </c>
    </row>
    <row r="111">
      <c r="B111" s="41"/>
      <c r="C111" s="41"/>
      <c r="D111" s="41"/>
      <c r="E111" s="41"/>
      <c r="F111" s="41"/>
      <c r="G111" s="41"/>
      <c r="H111" s="41"/>
      <c r="I111" s="41"/>
      <c r="J111" s="41" t="str">
        <f>IFERROR(__xludf.DUMMYFUNCTION("""COMPUTED_VALUE"""),"AICHMN02410152")</f>
        <v>AICHMN02410152</v>
      </c>
      <c r="K111" s="41" t="str">
        <f>IFERROR(__xludf.DUMMYFUNCTION("""COMPUTED_VALUE"""),"LG 樂金可攜式觸控顯示器")</f>
        <v>LG 樂金可攜式觸控顯示器</v>
      </c>
      <c r="L111" s="41" t="str">
        <f>IFERROR(__xludf.DUMMYFUNCTION("""COMPUTED_VALUE"""),"黃晴之")</f>
        <v>黃晴之</v>
      </c>
      <c r="M111" s="41" t="str">
        <f>IFERROR(__xludf.DUMMYFUNCTION("""COMPUTED_VALUE"""),"行銷營運中心")</f>
        <v>行銷營運中心</v>
      </c>
      <c r="N111" s="41" t="str">
        <f>IFERROR(__xludf.DUMMYFUNCTION("""COMPUTED_VALUE"""),"社群關係部")</f>
        <v>社群關係部</v>
      </c>
      <c r="O111" s="41" t="str">
        <f>IFERROR(__xludf.DUMMYFUNCTION("""COMPUTED_VALUE"""),"餐廳社群團隊")</f>
        <v>餐廳社群團隊</v>
      </c>
      <c r="P111" s="68">
        <f>IFERROR(__xludf.DUMMYFUNCTION("""COMPUTED_VALUE"""),694.0)</f>
        <v>694</v>
      </c>
      <c r="Q111" s="68">
        <f>IFERROR(__xludf.DUMMYFUNCTION("""COMPUTED_VALUE"""),694.0)</f>
        <v>694</v>
      </c>
      <c r="R111" s="68">
        <f>IFERROR(__xludf.DUMMYFUNCTION("""COMPUTED_VALUE"""),694.0)</f>
        <v>694</v>
      </c>
      <c r="S111" s="68">
        <f>IFERROR(__xludf.DUMMYFUNCTION("""COMPUTED_VALUE"""),694.0)</f>
        <v>694</v>
      </c>
      <c r="T111" s="68">
        <f>IFERROR(__xludf.DUMMYFUNCTION("""COMPUTED_VALUE"""),694.0)</f>
        <v>694</v>
      </c>
      <c r="U111" s="68">
        <f>IFERROR(__xludf.DUMMYFUNCTION("""COMPUTED_VALUE"""),694.0)</f>
        <v>694</v>
      </c>
      <c r="V111" s="68">
        <f>IFERROR(__xludf.DUMMYFUNCTION("""COMPUTED_VALUE"""),694.0)</f>
        <v>694</v>
      </c>
      <c r="W111" s="68">
        <f>IFERROR(__xludf.DUMMYFUNCTION("""COMPUTED_VALUE"""),694.0)</f>
        <v>694</v>
      </c>
      <c r="X111" s="68">
        <f>IFERROR(__xludf.DUMMYFUNCTION("""COMPUTED_VALUE"""),694.0)</f>
        <v>694</v>
      </c>
      <c r="Y111" s="68">
        <f>IFERROR(__xludf.DUMMYFUNCTION("""COMPUTED_VALUE"""),694.0)</f>
        <v>694</v>
      </c>
      <c r="Z111" s="68">
        <f>IFERROR(__xludf.DUMMYFUNCTION("""COMPUTED_VALUE"""),694.0)</f>
        <v>694</v>
      </c>
      <c r="AA111" s="68">
        <f>IFERROR(__xludf.DUMMYFUNCTION("""COMPUTED_VALUE"""),694.0)</f>
        <v>694</v>
      </c>
      <c r="AB111" s="68">
        <f>IFERROR(__xludf.DUMMYFUNCTION("""COMPUTED_VALUE"""),8328.0)</f>
        <v>8328</v>
      </c>
    </row>
    <row r="112">
      <c r="B112" s="41"/>
      <c r="C112" s="41"/>
      <c r="D112" s="41"/>
      <c r="E112" s="41"/>
      <c r="F112" s="41"/>
      <c r="G112" s="41"/>
      <c r="H112" s="41"/>
      <c r="I112" s="41"/>
      <c r="J112" s="41" t="str">
        <f>IFERROR(__xludf.DUMMYFUNCTION("""COMPUTED_VALUE"""),"AICHNB02410005")</f>
        <v>AICHNB02410005</v>
      </c>
      <c r="K112" s="41" t="str">
        <f>IFERROR(__xludf.DUMMYFUNCTION("""COMPUTED_VALUE"""),"Windows 筆電")</f>
        <v>Windows 筆電</v>
      </c>
      <c r="L112" s="41" t="str">
        <f>IFERROR(__xludf.DUMMYFUNCTION("""COMPUTED_VALUE"""),"邱珮綺")</f>
        <v>邱珮綺</v>
      </c>
      <c r="M112" s="41" t="str">
        <f>IFERROR(__xludf.DUMMYFUNCTION("""COMPUTED_VALUE"""),"財務中心")</f>
        <v>財務中心</v>
      </c>
      <c r="N112" s="41" t="str">
        <f>IFERROR(__xludf.DUMMYFUNCTION("""COMPUTED_VALUE"""),"會計部")</f>
        <v>會計部</v>
      </c>
      <c r="O112" s="41"/>
      <c r="P112" s="68">
        <f>IFERROR(__xludf.DUMMYFUNCTION("""COMPUTED_VALUE"""),1169.0)</f>
        <v>1169</v>
      </c>
      <c r="Q112" s="68">
        <f>IFERROR(__xludf.DUMMYFUNCTION("""COMPUTED_VALUE"""),1169.0)</f>
        <v>1169</v>
      </c>
      <c r="R112" s="68">
        <f>IFERROR(__xludf.DUMMYFUNCTION("""COMPUTED_VALUE"""),1169.0)</f>
        <v>1169</v>
      </c>
      <c r="S112" s="68">
        <f>IFERROR(__xludf.DUMMYFUNCTION("""COMPUTED_VALUE"""),1169.0)</f>
        <v>1169</v>
      </c>
      <c r="T112" s="68">
        <f>IFERROR(__xludf.DUMMYFUNCTION("""COMPUTED_VALUE"""),1169.0)</f>
        <v>1169</v>
      </c>
      <c r="U112" s="68">
        <f>IFERROR(__xludf.DUMMYFUNCTION("""COMPUTED_VALUE"""),1169.0)</f>
        <v>1169</v>
      </c>
      <c r="V112" s="68">
        <f>IFERROR(__xludf.DUMMYFUNCTION("""COMPUTED_VALUE"""),1169.0)</f>
        <v>1169</v>
      </c>
      <c r="W112" s="68">
        <f>IFERROR(__xludf.DUMMYFUNCTION("""COMPUTED_VALUE"""),1169.0)</f>
        <v>1169</v>
      </c>
      <c r="X112" s="68">
        <f>IFERROR(__xludf.DUMMYFUNCTION("""COMPUTED_VALUE"""),1169.0)</f>
        <v>1169</v>
      </c>
      <c r="Y112" s="68">
        <f>IFERROR(__xludf.DUMMYFUNCTION("""COMPUTED_VALUE"""),1169.0)</f>
        <v>1169</v>
      </c>
      <c r="Z112" s="68">
        <f>IFERROR(__xludf.DUMMYFUNCTION("""COMPUTED_VALUE"""),1169.0)</f>
        <v>1169</v>
      </c>
      <c r="AA112" s="68">
        <f>IFERROR(__xludf.DUMMYFUNCTION("""COMPUTED_VALUE"""),1169.0)</f>
        <v>1169</v>
      </c>
      <c r="AB112" s="68">
        <f>IFERROR(__xludf.DUMMYFUNCTION("""COMPUTED_VALUE"""),14028.0)</f>
        <v>14028</v>
      </c>
    </row>
    <row r="113">
      <c r="B113" s="41"/>
      <c r="C113" s="41"/>
      <c r="D113" s="41"/>
      <c r="E113" s="41"/>
      <c r="F113" s="41"/>
      <c r="G113" s="41"/>
      <c r="H113" s="41"/>
      <c r="I113" s="41"/>
      <c r="J113" s="41" t="str">
        <f>IFERROR(__xludf.DUMMYFUNCTION("""COMPUTED_VALUE"""),"AICHNB02410006")</f>
        <v>AICHNB02410006</v>
      </c>
      <c r="K113" s="41" t="str">
        <f>IFERROR(__xludf.DUMMYFUNCTION("""COMPUTED_VALUE"""),"Windows 筆電")</f>
        <v>Windows 筆電</v>
      </c>
      <c r="L113" s="41" t="str">
        <f>IFERROR(__xludf.DUMMYFUNCTION("""COMPUTED_VALUE"""),"王怡琇")</f>
        <v>王怡琇</v>
      </c>
      <c r="M113" s="41" t="str">
        <f>IFERROR(__xludf.DUMMYFUNCTION("""COMPUTED_VALUE"""),"財務中心")</f>
        <v>財務中心</v>
      </c>
      <c r="N113" s="41" t="str">
        <f>IFERROR(__xludf.DUMMYFUNCTION("""COMPUTED_VALUE"""),"會計部")</f>
        <v>會計部</v>
      </c>
      <c r="O113" s="41"/>
      <c r="P113" s="68">
        <f>IFERROR(__xludf.DUMMYFUNCTION("""COMPUTED_VALUE"""),1169.0)</f>
        <v>1169</v>
      </c>
      <c r="Q113" s="68">
        <f>IFERROR(__xludf.DUMMYFUNCTION("""COMPUTED_VALUE"""),1169.0)</f>
        <v>1169</v>
      </c>
      <c r="R113" s="68">
        <f>IFERROR(__xludf.DUMMYFUNCTION("""COMPUTED_VALUE"""),1169.0)</f>
        <v>1169</v>
      </c>
      <c r="S113" s="68">
        <f>IFERROR(__xludf.DUMMYFUNCTION("""COMPUTED_VALUE"""),1169.0)</f>
        <v>1169</v>
      </c>
      <c r="T113" s="68">
        <f>IFERROR(__xludf.DUMMYFUNCTION("""COMPUTED_VALUE"""),1169.0)</f>
        <v>1169</v>
      </c>
      <c r="U113" s="68">
        <f>IFERROR(__xludf.DUMMYFUNCTION("""COMPUTED_VALUE"""),1169.0)</f>
        <v>1169</v>
      </c>
      <c r="V113" s="68">
        <f>IFERROR(__xludf.DUMMYFUNCTION("""COMPUTED_VALUE"""),1169.0)</f>
        <v>1169</v>
      </c>
      <c r="W113" s="68">
        <f>IFERROR(__xludf.DUMMYFUNCTION("""COMPUTED_VALUE"""),1169.0)</f>
        <v>1169</v>
      </c>
      <c r="X113" s="68">
        <f>IFERROR(__xludf.DUMMYFUNCTION("""COMPUTED_VALUE"""),1169.0)</f>
        <v>1169</v>
      </c>
      <c r="Y113" s="68">
        <f>IFERROR(__xludf.DUMMYFUNCTION("""COMPUTED_VALUE"""),1169.0)</f>
        <v>1169</v>
      </c>
      <c r="Z113" s="68">
        <f>IFERROR(__xludf.DUMMYFUNCTION("""COMPUTED_VALUE"""),1169.0)</f>
        <v>1169</v>
      </c>
      <c r="AA113" s="68">
        <f>IFERROR(__xludf.DUMMYFUNCTION("""COMPUTED_VALUE"""),1169.0)</f>
        <v>1169</v>
      </c>
      <c r="AB113" s="68">
        <f>IFERROR(__xludf.DUMMYFUNCTION("""COMPUTED_VALUE"""),14028.0)</f>
        <v>14028</v>
      </c>
    </row>
    <row r="114">
      <c r="B114" s="41"/>
      <c r="C114" s="41"/>
      <c r="D114" s="41"/>
      <c r="E114" s="41"/>
      <c r="F114" s="41"/>
      <c r="G114" s="41"/>
      <c r="H114" s="41"/>
      <c r="I114" s="41"/>
      <c r="J114" s="41" t="str">
        <f>IFERROR(__xludf.DUMMYFUNCTION("""COMPUTED_VALUE"""),"AICHIP02411110")</f>
        <v>AICHIP02411110</v>
      </c>
      <c r="K114" s="41" t="str">
        <f>IFERROR(__xludf.DUMMYFUNCTION("""COMPUTED_VALUE"""),"iPad Pro")</f>
        <v>iPad Pro</v>
      </c>
      <c r="L114" s="41" t="str">
        <f>IFERROR(__xludf.DUMMYFUNCTION("""COMPUTED_VALUE"""),"陳妍臻")</f>
        <v>陳妍臻</v>
      </c>
      <c r="M114" s="41" t="str">
        <f>IFERROR(__xludf.DUMMYFUNCTION("""COMPUTED_VALUE"""),"研發中心")</f>
        <v>研發中心</v>
      </c>
      <c r="N114" s="41" t="str">
        <f>IFERROR(__xludf.DUMMYFUNCTION("""COMPUTED_VALUE"""),"軟體工程部")</f>
        <v>軟體工程部</v>
      </c>
      <c r="O114" s="41" t="str">
        <f>IFERROR(__xludf.DUMMYFUNCTION("""COMPUTED_VALUE"""),"QE團隊")</f>
        <v>QE團隊</v>
      </c>
      <c r="P114" s="68">
        <f>IFERROR(__xludf.DUMMYFUNCTION("""COMPUTED_VALUE"""),859.0)</f>
        <v>859</v>
      </c>
      <c r="Q114" s="68">
        <f>IFERROR(__xludf.DUMMYFUNCTION("""COMPUTED_VALUE"""),859.0)</f>
        <v>859</v>
      </c>
      <c r="R114" s="68">
        <f>IFERROR(__xludf.DUMMYFUNCTION("""COMPUTED_VALUE"""),859.0)</f>
        <v>859</v>
      </c>
      <c r="S114" s="68">
        <f>IFERROR(__xludf.DUMMYFUNCTION("""COMPUTED_VALUE"""),859.0)</f>
        <v>859</v>
      </c>
      <c r="T114" s="68">
        <f>IFERROR(__xludf.DUMMYFUNCTION("""COMPUTED_VALUE"""),859.0)</f>
        <v>859</v>
      </c>
      <c r="U114" s="68">
        <f>IFERROR(__xludf.DUMMYFUNCTION("""COMPUTED_VALUE"""),859.0)</f>
        <v>859</v>
      </c>
      <c r="V114" s="68">
        <f>IFERROR(__xludf.DUMMYFUNCTION("""COMPUTED_VALUE"""),859.0)</f>
        <v>859</v>
      </c>
      <c r="W114" s="68">
        <f>IFERROR(__xludf.DUMMYFUNCTION("""COMPUTED_VALUE"""),859.0)</f>
        <v>859</v>
      </c>
      <c r="X114" s="68">
        <f>IFERROR(__xludf.DUMMYFUNCTION("""COMPUTED_VALUE"""),859.0)</f>
        <v>859</v>
      </c>
      <c r="Y114" s="68">
        <f>IFERROR(__xludf.DUMMYFUNCTION("""COMPUTED_VALUE"""),859.0)</f>
        <v>859</v>
      </c>
      <c r="Z114" s="68">
        <f>IFERROR(__xludf.DUMMYFUNCTION("""COMPUTED_VALUE"""),859.0)</f>
        <v>859</v>
      </c>
      <c r="AA114" s="68">
        <f>IFERROR(__xludf.DUMMYFUNCTION("""COMPUTED_VALUE"""),859.0)</f>
        <v>859</v>
      </c>
      <c r="AB114" s="68">
        <f>IFERROR(__xludf.DUMMYFUNCTION("""COMPUTED_VALUE"""),10308.0)</f>
        <v>10308</v>
      </c>
    </row>
    <row r="115">
      <c r="B115" s="41"/>
      <c r="C115" s="41"/>
      <c r="D115" s="41"/>
      <c r="E115" s="41"/>
      <c r="F115" s="41"/>
      <c r="G115" s="41"/>
      <c r="H115" s="41"/>
      <c r="I115" s="41"/>
      <c r="J115" s="41" t="str">
        <f>IFERROR(__xludf.DUMMYFUNCTION("""COMPUTED_VALUE"""),"AICHMA02411093")</f>
        <v>AICHMA02411093</v>
      </c>
      <c r="K115" s="41" t="str">
        <f>IFERROR(__xludf.DUMMYFUNCTION("""COMPUTED_VALUE"""),"MacBook Air")</f>
        <v>MacBook Air</v>
      </c>
      <c r="L115" s="41" t="str">
        <f>IFERROR(__xludf.DUMMYFUNCTION("""COMPUTED_VALUE"""),"謝尹蘋")</f>
        <v>謝尹蘋</v>
      </c>
      <c r="M115" s="41" t="str">
        <f>IFERROR(__xludf.DUMMYFUNCTION("""COMPUTED_VALUE"""),"客戶價值中心")</f>
        <v>客戶價值中心</v>
      </c>
      <c r="N115" s="41" t="str">
        <f>IFERROR(__xludf.DUMMYFUNCTION("""COMPUTED_VALUE"""),"客戶關係管理部")</f>
        <v>客戶關係管理部</v>
      </c>
      <c r="O115" s="41" t="str">
        <f>IFERROR(__xludf.DUMMYFUNCTION("""COMPUTED_VALUE"""),"客服團隊 POS/OMO")</f>
        <v>客服團隊 POS/OMO</v>
      </c>
      <c r="P115" s="68">
        <f>IFERROR(__xludf.DUMMYFUNCTION("""COMPUTED_VALUE"""),1033.0)</f>
        <v>1033</v>
      </c>
      <c r="Q115" s="68">
        <f>IFERROR(__xludf.DUMMYFUNCTION("""COMPUTED_VALUE"""),1033.0)</f>
        <v>1033</v>
      </c>
      <c r="R115" s="68">
        <f>IFERROR(__xludf.DUMMYFUNCTION("""COMPUTED_VALUE"""),1033.0)</f>
        <v>1033</v>
      </c>
      <c r="S115" s="68">
        <f>IFERROR(__xludf.DUMMYFUNCTION("""COMPUTED_VALUE"""),1033.0)</f>
        <v>1033</v>
      </c>
      <c r="T115" s="68">
        <f>IFERROR(__xludf.DUMMYFUNCTION("""COMPUTED_VALUE"""),1033.0)</f>
        <v>1033</v>
      </c>
      <c r="U115" s="68">
        <f>IFERROR(__xludf.DUMMYFUNCTION("""COMPUTED_VALUE"""),1033.0)</f>
        <v>1033</v>
      </c>
      <c r="V115" s="68">
        <f>IFERROR(__xludf.DUMMYFUNCTION("""COMPUTED_VALUE"""),1033.0)</f>
        <v>1033</v>
      </c>
      <c r="W115" s="68">
        <f>IFERROR(__xludf.DUMMYFUNCTION("""COMPUTED_VALUE"""),1033.0)</f>
        <v>1033</v>
      </c>
      <c r="X115" s="68">
        <f>IFERROR(__xludf.DUMMYFUNCTION("""COMPUTED_VALUE"""),1033.0)</f>
        <v>1033</v>
      </c>
      <c r="Y115" s="68">
        <f>IFERROR(__xludf.DUMMYFUNCTION("""COMPUTED_VALUE"""),1033.0)</f>
        <v>1033</v>
      </c>
      <c r="Z115" s="68">
        <f>IFERROR(__xludf.DUMMYFUNCTION("""COMPUTED_VALUE"""),1033.0)</f>
        <v>1033</v>
      </c>
      <c r="AA115" s="68">
        <f>IFERROR(__xludf.DUMMYFUNCTION("""COMPUTED_VALUE"""),1033.0)</f>
        <v>1033</v>
      </c>
      <c r="AB115" s="68">
        <f>IFERROR(__xludf.DUMMYFUNCTION("""COMPUTED_VALUE"""),12396.0)</f>
        <v>12396</v>
      </c>
    </row>
    <row r="116">
      <c r="B116" s="41"/>
      <c r="C116" s="41"/>
      <c r="D116" s="41"/>
      <c r="E116" s="41"/>
      <c r="F116" s="41"/>
      <c r="G116" s="41"/>
      <c r="H116" s="41"/>
      <c r="I116" s="41"/>
      <c r="J116" s="41" t="str">
        <f>IFERROR(__xludf.DUMMYFUNCTION("""COMPUTED_VALUE"""),"AICHMA02411094")</f>
        <v>AICHMA02411094</v>
      </c>
      <c r="K116" s="41" t="str">
        <f>IFERROR(__xludf.DUMMYFUNCTION("""COMPUTED_VALUE"""),"MacBook Air")</f>
        <v>MacBook Air</v>
      </c>
      <c r="L116" s="41" t="str">
        <f>IFERROR(__xludf.DUMMYFUNCTION("""COMPUTED_VALUE"""),"周欣穎")</f>
        <v>周欣穎</v>
      </c>
      <c r="M116" s="41" t="str">
        <f>IFERROR(__xludf.DUMMYFUNCTION("""COMPUTED_VALUE"""),"行銷營運中心")</f>
        <v>行銷營運中心</v>
      </c>
      <c r="N116" s="41" t="str">
        <f>IFERROR(__xludf.DUMMYFUNCTION("""COMPUTED_VALUE"""),"銷售營運部")</f>
        <v>銷售營運部</v>
      </c>
      <c r="O116" s="41" t="str">
        <f>IFERROR(__xludf.DUMMYFUNCTION("""COMPUTED_VALUE"""),"成交營運團隊")</f>
        <v>成交營運團隊</v>
      </c>
      <c r="P116" s="68">
        <f>IFERROR(__xludf.DUMMYFUNCTION("""COMPUTED_VALUE"""),1033.0)</f>
        <v>1033</v>
      </c>
      <c r="Q116" s="68">
        <f>IFERROR(__xludf.DUMMYFUNCTION("""COMPUTED_VALUE"""),1033.0)</f>
        <v>1033</v>
      </c>
      <c r="R116" s="68">
        <f>IFERROR(__xludf.DUMMYFUNCTION("""COMPUTED_VALUE"""),1033.0)</f>
        <v>1033</v>
      </c>
      <c r="S116" s="68">
        <f>IFERROR(__xludf.DUMMYFUNCTION("""COMPUTED_VALUE"""),1033.0)</f>
        <v>1033</v>
      </c>
      <c r="T116" s="68">
        <f>IFERROR(__xludf.DUMMYFUNCTION("""COMPUTED_VALUE"""),1033.0)</f>
        <v>1033</v>
      </c>
      <c r="U116" s="68">
        <f>IFERROR(__xludf.DUMMYFUNCTION("""COMPUTED_VALUE"""),1033.0)</f>
        <v>1033</v>
      </c>
      <c r="V116" s="68">
        <f>IFERROR(__xludf.DUMMYFUNCTION("""COMPUTED_VALUE"""),1033.0)</f>
        <v>1033</v>
      </c>
      <c r="W116" s="68">
        <f>IFERROR(__xludf.DUMMYFUNCTION("""COMPUTED_VALUE"""),1033.0)</f>
        <v>1033</v>
      </c>
      <c r="X116" s="68">
        <f>IFERROR(__xludf.DUMMYFUNCTION("""COMPUTED_VALUE"""),1033.0)</f>
        <v>1033</v>
      </c>
      <c r="Y116" s="68">
        <f>IFERROR(__xludf.DUMMYFUNCTION("""COMPUTED_VALUE"""),1033.0)</f>
        <v>1033</v>
      </c>
      <c r="Z116" s="68">
        <f>IFERROR(__xludf.DUMMYFUNCTION("""COMPUTED_VALUE"""),1033.0)</f>
        <v>1033</v>
      </c>
      <c r="AA116" s="68">
        <f>IFERROR(__xludf.DUMMYFUNCTION("""COMPUTED_VALUE"""),1033.0)</f>
        <v>1033</v>
      </c>
      <c r="AB116" s="68">
        <f>IFERROR(__xludf.DUMMYFUNCTION("""COMPUTED_VALUE"""),12396.0)</f>
        <v>12396</v>
      </c>
    </row>
    <row r="117">
      <c r="B117" s="41"/>
      <c r="C117" s="41"/>
      <c r="D117" s="41"/>
      <c r="E117" s="41"/>
      <c r="F117" s="41"/>
      <c r="G117" s="41"/>
      <c r="H117" s="41"/>
      <c r="I117" s="41"/>
      <c r="J117" s="41" t="str">
        <f>IFERROR(__xludf.DUMMYFUNCTION("""COMPUTED_VALUE"""),"AICHMA02411095")</f>
        <v>AICHMA02411095</v>
      </c>
      <c r="K117" s="41" t="str">
        <f>IFERROR(__xludf.DUMMYFUNCTION("""COMPUTED_VALUE"""),"MacBook Air")</f>
        <v>MacBook Air</v>
      </c>
      <c r="L117" s="41" t="str">
        <f>IFERROR(__xludf.DUMMYFUNCTION("""COMPUTED_VALUE"""),"高竹映")</f>
        <v>高竹映</v>
      </c>
      <c r="M117" s="41" t="str">
        <f>IFERROR(__xludf.DUMMYFUNCTION("""COMPUTED_VALUE"""),"行銷營運中心")</f>
        <v>行銷營運中心</v>
      </c>
      <c r="N117" s="41" t="str">
        <f>IFERROR(__xludf.DUMMYFUNCTION("""COMPUTED_VALUE"""),"銷售營運部")</f>
        <v>銷售營運部</v>
      </c>
      <c r="O117" s="41" t="str">
        <f>IFERROR(__xludf.DUMMYFUNCTION("""COMPUTED_VALUE"""),"銷售顧問團隊")</f>
        <v>銷售顧問團隊</v>
      </c>
      <c r="P117" s="68">
        <f>IFERROR(__xludf.DUMMYFUNCTION("""COMPUTED_VALUE"""),1033.0)</f>
        <v>1033</v>
      </c>
      <c r="Q117" s="68">
        <f>IFERROR(__xludf.DUMMYFUNCTION("""COMPUTED_VALUE"""),1033.0)</f>
        <v>1033</v>
      </c>
      <c r="R117" s="68">
        <f>IFERROR(__xludf.DUMMYFUNCTION("""COMPUTED_VALUE"""),1033.0)</f>
        <v>1033</v>
      </c>
      <c r="S117" s="68">
        <f>IFERROR(__xludf.DUMMYFUNCTION("""COMPUTED_VALUE"""),1033.0)</f>
        <v>1033</v>
      </c>
      <c r="T117" s="68">
        <f>IFERROR(__xludf.DUMMYFUNCTION("""COMPUTED_VALUE"""),1033.0)</f>
        <v>1033</v>
      </c>
      <c r="U117" s="68">
        <f>IFERROR(__xludf.DUMMYFUNCTION("""COMPUTED_VALUE"""),1033.0)</f>
        <v>1033</v>
      </c>
      <c r="V117" s="68">
        <f>IFERROR(__xludf.DUMMYFUNCTION("""COMPUTED_VALUE"""),1033.0)</f>
        <v>1033</v>
      </c>
      <c r="W117" s="68">
        <f>IFERROR(__xludf.DUMMYFUNCTION("""COMPUTED_VALUE"""),1033.0)</f>
        <v>1033</v>
      </c>
      <c r="X117" s="68">
        <f>IFERROR(__xludf.DUMMYFUNCTION("""COMPUTED_VALUE"""),1033.0)</f>
        <v>1033</v>
      </c>
      <c r="Y117" s="68">
        <f>IFERROR(__xludf.DUMMYFUNCTION("""COMPUTED_VALUE"""),1033.0)</f>
        <v>1033</v>
      </c>
      <c r="Z117" s="68">
        <f>IFERROR(__xludf.DUMMYFUNCTION("""COMPUTED_VALUE"""),1033.0)</f>
        <v>1033</v>
      </c>
      <c r="AA117" s="68">
        <f>IFERROR(__xludf.DUMMYFUNCTION("""COMPUTED_VALUE"""),1033.0)</f>
        <v>1033</v>
      </c>
      <c r="AB117" s="68">
        <f>IFERROR(__xludf.DUMMYFUNCTION("""COMPUTED_VALUE"""),12396.0)</f>
        <v>12396</v>
      </c>
    </row>
    <row r="118">
      <c r="B118" s="41"/>
      <c r="C118" s="41"/>
      <c r="D118" s="41"/>
      <c r="E118" s="41"/>
      <c r="F118" s="41"/>
      <c r="G118" s="41"/>
      <c r="H118" s="41"/>
      <c r="I118" s="41"/>
      <c r="J118" s="41" t="str">
        <f>IFERROR(__xludf.DUMMYFUNCTION("""COMPUTED_VALUE"""),"AICHMA02411096")</f>
        <v>AICHMA02411096</v>
      </c>
      <c r="K118" s="41" t="str">
        <f>IFERROR(__xludf.DUMMYFUNCTION("""COMPUTED_VALUE"""),"MacBook Air")</f>
        <v>MacBook Air</v>
      </c>
      <c r="L118" s="41" t="str">
        <f>IFERROR(__xludf.DUMMYFUNCTION("""COMPUTED_VALUE"""),"王壯為")</f>
        <v>王壯為</v>
      </c>
      <c r="M118" s="41" t="str">
        <f>IFERROR(__xludf.DUMMYFUNCTION("""COMPUTED_VALUE"""),"管理中心")</f>
        <v>管理中心</v>
      </c>
      <c r="N118" s="41" t="str">
        <f>IFERROR(__xludf.DUMMYFUNCTION("""COMPUTED_VALUE"""),"資訊部")</f>
        <v>資訊部</v>
      </c>
      <c r="O118" s="41"/>
      <c r="P118" s="68">
        <f>IFERROR(__xludf.DUMMYFUNCTION("""COMPUTED_VALUE"""),914.0)</f>
        <v>914</v>
      </c>
      <c r="Q118" s="68">
        <f>IFERROR(__xludf.DUMMYFUNCTION("""COMPUTED_VALUE"""),914.0)</f>
        <v>914</v>
      </c>
      <c r="R118" s="68">
        <f>IFERROR(__xludf.DUMMYFUNCTION("""COMPUTED_VALUE"""),914.0)</f>
        <v>914</v>
      </c>
      <c r="S118" s="68">
        <f>IFERROR(__xludf.DUMMYFUNCTION("""COMPUTED_VALUE"""),914.0)</f>
        <v>914</v>
      </c>
      <c r="T118" s="68">
        <f>IFERROR(__xludf.DUMMYFUNCTION("""COMPUTED_VALUE"""),914.0)</f>
        <v>914</v>
      </c>
      <c r="U118" s="68">
        <f>IFERROR(__xludf.DUMMYFUNCTION("""COMPUTED_VALUE"""),914.0)</f>
        <v>914</v>
      </c>
      <c r="V118" s="68">
        <f>IFERROR(__xludf.DUMMYFUNCTION("""COMPUTED_VALUE"""),914.0)</f>
        <v>914</v>
      </c>
      <c r="W118" s="68">
        <f>IFERROR(__xludf.DUMMYFUNCTION("""COMPUTED_VALUE"""),914.0)</f>
        <v>914</v>
      </c>
      <c r="X118" s="68">
        <f>IFERROR(__xludf.DUMMYFUNCTION("""COMPUTED_VALUE"""),914.0)</f>
        <v>914</v>
      </c>
      <c r="Y118" s="68">
        <f>IFERROR(__xludf.DUMMYFUNCTION("""COMPUTED_VALUE"""),914.0)</f>
        <v>914</v>
      </c>
      <c r="Z118" s="68">
        <f>IFERROR(__xludf.DUMMYFUNCTION("""COMPUTED_VALUE"""),914.0)</f>
        <v>914</v>
      </c>
      <c r="AA118" s="68">
        <f>IFERROR(__xludf.DUMMYFUNCTION("""COMPUTED_VALUE"""),914.0)</f>
        <v>914</v>
      </c>
      <c r="AB118" s="68">
        <f>IFERROR(__xludf.DUMMYFUNCTION("""COMPUTED_VALUE"""),10968.0)</f>
        <v>10968</v>
      </c>
    </row>
    <row r="119">
      <c r="B119" s="41"/>
      <c r="C119" s="41"/>
      <c r="D119" s="41"/>
      <c r="E119" s="41"/>
      <c r="F119" s="41"/>
      <c r="G119" s="41"/>
      <c r="H119" s="41"/>
      <c r="I119" s="41"/>
      <c r="J119" s="41" t="str">
        <f>IFERROR(__xludf.DUMMYFUNCTION("""COMPUTED_VALUE"""),"AICHMA02411097")</f>
        <v>AICHMA02411097</v>
      </c>
      <c r="K119" s="41" t="str">
        <f>IFERROR(__xludf.DUMMYFUNCTION("""COMPUTED_VALUE"""),"MacBook Air")</f>
        <v>MacBook Air</v>
      </c>
      <c r="L119" s="41" t="str">
        <f>IFERROR(__xludf.DUMMYFUNCTION("""COMPUTED_VALUE"""),"林怡儒")</f>
        <v>林怡儒</v>
      </c>
      <c r="M119" s="41" t="str">
        <f>IFERROR(__xludf.DUMMYFUNCTION("""COMPUTED_VALUE"""),"客戶價值中心")</f>
        <v>客戶價值中心</v>
      </c>
      <c r="N119" s="41" t="str">
        <f>IFERROR(__xludf.DUMMYFUNCTION("""COMPUTED_VALUE"""),"客戶關係管理部")</f>
        <v>客戶關係管理部</v>
      </c>
      <c r="O119" s="41" t="str">
        <f>IFERROR(__xludf.DUMMYFUNCTION("""COMPUTED_VALUE"""),"客服團隊 POS/OMO")</f>
        <v>客服團隊 POS/OMO</v>
      </c>
      <c r="P119" s="68">
        <f>IFERROR(__xludf.DUMMYFUNCTION("""COMPUTED_VALUE"""),914.0)</f>
        <v>914</v>
      </c>
      <c r="Q119" s="68">
        <f>IFERROR(__xludf.DUMMYFUNCTION("""COMPUTED_VALUE"""),914.0)</f>
        <v>914</v>
      </c>
      <c r="R119" s="68">
        <f>IFERROR(__xludf.DUMMYFUNCTION("""COMPUTED_VALUE"""),914.0)</f>
        <v>914</v>
      </c>
      <c r="S119" s="68">
        <f>IFERROR(__xludf.DUMMYFUNCTION("""COMPUTED_VALUE"""),914.0)</f>
        <v>914</v>
      </c>
      <c r="T119" s="68">
        <f>IFERROR(__xludf.DUMMYFUNCTION("""COMPUTED_VALUE"""),914.0)</f>
        <v>914</v>
      </c>
      <c r="U119" s="68">
        <f>IFERROR(__xludf.DUMMYFUNCTION("""COMPUTED_VALUE"""),914.0)</f>
        <v>914</v>
      </c>
      <c r="V119" s="68">
        <f>IFERROR(__xludf.DUMMYFUNCTION("""COMPUTED_VALUE"""),914.0)</f>
        <v>914</v>
      </c>
      <c r="W119" s="68">
        <f>IFERROR(__xludf.DUMMYFUNCTION("""COMPUTED_VALUE"""),914.0)</f>
        <v>914</v>
      </c>
      <c r="X119" s="68">
        <f>IFERROR(__xludf.DUMMYFUNCTION("""COMPUTED_VALUE"""),914.0)</f>
        <v>914</v>
      </c>
      <c r="Y119" s="68">
        <f>IFERROR(__xludf.DUMMYFUNCTION("""COMPUTED_VALUE"""),914.0)</f>
        <v>914</v>
      </c>
      <c r="Z119" s="68">
        <f>IFERROR(__xludf.DUMMYFUNCTION("""COMPUTED_VALUE"""),914.0)</f>
        <v>914</v>
      </c>
      <c r="AA119" s="68">
        <f>IFERROR(__xludf.DUMMYFUNCTION("""COMPUTED_VALUE"""),914.0)</f>
        <v>914</v>
      </c>
      <c r="AB119" s="68">
        <f>IFERROR(__xludf.DUMMYFUNCTION("""COMPUTED_VALUE"""),10968.0)</f>
        <v>10968</v>
      </c>
    </row>
    <row r="120">
      <c r="B120" s="41"/>
      <c r="C120" s="41"/>
      <c r="D120" s="41"/>
      <c r="E120" s="41"/>
      <c r="F120" s="41"/>
      <c r="G120" s="41"/>
      <c r="H120" s="41"/>
      <c r="I120" s="41"/>
      <c r="J120" s="41" t="str">
        <f>IFERROR(__xludf.DUMMYFUNCTION("""COMPUTED_VALUE"""),"AICHMA02411098")</f>
        <v>AICHMA02411098</v>
      </c>
      <c r="K120" s="41" t="str">
        <f>IFERROR(__xludf.DUMMYFUNCTION("""COMPUTED_VALUE"""),"MacBook Air")</f>
        <v>MacBook Air</v>
      </c>
      <c r="L120" s="41" t="str">
        <f>IFERROR(__xludf.DUMMYFUNCTION("""COMPUTED_VALUE"""),"車欣蓓")</f>
        <v>車欣蓓</v>
      </c>
      <c r="M120" s="41" t="str">
        <f>IFERROR(__xludf.DUMMYFUNCTION("""COMPUTED_VALUE"""),"行銷營運中心")</f>
        <v>行銷營運中心</v>
      </c>
      <c r="N120" s="41" t="str">
        <f>IFERROR(__xludf.DUMMYFUNCTION("""COMPUTED_VALUE"""),"社群關係部")</f>
        <v>社群關係部</v>
      </c>
      <c r="O120" s="41" t="str">
        <f>IFERROR(__xludf.DUMMYFUNCTION("""COMPUTED_VALUE"""),"餐廳社群團隊")</f>
        <v>餐廳社群團隊</v>
      </c>
      <c r="P120" s="68">
        <f>IFERROR(__xludf.DUMMYFUNCTION("""COMPUTED_VALUE"""),914.0)</f>
        <v>914</v>
      </c>
      <c r="Q120" s="68">
        <f>IFERROR(__xludf.DUMMYFUNCTION("""COMPUTED_VALUE"""),914.0)</f>
        <v>914</v>
      </c>
      <c r="R120" s="68">
        <f>IFERROR(__xludf.DUMMYFUNCTION("""COMPUTED_VALUE"""),914.0)</f>
        <v>914</v>
      </c>
      <c r="S120" s="68">
        <f>IFERROR(__xludf.DUMMYFUNCTION("""COMPUTED_VALUE"""),914.0)</f>
        <v>914</v>
      </c>
      <c r="T120" s="68">
        <f>IFERROR(__xludf.DUMMYFUNCTION("""COMPUTED_VALUE"""),914.0)</f>
        <v>914</v>
      </c>
      <c r="U120" s="68">
        <f>IFERROR(__xludf.DUMMYFUNCTION("""COMPUTED_VALUE"""),914.0)</f>
        <v>914</v>
      </c>
      <c r="V120" s="68">
        <f>IFERROR(__xludf.DUMMYFUNCTION("""COMPUTED_VALUE"""),914.0)</f>
        <v>914</v>
      </c>
      <c r="W120" s="68">
        <f>IFERROR(__xludf.DUMMYFUNCTION("""COMPUTED_VALUE"""),914.0)</f>
        <v>914</v>
      </c>
      <c r="X120" s="68">
        <f>IFERROR(__xludf.DUMMYFUNCTION("""COMPUTED_VALUE"""),914.0)</f>
        <v>914</v>
      </c>
      <c r="Y120" s="68">
        <f>IFERROR(__xludf.DUMMYFUNCTION("""COMPUTED_VALUE"""),914.0)</f>
        <v>914</v>
      </c>
      <c r="Z120" s="68">
        <f>IFERROR(__xludf.DUMMYFUNCTION("""COMPUTED_VALUE"""),914.0)</f>
        <v>914</v>
      </c>
      <c r="AA120" s="68">
        <f>IFERROR(__xludf.DUMMYFUNCTION("""COMPUTED_VALUE"""),914.0)</f>
        <v>914</v>
      </c>
      <c r="AB120" s="68">
        <f>IFERROR(__xludf.DUMMYFUNCTION("""COMPUTED_VALUE"""),10968.0)</f>
        <v>10968</v>
      </c>
    </row>
    <row r="121">
      <c r="B121" s="41"/>
      <c r="C121" s="41"/>
      <c r="D121" s="41"/>
      <c r="E121" s="41"/>
      <c r="F121" s="41"/>
      <c r="G121" s="41"/>
      <c r="H121" s="41"/>
      <c r="I121" s="41"/>
      <c r="J121" s="41" t="str">
        <f>IFERROR(__xludf.DUMMYFUNCTION("""COMPUTED_VALUE"""),"AICHMA02411099")</f>
        <v>AICHMA02411099</v>
      </c>
      <c r="K121" s="41" t="str">
        <f>IFERROR(__xludf.DUMMYFUNCTION("""COMPUTED_VALUE"""),"MacBook Air")</f>
        <v>MacBook Air</v>
      </c>
      <c r="L121" s="41" t="str">
        <f>IFERROR(__xludf.DUMMYFUNCTION("""COMPUTED_VALUE"""),"李菩綾")</f>
        <v>李菩綾</v>
      </c>
      <c r="M121" s="41" t="str">
        <f>IFERROR(__xludf.DUMMYFUNCTION("""COMPUTED_VALUE"""),"客戶價值中心")</f>
        <v>客戶價值中心</v>
      </c>
      <c r="N121" s="41" t="str">
        <f>IFERROR(__xludf.DUMMYFUNCTION("""COMPUTED_VALUE"""),"客戶關係管理部")</f>
        <v>客戶關係管理部</v>
      </c>
      <c r="O121" s="41" t="str">
        <f>IFERROR(__xludf.DUMMYFUNCTION("""COMPUTED_VALUE"""),"客服團隊  客立樂顧問/Oversea")</f>
        <v>客服團隊  客立樂顧問/Oversea</v>
      </c>
      <c r="P121" s="68">
        <f>IFERROR(__xludf.DUMMYFUNCTION("""COMPUTED_VALUE"""),914.0)</f>
        <v>914</v>
      </c>
      <c r="Q121" s="68">
        <f>IFERROR(__xludf.DUMMYFUNCTION("""COMPUTED_VALUE"""),914.0)</f>
        <v>914</v>
      </c>
      <c r="R121" s="68">
        <f>IFERROR(__xludf.DUMMYFUNCTION("""COMPUTED_VALUE"""),914.0)</f>
        <v>914</v>
      </c>
      <c r="S121" s="68">
        <f>IFERROR(__xludf.DUMMYFUNCTION("""COMPUTED_VALUE"""),914.0)</f>
        <v>914</v>
      </c>
      <c r="T121" s="68">
        <f>IFERROR(__xludf.DUMMYFUNCTION("""COMPUTED_VALUE"""),914.0)</f>
        <v>914</v>
      </c>
      <c r="U121" s="68">
        <f>IFERROR(__xludf.DUMMYFUNCTION("""COMPUTED_VALUE"""),914.0)</f>
        <v>914</v>
      </c>
      <c r="V121" s="68">
        <f>IFERROR(__xludf.DUMMYFUNCTION("""COMPUTED_VALUE"""),914.0)</f>
        <v>914</v>
      </c>
      <c r="W121" s="68">
        <f>IFERROR(__xludf.DUMMYFUNCTION("""COMPUTED_VALUE"""),914.0)</f>
        <v>914</v>
      </c>
      <c r="X121" s="68">
        <f>IFERROR(__xludf.DUMMYFUNCTION("""COMPUTED_VALUE"""),914.0)</f>
        <v>914</v>
      </c>
      <c r="Y121" s="68">
        <f>IFERROR(__xludf.DUMMYFUNCTION("""COMPUTED_VALUE"""),914.0)</f>
        <v>914</v>
      </c>
      <c r="Z121" s="68">
        <f>IFERROR(__xludf.DUMMYFUNCTION("""COMPUTED_VALUE"""),914.0)</f>
        <v>914</v>
      </c>
      <c r="AA121" s="68">
        <f>IFERROR(__xludf.DUMMYFUNCTION("""COMPUTED_VALUE"""),914.0)</f>
        <v>914</v>
      </c>
      <c r="AB121" s="68">
        <f>IFERROR(__xludf.DUMMYFUNCTION("""COMPUTED_VALUE"""),10968.0)</f>
        <v>10968</v>
      </c>
    </row>
    <row r="122">
      <c r="B122" s="41"/>
      <c r="C122" s="41"/>
      <c r="D122" s="41"/>
      <c r="E122" s="41"/>
      <c r="F122" s="41"/>
      <c r="G122" s="41"/>
      <c r="H122" s="41"/>
      <c r="I122" s="41"/>
      <c r="J122" s="41" t="str">
        <f>IFERROR(__xludf.DUMMYFUNCTION("""COMPUTED_VALUE"""),"AICHMA02411100")</f>
        <v>AICHMA02411100</v>
      </c>
      <c r="K122" s="41" t="str">
        <f>IFERROR(__xludf.DUMMYFUNCTION("""COMPUTED_VALUE"""),"MacBook Air")</f>
        <v>MacBook Air</v>
      </c>
      <c r="L122" s="41" t="str">
        <f>IFERROR(__xludf.DUMMYFUNCTION("""COMPUTED_VALUE"""),"季優")</f>
        <v>季優</v>
      </c>
      <c r="M122" s="41" t="str">
        <f>IFERROR(__xludf.DUMMYFUNCTION("""COMPUTED_VALUE"""),"行銷營運中心")</f>
        <v>行銷營運中心</v>
      </c>
      <c r="N122" s="41" t="str">
        <f>IFERROR(__xludf.DUMMYFUNCTION("""COMPUTED_VALUE"""),"社群關係部")</f>
        <v>社群關係部</v>
      </c>
      <c r="O122" s="41" t="str">
        <f>IFERROR(__xludf.DUMMYFUNCTION("""COMPUTED_VALUE"""),"餐廳社群團隊")</f>
        <v>餐廳社群團隊</v>
      </c>
      <c r="P122" s="68">
        <f>IFERROR(__xludf.DUMMYFUNCTION("""COMPUTED_VALUE"""),914.0)</f>
        <v>914</v>
      </c>
      <c r="Q122" s="68">
        <f>IFERROR(__xludf.DUMMYFUNCTION("""COMPUTED_VALUE"""),914.0)</f>
        <v>914</v>
      </c>
      <c r="R122" s="68">
        <f>IFERROR(__xludf.DUMMYFUNCTION("""COMPUTED_VALUE"""),914.0)</f>
        <v>914</v>
      </c>
      <c r="S122" s="68">
        <f>IFERROR(__xludf.DUMMYFUNCTION("""COMPUTED_VALUE"""),914.0)</f>
        <v>914</v>
      </c>
      <c r="T122" s="68">
        <f>IFERROR(__xludf.DUMMYFUNCTION("""COMPUTED_VALUE"""),914.0)</f>
        <v>914</v>
      </c>
      <c r="U122" s="68">
        <f>IFERROR(__xludf.DUMMYFUNCTION("""COMPUTED_VALUE"""),914.0)</f>
        <v>914</v>
      </c>
      <c r="V122" s="68">
        <f>IFERROR(__xludf.DUMMYFUNCTION("""COMPUTED_VALUE"""),914.0)</f>
        <v>914</v>
      </c>
      <c r="W122" s="68">
        <f>IFERROR(__xludf.DUMMYFUNCTION("""COMPUTED_VALUE"""),914.0)</f>
        <v>914</v>
      </c>
      <c r="X122" s="68">
        <f>IFERROR(__xludf.DUMMYFUNCTION("""COMPUTED_VALUE"""),914.0)</f>
        <v>914</v>
      </c>
      <c r="Y122" s="68">
        <f>IFERROR(__xludf.DUMMYFUNCTION("""COMPUTED_VALUE"""),914.0)</f>
        <v>914</v>
      </c>
      <c r="Z122" s="68">
        <f>IFERROR(__xludf.DUMMYFUNCTION("""COMPUTED_VALUE"""),914.0)</f>
        <v>914</v>
      </c>
      <c r="AA122" s="68">
        <f>IFERROR(__xludf.DUMMYFUNCTION("""COMPUTED_VALUE"""),914.0)</f>
        <v>914</v>
      </c>
      <c r="AB122" s="68">
        <f>IFERROR(__xludf.DUMMYFUNCTION("""COMPUTED_VALUE"""),10968.0)</f>
        <v>10968</v>
      </c>
    </row>
    <row r="123">
      <c r="B123" s="41"/>
      <c r="C123" s="41"/>
      <c r="D123" s="41"/>
      <c r="E123" s="41"/>
      <c r="F123" s="41"/>
      <c r="G123" s="41"/>
      <c r="H123" s="41"/>
      <c r="I123" s="41"/>
      <c r="J123" s="41" t="str">
        <f>IFERROR(__xludf.DUMMYFUNCTION("""COMPUTED_VALUE"""),"AICHMA02411101")</f>
        <v>AICHMA02411101</v>
      </c>
      <c r="K123" s="41" t="str">
        <f>IFERROR(__xludf.DUMMYFUNCTION("""COMPUTED_VALUE"""),"MacBook Air")</f>
        <v>MacBook Air</v>
      </c>
      <c r="L123" s="41" t="str">
        <f>IFERROR(__xludf.DUMMYFUNCTION("""COMPUTED_VALUE"""),"吳芯儀")</f>
        <v>吳芯儀</v>
      </c>
      <c r="M123" s="41" t="str">
        <f>IFERROR(__xludf.DUMMYFUNCTION("""COMPUTED_VALUE"""),"客戶價值中心")</f>
        <v>客戶價值中心</v>
      </c>
      <c r="N123" s="41" t="str">
        <f>IFERROR(__xludf.DUMMYFUNCTION("""COMPUTED_VALUE"""),"客戶關係管理部")</f>
        <v>客戶關係管理部</v>
      </c>
      <c r="O123" s="41" t="str">
        <f>IFERROR(__xludf.DUMMYFUNCTION("""COMPUTED_VALUE"""),"客服團隊 POS/OMO")</f>
        <v>客服團隊 POS/OMO</v>
      </c>
      <c r="P123" s="68">
        <f>IFERROR(__xludf.DUMMYFUNCTION("""COMPUTED_VALUE"""),914.0)</f>
        <v>914</v>
      </c>
      <c r="Q123" s="68">
        <f>IFERROR(__xludf.DUMMYFUNCTION("""COMPUTED_VALUE"""),914.0)</f>
        <v>914</v>
      </c>
      <c r="R123" s="68">
        <f>IFERROR(__xludf.DUMMYFUNCTION("""COMPUTED_VALUE"""),914.0)</f>
        <v>914</v>
      </c>
      <c r="S123" s="68">
        <f>IFERROR(__xludf.DUMMYFUNCTION("""COMPUTED_VALUE"""),914.0)</f>
        <v>914</v>
      </c>
      <c r="T123" s="68">
        <f>IFERROR(__xludf.DUMMYFUNCTION("""COMPUTED_VALUE"""),914.0)</f>
        <v>914</v>
      </c>
      <c r="U123" s="68">
        <f>IFERROR(__xludf.DUMMYFUNCTION("""COMPUTED_VALUE"""),914.0)</f>
        <v>914</v>
      </c>
      <c r="V123" s="68">
        <f>IFERROR(__xludf.DUMMYFUNCTION("""COMPUTED_VALUE"""),914.0)</f>
        <v>914</v>
      </c>
      <c r="W123" s="68">
        <f>IFERROR(__xludf.DUMMYFUNCTION("""COMPUTED_VALUE"""),914.0)</f>
        <v>914</v>
      </c>
      <c r="X123" s="68">
        <f>IFERROR(__xludf.DUMMYFUNCTION("""COMPUTED_VALUE"""),914.0)</f>
        <v>914</v>
      </c>
      <c r="Y123" s="68">
        <f>IFERROR(__xludf.DUMMYFUNCTION("""COMPUTED_VALUE"""),914.0)</f>
        <v>914</v>
      </c>
      <c r="Z123" s="68">
        <f>IFERROR(__xludf.DUMMYFUNCTION("""COMPUTED_VALUE"""),914.0)</f>
        <v>914</v>
      </c>
      <c r="AA123" s="68">
        <f>IFERROR(__xludf.DUMMYFUNCTION("""COMPUTED_VALUE"""),914.0)</f>
        <v>914</v>
      </c>
      <c r="AB123" s="68">
        <f>IFERROR(__xludf.DUMMYFUNCTION("""COMPUTED_VALUE"""),10968.0)</f>
        <v>10968</v>
      </c>
    </row>
    <row r="124">
      <c r="B124" s="41"/>
      <c r="C124" s="41"/>
      <c r="D124" s="41"/>
      <c r="E124" s="41"/>
      <c r="F124" s="41"/>
      <c r="G124" s="41"/>
      <c r="H124" s="41"/>
      <c r="I124" s="41"/>
      <c r="J124" s="41" t="str">
        <f>IFERROR(__xludf.DUMMYFUNCTION("""COMPUTED_VALUE"""),"AICHIP02412111")</f>
        <v>AICHIP02412111</v>
      </c>
      <c r="K124" s="41" t="str">
        <f>IFERROR(__xludf.DUMMYFUNCTION("""COMPUTED_VALUE"""),"ipad")</f>
        <v>ipad</v>
      </c>
      <c r="L124" s="41" t="str">
        <f>IFERROR(__xludf.DUMMYFUNCTION("""COMPUTED_VALUE"""),"王壯為")</f>
        <v>王壯為</v>
      </c>
      <c r="M124" s="41" t="str">
        <f>IFERROR(__xludf.DUMMYFUNCTION("""COMPUTED_VALUE"""),"管理中心")</f>
        <v>管理中心</v>
      </c>
      <c r="N124" s="41" t="str">
        <f>IFERROR(__xludf.DUMMYFUNCTION("""COMPUTED_VALUE"""),"資訊部")</f>
        <v>資訊部</v>
      </c>
      <c r="O124" s="41"/>
      <c r="P124" s="68">
        <f>IFERROR(__xludf.DUMMYFUNCTION("""COMPUTED_VALUE"""),294.0)</f>
        <v>294</v>
      </c>
      <c r="Q124" s="68">
        <f>IFERROR(__xludf.DUMMYFUNCTION("""COMPUTED_VALUE"""),294.0)</f>
        <v>294</v>
      </c>
      <c r="R124" s="68">
        <f>IFERROR(__xludf.DUMMYFUNCTION("""COMPUTED_VALUE"""),294.0)</f>
        <v>294</v>
      </c>
      <c r="S124" s="68">
        <f>IFERROR(__xludf.DUMMYFUNCTION("""COMPUTED_VALUE"""),294.0)</f>
        <v>294</v>
      </c>
      <c r="T124" s="68">
        <f>IFERROR(__xludf.DUMMYFUNCTION("""COMPUTED_VALUE"""),294.0)</f>
        <v>294</v>
      </c>
      <c r="U124" s="68">
        <f>IFERROR(__xludf.DUMMYFUNCTION("""COMPUTED_VALUE"""),294.0)</f>
        <v>294</v>
      </c>
      <c r="V124" s="68">
        <f>IFERROR(__xludf.DUMMYFUNCTION("""COMPUTED_VALUE"""),294.0)</f>
        <v>294</v>
      </c>
      <c r="W124" s="68">
        <f>IFERROR(__xludf.DUMMYFUNCTION("""COMPUTED_VALUE"""),294.0)</f>
        <v>294</v>
      </c>
      <c r="X124" s="68">
        <f>IFERROR(__xludf.DUMMYFUNCTION("""COMPUTED_VALUE"""),294.0)</f>
        <v>294</v>
      </c>
      <c r="Y124" s="68">
        <f>IFERROR(__xludf.DUMMYFUNCTION("""COMPUTED_VALUE"""),294.0)</f>
        <v>294</v>
      </c>
      <c r="Z124" s="68">
        <f>IFERROR(__xludf.DUMMYFUNCTION("""COMPUTED_VALUE"""),294.0)</f>
        <v>294</v>
      </c>
      <c r="AA124" s="68">
        <f>IFERROR(__xludf.DUMMYFUNCTION("""COMPUTED_VALUE"""),294.0)</f>
        <v>294</v>
      </c>
      <c r="AB124" s="68">
        <f>IFERROR(__xludf.DUMMYFUNCTION("""COMPUTED_VALUE"""),3528.0)</f>
        <v>3528</v>
      </c>
    </row>
    <row r="125">
      <c r="B125" s="41"/>
      <c r="C125" s="41"/>
      <c r="D125" s="41"/>
      <c r="E125" s="41"/>
      <c r="F125" s="41"/>
      <c r="G125" s="41"/>
      <c r="H125" s="41"/>
      <c r="I125" s="41"/>
      <c r="J125" s="41" t="str">
        <f>IFERROR(__xludf.DUMMYFUNCTION("""COMPUTED_VALUE"""),"AICHMP02501005")</f>
        <v>AICHMP02501005</v>
      </c>
      <c r="K125" s="41" t="str">
        <f>IFERROR(__xludf.DUMMYFUNCTION("""COMPUTED_VALUE"""),"Macbook Pro")</f>
        <v>Macbook Pro</v>
      </c>
      <c r="L125" s="41" t="str">
        <f>IFERROR(__xludf.DUMMYFUNCTION("""COMPUTED_VALUE"""),"高宇成")</f>
        <v>高宇成</v>
      </c>
      <c r="M125" s="41" t="str">
        <f>IFERROR(__xludf.DUMMYFUNCTION("""COMPUTED_VALUE"""),"研發中心")</f>
        <v>研發中心</v>
      </c>
      <c r="N125" s="41" t="str">
        <f>IFERROR(__xludf.DUMMYFUNCTION("""COMPUTED_VALUE"""),"軟體工程部")</f>
        <v>軟體工程部</v>
      </c>
      <c r="O125" s="41" t="str">
        <f>IFERROR(__xludf.DUMMYFUNCTION("""COMPUTED_VALUE"""),"IOS團隊")</f>
        <v>IOS團隊</v>
      </c>
      <c r="P125" s="68">
        <f>IFERROR(__xludf.DUMMYFUNCTION("""COMPUTED_VALUE"""),1513.0)</f>
        <v>1513</v>
      </c>
      <c r="Q125" s="68">
        <f>IFERROR(__xludf.DUMMYFUNCTION("""COMPUTED_VALUE"""),1513.0)</f>
        <v>1513</v>
      </c>
      <c r="R125" s="68">
        <f>IFERROR(__xludf.DUMMYFUNCTION("""COMPUTED_VALUE"""),1513.0)</f>
        <v>1513</v>
      </c>
      <c r="S125" s="68">
        <f>IFERROR(__xludf.DUMMYFUNCTION("""COMPUTED_VALUE"""),1513.0)</f>
        <v>1513</v>
      </c>
      <c r="T125" s="68">
        <f>IFERROR(__xludf.DUMMYFUNCTION("""COMPUTED_VALUE"""),1513.0)</f>
        <v>1513</v>
      </c>
      <c r="U125" s="68">
        <f>IFERROR(__xludf.DUMMYFUNCTION("""COMPUTED_VALUE"""),1513.0)</f>
        <v>1513</v>
      </c>
      <c r="V125" s="68">
        <f>IFERROR(__xludf.DUMMYFUNCTION("""COMPUTED_VALUE"""),1513.0)</f>
        <v>1513</v>
      </c>
      <c r="W125" s="68">
        <f>IFERROR(__xludf.DUMMYFUNCTION("""COMPUTED_VALUE"""),1513.0)</f>
        <v>1513</v>
      </c>
      <c r="X125" s="68">
        <f>IFERROR(__xludf.DUMMYFUNCTION("""COMPUTED_VALUE"""),1513.0)</f>
        <v>1513</v>
      </c>
      <c r="Y125" s="68">
        <f>IFERROR(__xludf.DUMMYFUNCTION("""COMPUTED_VALUE"""),1513.0)</f>
        <v>1513</v>
      </c>
      <c r="Z125" s="68">
        <f>IFERROR(__xludf.DUMMYFUNCTION("""COMPUTED_VALUE"""),1513.0)</f>
        <v>1513</v>
      </c>
      <c r="AA125" s="68">
        <f>IFERROR(__xludf.DUMMYFUNCTION("""COMPUTED_VALUE"""),1513.0)</f>
        <v>1513</v>
      </c>
      <c r="AB125" s="68">
        <f>IFERROR(__xludf.DUMMYFUNCTION("""COMPUTED_VALUE"""),18156.0)</f>
        <v>18156</v>
      </c>
    </row>
    <row r="126">
      <c r="B126" s="41"/>
      <c r="C126" s="41"/>
      <c r="D126" s="41"/>
      <c r="E126" s="41"/>
      <c r="F126" s="41"/>
      <c r="G126" s="41"/>
      <c r="H126" s="41"/>
      <c r="I126" s="41"/>
      <c r="J126" s="41" t="str">
        <f>IFERROR(__xludf.DUMMYFUNCTION("""COMPUTED_VALUE"""),"AICHMP02501001")</f>
        <v>AICHMP02501001</v>
      </c>
      <c r="K126" s="41" t="str">
        <f>IFERROR(__xludf.DUMMYFUNCTION("""COMPUTED_VALUE"""),"Macbook Pro")</f>
        <v>Macbook Pro</v>
      </c>
      <c r="L126" s="41" t="str">
        <f>IFERROR(__xludf.DUMMYFUNCTION("""COMPUTED_VALUE"""),"張登皓")</f>
        <v>張登皓</v>
      </c>
      <c r="M126" s="41" t="str">
        <f>IFERROR(__xludf.DUMMYFUNCTION("""COMPUTED_VALUE"""),"研發中心")</f>
        <v>研發中心</v>
      </c>
      <c r="N126" s="41" t="str">
        <f>IFERROR(__xludf.DUMMYFUNCTION("""COMPUTED_VALUE"""),"軟體工程部")</f>
        <v>軟體工程部</v>
      </c>
      <c r="O126" s="41" t="str">
        <f>IFERROR(__xludf.DUMMYFUNCTION("""COMPUTED_VALUE"""),"前端團隊")</f>
        <v>前端團隊</v>
      </c>
      <c r="P126" s="68">
        <f>IFERROR(__xludf.DUMMYFUNCTION("""COMPUTED_VALUE"""),1144.0)</f>
        <v>1144</v>
      </c>
      <c r="Q126" s="68">
        <f>IFERROR(__xludf.DUMMYFUNCTION("""COMPUTED_VALUE"""),1144.0)</f>
        <v>1144</v>
      </c>
      <c r="R126" s="68">
        <f>IFERROR(__xludf.DUMMYFUNCTION("""COMPUTED_VALUE"""),1144.0)</f>
        <v>1144</v>
      </c>
      <c r="S126" s="68">
        <f>IFERROR(__xludf.DUMMYFUNCTION("""COMPUTED_VALUE"""),1144.0)</f>
        <v>1144</v>
      </c>
      <c r="T126" s="68">
        <f>IFERROR(__xludf.DUMMYFUNCTION("""COMPUTED_VALUE"""),1144.0)</f>
        <v>1144</v>
      </c>
      <c r="U126" s="68">
        <f>IFERROR(__xludf.DUMMYFUNCTION("""COMPUTED_VALUE"""),1144.0)</f>
        <v>1144</v>
      </c>
      <c r="V126" s="68">
        <f>IFERROR(__xludf.DUMMYFUNCTION("""COMPUTED_VALUE"""),1144.0)</f>
        <v>1144</v>
      </c>
      <c r="W126" s="68">
        <f>IFERROR(__xludf.DUMMYFUNCTION("""COMPUTED_VALUE"""),1144.0)</f>
        <v>1144</v>
      </c>
      <c r="X126" s="68">
        <f>IFERROR(__xludf.DUMMYFUNCTION("""COMPUTED_VALUE"""),1144.0)</f>
        <v>1144</v>
      </c>
      <c r="Y126" s="68">
        <f>IFERROR(__xludf.DUMMYFUNCTION("""COMPUTED_VALUE"""),1144.0)</f>
        <v>1144</v>
      </c>
      <c r="Z126" s="68">
        <f>IFERROR(__xludf.DUMMYFUNCTION("""COMPUTED_VALUE"""),1144.0)</f>
        <v>1144</v>
      </c>
      <c r="AA126" s="68">
        <f>IFERROR(__xludf.DUMMYFUNCTION("""COMPUTED_VALUE"""),1144.0)</f>
        <v>1144</v>
      </c>
      <c r="AB126" s="68">
        <f>IFERROR(__xludf.DUMMYFUNCTION("""COMPUTED_VALUE"""),13728.0)</f>
        <v>13728</v>
      </c>
    </row>
    <row r="127">
      <c r="B127" s="41"/>
      <c r="C127" s="41"/>
      <c r="D127" s="41"/>
      <c r="E127" s="41"/>
      <c r="F127" s="41"/>
      <c r="G127" s="41"/>
      <c r="H127" s="41"/>
      <c r="I127" s="41"/>
      <c r="J127" s="41" t="str">
        <f>IFERROR(__xludf.DUMMYFUNCTION("""COMPUTED_VALUE"""),"AICHMP02501006")</f>
        <v>AICHMP02501006</v>
      </c>
      <c r="K127" s="41" t="str">
        <f>IFERROR(__xludf.DUMMYFUNCTION("""COMPUTED_VALUE"""),"Macbook Pro")</f>
        <v>Macbook Pro</v>
      </c>
      <c r="L127" s="41" t="str">
        <f>IFERROR(__xludf.DUMMYFUNCTION("""COMPUTED_VALUE"""),"鄭惠文")</f>
        <v>鄭惠文</v>
      </c>
      <c r="M127" s="41" t="str">
        <f>IFERROR(__xludf.DUMMYFUNCTION("""COMPUTED_VALUE"""),"研發中心")</f>
        <v>研發中心</v>
      </c>
      <c r="N127" s="41" t="str">
        <f>IFERROR(__xludf.DUMMYFUNCTION("""COMPUTED_VALUE"""),"產品設計部")</f>
        <v>產品設計部</v>
      </c>
      <c r="O127" s="41" t="str">
        <f>IFERROR(__xludf.DUMMYFUNCTION("""COMPUTED_VALUE"""),"產品經理團隊")</f>
        <v>產品經理團隊</v>
      </c>
      <c r="P127" s="68">
        <f>IFERROR(__xludf.DUMMYFUNCTION("""COMPUTED_VALUE"""),1142.0)</f>
        <v>1142</v>
      </c>
      <c r="Q127" s="68">
        <f>IFERROR(__xludf.DUMMYFUNCTION("""COMPUTED_VALUE"""),1142.0)</f>
        <v>1142</v>
      </c>
      <c r="R127" s="68">
        <f>IFERROR(__xludf.DUMMYFUNCTION("""COMPUTED_VALUE"""),1142.0)</f>
        <v>1142</v>
      </c>
      <c r="S127" s="68">
        <f>IFERROR(__xludf.DUMMYFUNCTION("""COMPUTED_VALUE"""),1142.0)</f>
        <v>1142</v>
      </c>
      <c r="T127" s="68">
        <f>IFERROR(__xludf.DUMMYFUNCTION("""COMPUTED_VALUE"""),1142.0)</f>
        <v>1142</v>
      </c>
      <c r="U127" s="68">
        <f>IFERROR(__xludf.DUMMYFUNCTION("""COMPUTED_VALUE"""),1142.0)</f>
        <v>1142</v>
      </c>
      <c r="V127" s="68">
        <f>IFERROR(__xludf.DUMMYFUNCTION("""COMPUTED_VALUE"""),1142.0)</f>
        <v>1142</v>
      </c>
      <c r="W127" s="68">
        <f>IFERROR(__xludf.DUMMYFUNCTION("""COMPUTED_VALUE"""),1142.0)</f>
        <v>1142</v>
      </c>
      <c r="X127" s="68">
        <f>IFERROR(__xludf.DUMMYFUNCTION("""COMPUTED_VALUE"""),1142.0)</f>
        <v>1142</v>
      </c>
      <c r="Y127" s="68">
        <f>IFERROR(__xludf.DUMMYFUNCTION("""COMPUTED_VALUE"""),1142.0)</f>
        <v>1142</v>
      </c>
      <c r="Z127" s="68">
        <f>IFERROR(__xludf.DUMMYFUNCTION("""COMPUTED_VALUE"""),1142.0)</f>
        <v>1142</v>
      </c>
      <c r="AA127" s="68">
        <f>IFERROR(__xludf.DUMMYFUNCTION("""COMPUTED_VALUE"""),1142.0)</f>
        <v>1142</v>
      </c>
      <c r="AB127" s="68">
        <f>IFERROR(__xludf.DUMMYFUNCTION("""COMPUTED_VALUE"""),13704.0)</f>
        <v>13704</v>
      </c>
    </row>
    <row r="128">
      <c r="B128" s="41"/>
      <c r="C128" s="41"/>
      <c r="D128" s="41"/>
      <c r="E128" s="41"/>
      <c r="F128" s="41"/>
      <c r="G128" s="41"/>
      <c r="H128" s="41"/>
      <c r="I128" s="41"/>
      <c r="J128" s="41" t="str">
        <f>IFERROR(__xludf.DUMMYFUNCTION("""COMPUTED_VALUE"""),"AICHMP02501002")</f>
        <v>AICHMP02501002</v>
      </c>
      <c r="K128" s="41" t="str">
        <f>IFERROR(__xludf.DUMMYFUNCTION("""COMPUTED_VALUE"""),"Macbook Pro")</f>
        <v>Macbook Pro</v>
      </c>
      <c r="L128" s="41" t="str">
        <f>IFERROR(__xludf.DUMMYFUNCTION("""COMPUTED_VALUE"""),"鄧宥均")</f>
        <v>鄧宥均</v>
      </c>
      <c r="M128" s="41" t="str">
        <f>IFERROR(__xludf.DUMMYFUNCTION("""COMPUTED_VALUE"""),"研發中心")</f>
        <v>研發中心</v>
      </c>
      <c r="N128" s="41" t="str">
        <f>IFERROR(__xludf.DUMMYFUNCTION("""COMPUTED_VALUE"""),"軟體工程部")</f>
        <v>軟體工程部</v>
      </c>
      <c r="O128" s="41" t="str">
        <f>IFERROR(__xludf.DUMMYFUNCTION("""COMPUTED_VALUE"""),"後端團隊")</f>
        <v>後端團隊</v>
      </c>
      <c r="P128" s="68">
        <f>IFERROR(__xludf.DUMMYFUNCTION("""COMPUTED_VALUE"""),1144.0)</f>
        <v>1144</v>
      </c>
      <c r="Q128" s="68">
        <f>IFERROR(__xludf.DUMMYFUNCTION("""COMPUTED_VALUE"""),1144.0)</f>
        <v>1144</v>
      </c>
      <c r="R128" s="68">
        <f>IFERROR(__xludf.DUMMYFUNCTION("""COMPUTED_VALUE"""),1144.0)</f>
        <v>1144</v>
      </c>
      <c r="S128" s="68">
        <f>IFERROR(__xludf.DUMMYFUNCTION("""COMPUTED_VALUE"""),1144.0)</f>
        <v>1144</v>
      </c>
      <c r="T128" s="68">
        <f>IFERROR(__xludf.DUMMYFUNCTION("""COMPUTED_VALUE"""),1144.0)</f>
        <v>1144</v>
      </c>
      <c r="U128" s="68">
        <f>IFERROR(__xludf.DUMMYFUNCTION("""COMPUTED_VALUE"""),1144.0)</f>
        <v>1144</v>
      </c>
      <c r="V128" s="68">
        <f>IFERROR(__xludf.DUMMYFUNCTION("""COMPUTED_VALUE"""),1144.0)</f>
        <v>1144</v>
      </c>
      <c r="W128" s="68">
        <f>IFERROR(__xludf.DUMMYFUNCTION("""COMPUTED_VALUE"""),1144.0)</f>
        <v>1144</v>
      </c>
      <c r="X128" s="68">
        <f>IFERROR(__xludf.DUMMYFUNCTION("""COMPUTED_VALUE"""),1144.0)</f>
        <v>1144</v>
      </c>
      <c r="Y128" s="68">
        <f>IFERROR(__xludf.DUMMYFUNCTION("""COMPUTED_VALUE"""),1144.0)</f>
        <v>1144</v>
      </c>
      <c r="Z128" s="68">
        <f>IFERROR(__xludf.DUMMYFUNCTION("""COMPUTED_VALUE"""),1144.0)</f>
        <v>1144</v>
      </c>
      <c r="AA128" s="68">
        <f>IFERROR(__xludf.DUMMYFUNCTION("""COMPUTED_VALUE"""),1144.0)</f>
        <v>1144</v>
      </c>
      <c r="AB128" s="68">
        <f>IFERROR(__xludf.DUMMYFUNCTION("""COMPUTED_VALUE"""),13728.0)</f>
        <v>13728</v>
      </c>
    </row>
    <row r="129">
      <c r="B129" s="41"/>
      <c r="C129" s="41"/>
      <c r="D129" s="41"/>
      <c r="E129" s="41"/>
      <c r="F129" s="41"/>
      <c r="G129" s="41"/>
      <c r="H129" s="41"/>
      <c r="I129" s="41"/>
      <c r="J129" s="41" t="str">
        <f>IFERROR(__xludf.DUMMYFUNCTION("""COMPUTED_VALUE"""),"AICHMP02501004")</f>
        <v>AICHMP02501004</v>
      </c>
      <c r="K129" s="41" t="str">
        <f>IFERROR(__xludf.DUMMYFUNCTION("""COMPUTED_VALUE"""),"Macbook Pro")</f>
        <v>Macbook Pro</v>
      </c>
      <c r="L129" s="41" t="str">
        <f>IFERROR(__xludf.DUMMYFUNCTION("""COMPUTED_VALUE"""),"郭力綸")</f>
        <v>郭力綸</v>
      </c>
      <c r="M129" s="41" t="str">
        <f>IFERROR(__xludf.DUMMYFUNCTION("""COMPUTED_VALUE"""),"執行長室")</f>
        <v>執行長室</v>
      </c>
      <c r="N129" s="41" t="str">
        <f>IFERROR(__xludf.DUMMYFUNCTION("""COMPUTED_VALUE"""),"執行長室")</f>
        <v>執行長室</v>
      </c>
      <c r="O129" s="41"/>
      <c r="P129" s="68">
        <f>IFERROR(__xludf.DUMMYFUNCTION("""COMPUTED_VALUE"""),1144.0)</f>
        <v>1144</v>
      </c>
      <c r="Q129" s="68">
        <f>IFERROR(__xludf.DUMMYFUNCTION("""COMPUTED_VALUE"""),1144.0)</f>
        <v>1144</v>
      </c>
      <c r="R129" s="68">
        <f>IFERROR(__xludf.DUMMYFUNCTION("""COMPUTED_VALUE"""),1144.0)</f>
        <v>1144</v>
      </c>
      <c r="S129" s="68">
        <f>IFERROR(__xludf.DUMMYFUNCTION("""COMPUTED_VALUE"""),1144.0)</f>
        <v>1144</v>
      </c>
      <c r="T129" s="68">
        <f>IFERROR(__xludf.DUMMYFUNCTION("""COMPUTED_VALUE"""),1144.0)</f>
        <v>1144</v>
      </c>
      <c r="U129" s="68">
        <f>IFERROR(__xludf.DUMMYFUNCTION("""COMPUTED_VALUE"""),1144.0)</f>
        <v>1144</v>
      </c>
      <c r="V129" s="68">
        <f>IFERROR(__xludf.DUMMYFUNCTION("""COMPUTED_VALUE"""),1144.0)</f>
        <v>1144</v>
      </c>
      <c r="W129" s="68">
        <f>IFERROR(__xludf.DUMMYFUNCTION("""COMPUTED_VALUE"""),1144.0)</f>
        <v>1144</v>
      </c>
      <c r="X129" s="68">
        <f>IFERROR(__xludf.DUMMYFUNCTION("""COMPUTED_VALUE"""),1144.0)</f>
        <v>1144</v>
      </c>
      <c r="Y129" s="68">
        <f>IFERROR(__xludf.DUMMYFUNCTION("""COMPUTED_VALUE"""),1144.0)</f>
        <v>1144</v>
      </c>
      <c r="Z129" s="68">
        <f>IFERROR(__xludf.DUMMYFUNCTION("""COMPUTED_VALUE"""),1144.0)</f>
        <v>1144</v>
      </c>
      <c r="AA129" s="68">
        <f>IFERROR(__xludf.DUMMYFUNCTION("""COMPUTED_VALUE"""),1144.0)</f>
        <v>1144</v>
      </c>
      <c r="AB129" s="68">
        <f>IFERROR(__xludf.DUMMYFUNCTION("""COMPUTED_VALUE"""),13728.0)</f>
        <v>13728</v>
      </c>
    </row>
    <row r="130">
      <c r="B130" s="41"/>
      <c r="C130" s="41"/>
      <c r="D130" s="41"/>
      <c r="E130" s="41"/>
      <c r="F130" s="41"/>
      <c r="G130" s="41"/>
      <c r="H130" s="41"/>
      <c r="I130" s="41"/>
      <c r="J130" s="41" t="str">
        <f>IFERROR(__xludf.DUMMYFUNCTION("""COMPUTED_VALUE"""),"AICHMP02501003")</f>
        <v>AICHMP02501003</v>
      </c>
      <c r="K130" s="41" t="str">
        <f>IFERROR(__xludf.DUMMYFUNCTION("""COMPUTED_VALUE"""),"Macbook Pro")</f>
        <v>Macbook Pro</v>
      </c>
      <c r="L130" s="41" t="str">
        <f>IFERROR(__xludf.DUMMYFUNCTION("""COMPUTED_VALUE"""),"蔡承芳")</f>
        <v>蔡承芳</v>
      </c>
      <c r="M130" s="41" t="str">
        <f>IFERROR(__xludf.DUMMYFUNCTION("""COMPUTED_VALUE"""),"行銷營運中心")</f>
        <v>行銷營運中心</v>
      </c>
      <c r="N130" s="41" t="str">
        <f>IFERROR(__xludf.DUMMYFUNCTION("""COMPUTED_VALUE"""),"產品行銷部")</f>
        <v>產品行銷部</v>
      </c>
      <c r="O130" s="41" t="str">
        <f>IFERROR(__xludf.DUMMYFUNCTION("""COMPUTED_VALUE"""),"數位行銷團隊")</f>
        <v>數位行銷團隊</v>
      </c>
      <c r="P130" s="68">
        <f>IFERROR(__xludf.DUMMYFUNCTION("""COMPUTED_VALUE"""),1144.0)</f>
        <v>1144</v>
      </c>
      <c r="Q130" s="68">
        <f>IFERROR(__xludf.DUMMYFUNCTION("""COMPUTED_VALUE"""),1144.0)</f>
        <v>1144</v>
      </c>
      <c r="R130" s="68">
        <f>IFERROR(__xludf.DUMMYFUNCTION("""COMPUTED_VALUE"""),1144.0)</f>
        <v>1144</v>
      </c>
      <c r="S130" s="68">
        <f>IFERROR(__xludf.DUMMYFUNCTION("""COMPUTED_VALUE"""),1144.0)</f>
        <v>1144</v>
      </c>
      <c r="T130" s="68">
        <f>IFERROR(__xludf.DUMMYFUNCTION("""COMPUTED_VALUE"""),1144.0)</f>
        <v>1144</v>
      </c>
      <c r="U130" s="68">
        <f>IFERROR(__xludf.DUMMYFUNCTION("""COMPUTED_VALUE"""),1144.0)</f>
        <v>1144</v>
      </c>
      <c r="V130" s="68">
        <f>IFERROR(__xludf.DUMMYFUNCTION("""COMPUTED_VALUE"""),1144.0)</f>
        <v>1144</v>
      </c>
      <c r="W130" s="68">
        <f>IFERROR(__xludf.DUMMYFUNCTION("""COMPUTED_VALUE"""),1144.0)</f>
        <v>1144</v>
      </c>
      <c r="X130" s="68">
        <f>IFERROR(__xludf.DUMMYFUNCTION("""COMPUTED_VALUE"""),1144.0)</f>
        <v>1144</v>
      </c>
      <c r="Y130" s="68">
        <f>IFERROR(__xludf.DUMMYFUNCTION("""COMPUTED_VALUE"""),1144.0)</f>
        <v>1144</v>
      </c>
      <c r="Z130" s="68">
        <f>IFERROR(__xludf.DUMMYFUNCTION("""COMPUTED_VALUE"""),1144.0)</f>
        <v>1144</v>
      </c>
      <c r="AA130" s="68">
        <f>IFERROR(__xludf.DUMMYFUNCTION("""COMPUTED_VALUE"""),1144.0)</f>
        <v>1144</v>
      </c>
      <c r="AB130" s="68">
        <f>IFERROR(__xludf.DUMMYFUNCTION("""COMPUTED_VALUE"""),13728.0)</f>
        <v>13728</v>
      </c>
    </row>
    <row r="131">
      <c r="B131" s="41"/>
      <c r="C131" s="41"/>
      <c r="D131" s="41"/>
      <c r="E131" s="41"/>
      <c r="F131" s="41"/>
      <c r="G131" s="41"/>
      <c r="H131" s="41"/>
      <c r="I131" s="41"/>
      <c r="J131" s="41" t="str">
        <f>IFERROR(__xludf.DUMMYFUNCTION("""COMPUTED_VALUE"""),"AICHMP02501007")</f>
        <v>AICHMP02501007</v>
      </c>
      <c r="K131" s="41" t="str">
        <f>IFERROR(__xludf.DUMMYFUNCTION("""COMPUTED_VALUE"""),"Macbook Pro")</f>
        <v>Macbook Pro</v>
      </c>
      <c r="L131" s="41" t="str">
        <f>IFERROR(__xludf.DUMMYFUNCTION("""COMPUTED_VALUE"""),"鄧羽廷")</f>
        <v>鄧羽廷</v>
      </c>
      <c r="M131" s="41" t="str">
        <f>IFERROR(__xludf.DUMMYFUNCTION("""COMPUTED_VALUE"""),"研發中心")</f>
        <v>研發中心</v>
      </c>
      <c r="N131" s="41" t="str">
        <f>IFERROR(__xludf.DUMMYFUNCTION("""COMPUTED_VALUE"""),"產品設計部")</f>
        <v>產品設計部</v>
      </c>
      <c r="O131" s="41"/>
      <c r="P131" s="68">
        <f>IFERROR(__xludf.DUMMYFUNCTION("""COMPUTED_VALUE"""),1142.0)</f>
        <v>1142</v>
      </c>
      <c r="Q131" s="68">
        <f>IFERROR(__xludf.DUMMYFUNCTION("""COMPUTED_VALUE"""),1142.0)</f>
        <v>1142</v>
      </c>
      <c r="R131" s="68">
        <f>IFERROR(__xludf.DUMMYFUNCTION("""COMPUTED_VALUE"""),1142.0)</f>
        <v>1142</v>
      </c>
      <c r="S131" s="68">
        <f>IFERROR(__xludf.DUMMYFUNCTION("""COMPUTED_VALUE"""),1142.0)</f>
        <v>1142</v>
      </c>
      <c r="T131" s="68">
        <f>IFERROR(__xludf.DUMMYFUNCTION("""COMPUTED_VALUE"""),1142.0)</f>
        <v>1142</v>
      </c>
      <c r="U131" s="68">
        <f>IFERROR(__xludf.DUMMYFUNCTION("""COMPUTED_VALUE"""),1142.0)</f>
        <v>1142</v>
      </c>
      <c r="V131" s="68">
        <f>IFERROR(__xludf.DUMMYFUNCTION("""COMPUTED_VALUE"""),1142.0)</f>
        <v>1142</v>
      </c>
      <c r="W131" s="68">
        <f>IFERROR(__xludf.DUMMYFUNCTION("""COMPUTED_VALUE"""),1142.0)</f>
        <v>1142</v>
      </c>
      <c r="X131" s="68">
        <f>IFERROR(__xludf.DUMMYFUNCTION("""COMPUTED_VALUE"""),1142.0)</f>
        <v>1142</v>
      </c>
      <c r="Y131" s="68">
        <f>IFERROR(__xludf.DUMMYFUNCTION("""COMPUTED_VALUE"""),1142.0)</f>
        <v>1142</v>
      </c>
      <c r="Z131" s="68">
        <f>IFERROR(__xludf.DUMMYFUNCTION("""COMPUTED_VALUE"""),1142.0)</f>
        <v>1142</v>
      </c>
      <c r="AA131" s="68">
        <f>IFERROR(__xludf.DUMMYFUNCTION("""COMPUTED_VALUE"""),1142.0)</f>
        <v>1142</v>
      </c>
      <c r="AB131" s="68">
        <f>IFERROR(__xludf.DUMMYFUNCTION("""COMPUTED_VALUE"""),13704.0)</f>
        <v>13704</v>
      </c>
    </row>
    <row r="132">
      <c r="B132" s="41"/>
      <c r="C132" s="41"/>
      <c r="D132" s="41"/>
      <c r="E132" s="41"/>
      <c r="F132" s="41"/>
      <c r="G132" s="41"/>
      <c r="H132" s="41"/>
      <c r="I132" s="41"/>
      <c r="J132" s="41" t="str">
        <f>IFERROR(__xludf.DUMMYFUNCTION("""COMPUTED_VALUE"""),"AICHMP02501008")</f>
        <v>AICHMP02501008</v>
      </c>
      <c r="K132" s="41" t="str">
        <f>IFERROR(__xludf.DUMMYFUNCTION("""COMPUTED_VALUE"""),"Macbook Pro")</f>
        <v>Macbook Pro</v>
      </c>
      <c r="L132" s="41" t="str">
        <f>IFERROR(__xludf.DUMMYFUNCTION("""COMPUTED_VALUE"""),"陳彥廷")</f>
        <v>陳彥廷</v>
      </c>
      <c r="M132" s="41" t="str">
        <f>IFERROR(__xludf.DUMMYFUNCTION("""COMPUTED_VALUE"""),"研發中心")</f>
        <v>研發中心</v>
      </c>
      <c r="N132" s="41" t="str">
        <f>IFERROR(__xludf.DUMMYFUNCTION("""COMPUTED_VALUE"""),"產品設計部")</f>
        <v>產品設計部</v>
      </c>
      <c r="O132" s="41" t="str">
        <f>IFERROR(__xludf.DUMMYFUNCTION("""COMPUTED_VALUE"""),"產品經理團隊")</f>
        <v>產品經理團隊</v>
      </c>
      <c r="P132" s="68">
        <f>IFERROR(__xludf.DUMMYFUNCTION("""COMPUTED_VALUE"""),1142.0)</f>
        <v>1142</v>
      </c>
      <c r="Q132" s="68">
        <f>IFERROR(__xludf.DUMMYFUNCTION("""COMPUTED_VALUE"""),1142.0)</f>
        <v>1142</v>
      </c>
      <c r="R132" s="68">
        <f>IFERROR(__xludf.DUMMYFUNCTION("""COMPUTED_VALUE"""),1142.0)</f>
        <v>1142</v>
      </c>
      <c r="S132" s="68">
        <f>IFERROR(__xludf.DUMMYFUNCTION("""COMPUTED_VALUE"""),1142.0)</f>
        <v>1142</v>
      </c>
      <c r="T132" s="68">
        <f>IFERROR(__xludf.DUMMYFUNCTION("""COMPUTED_VALUE"""),1142.0)</f>
        <v>1142</v>
      </c>
      <c r="U132" s="68">
        <f>IFERROR(__xludf.DUMMYFUNCTION("""COMPUTED_VALUE"""),1142.0)</f>
        <v>1142</v>
      </c>
      <c r="V132" s="68">
        <f>IFERROR(__xludf.DUMMYFUNCTION("""COMPUTED_VALUE"""),1142.0)</f>
        <v>1142</v>
      </c>
      <c r="W132" s="68">
        <f>IFERROR(__xludf.DUMMYFUNCTION("""COMPUTED_VALUE"""),1142.0)</f>
        <v>1142</v>
      </c>
      <c r="X132" s="68">
        <f>IFERROR(__xludf.DUMMYFUNCTION("""COMPUTED_VALUE"""),1142.0)</f>
        <v>1142</v>
      </c>
      <c r="Y132" s="68">
        <f>IFERROR(__xludf.DUMMYFUNCTION("""COMPUTED_VALUE"""),1142.0)</f>
        <v>1142</v>
      </c>
      <c r="Z132" s="68">
        <f>IFERROR(__xludf.DUMMYFUNCTION("""COMPUTED_VALUE"""),1142.0)</f>
        <v>1142</v>
      </c>
      <c r="AA132" s="68">
        <f>IFERROR(__xludf.DUMMYFUNCTION("""COMPUTED_VALUE"""),1142.0)</f>
        <v>1142</v>
      </c>
      <c r="AB132" s="68">
        <f>IFERROR(__xludf.DUMMYFUNCTION("""COMPUTED_VALUE"""),13704.0)</f>
        <v>13704</v>
      </c>
    </row>
    <row r="133">
      <c r="B133" s="41"/>
      <c r="C133" s="41"/>
      <c r="D133" s="41"/>
      <c r="E133" s="41"/>
      <c r="F133" s="41"/>
      <c r="G133" s="41"/>
      <c r="H133" s="41"/>
      <c r="I133" s="41"/>
      <c r="J133" s="41" t="str">
        <f>IFERROR(__xludf.DUMMYFUNCTION("""COMPUTED_VALUE"""),"AICHMA02501001")</f>
        <v>AICHMA02501001</v>
      </c>
      <c r="K133" s="41" t="str">
        <f>IFERROR(__xludf.DUMMYFUNCTION("""COMPUTED_VALUE"""),"Macbook Air")</f>
        <v>Macbook Air</v>
      </c>
      <c r="L133" s="41" t="str">
        <f>IFERROR(__xludf.DUMMYFUNCTION("""COMPUTED_VALUE"""),"黃晴之")</f>
        <v>黃晴之</v>
      </c>
      <c r="M133" s="41" t="str">
        <f>IFERROR(__xludf.DUMMYFUNCTION("""COMPUTED_VALUE"""),"行銷營運中心")</f>
        <v>行銷營運中心</v>
      </c>
      <c r="N133" s="41" t="str">
        <f>IFERROR(__xludf.DUMMYFUNCTION("""COMPUTED_VALUE"""),"社群關係部")</f>
        <v>社群關係部</v>
      </c>
      <c r="O133" s="41" t="str">
        <f>IFERROR(__xludf.DUMMYFUNCTION("""COMPUTED_VALUE"""),"餐廳社群團隊")</f>
        <v>餐廳社群團隊</v>
      </c>
      <c r="P133" s="68">
        <f>IFERROR(__xludf.DUMMYFUNCTION("""COMPUTED_VALUE"""),663.0)</f>
        <v>663</v>
      </c>
      <c r="Q133" s="68">
        <f>IFERROR(__xludf.DUMMYFUNCTION("""COMPUTED_VALUE"""),663.0)</f>
        <v>663</v>
      </c>
      <c r="R133" s="68">
        <f>IFERROR(__xludf.DUMMYFUNCTION("""COMPUTED_VALUE"""),663.0)</f>
        <v>663</v>
      </c>
      <c r="S133" s="68">
        <f>IFERROR(__xludf.DUMMYFUNCTION("""COMPUTED_VALUE"""),663.0)</f>
        <v>663</v>
      </c>
      <c r="T133" s="68">
        <f>IFERROR(__xludf.DUMMYFUNCTION("""COMPUTED_VALUE"""),663.0)</f>
        <v>663</v>
      </c>
      <c r="U133" s="68">
        <f>IFERROR(__xludf.DUMMYFUNCTION("""COMPUTED_VALUE"""),663.0)</f>
        <v>663</v>
      </c>
      <c r="V133" s="68">
        <f>IFERROR(__xludf.DUMMYFUNCTION("""COMPUTED_VALUE"""),663.0)</f>
        <v>663</v>
      </c>
      <c r="W133" s="68">
        <f>IFERROR(__xludf.DUMMYFUNCTION("""COMPUTED_VALUE"""),663.0)</f>
        <v>663</v>
      </c>
      <c r="X133" s="68">
        <f>IFERROR(__xludf.DUMMYFUNCTION("""COMPUTED_VALUE"""),663.0)</f>
        <v>663</v>
      </c>
      <c r="Y133" s="68">
        <f>IFERROR(__xludf.DUMMYFUNCTION("""COMPUTED_VALUE"""),663.0)</f>
        <v>663</v>
      </c>
      <c r="Z133" s="68">
        <f>IFERROR(__xludf.DUMMYFUNCTION("""COMPUTED_VALUE"""),663.0)</f>
        <v>663</v>
      </c>
      <c r="AA133" s="68">
        <f>IFERROR(__xludf.DUMMYFUNCTION("""COMPUTED_VALUE"""),663.0)</f>
        <v>663</v>
      </c>
      <c r="AB133" s="68">
        <f>IFERROR(__xludf.DUMMYFUNCTION("""COMPUTED_VALUE"""),7956.0)</f>
        <v>7956</v>
      </c>
    </row>
    <row r="134">
      <c r="B134" s="41"/>
      <c r="C134" s="41"/>
      <c r="D134" s="41"/>
      <c r="E134" s="41"/>
      <c r="F134" s="41"/>
      <c r="G134" s="41"/>
      <c r="H134" s="41"/>
      <c r="I134" s="41"/>
      <c r="J134" s="41" t="str">
        <f>IFERROR(__xludf.DUMMYFUNCTION("""COMPUTED_VALUE"""),"AICHMA02501002")</f>
        <v>AICHMA02501002</v>
      </c>
      <c r="K134" s="41" t="str">
        <f>IFERROR(__xludf.DUMMYFUNCTION("""COMPUTED_VALUE"""),"Macbook Air")</f>
        <v>Macbook Air</v>
      </c>
      <c r="L134" s="41" t="str">
        <f>IFERROR(__xludf.DUMMYFUNCTION("""COMPUTED_VALUE"""),"簡亦秀")</f>
        <v>簡亦秀</v>
      </c>
      <c r="M134" s="41" t="str">
        <f>IFERROR(__xludf.DUMMYFUNCTION("""COMPUTED_VALUE"""),"管理中心")</f>
        <v>管理中心</v>
      </c>
      <c r="N134" s="41" t="str">
        <f>IFERROR(__xludf.DUMMYFUNCTION("""COMPUTED_VALUE"""),"採購部")</f>
        <v>採購部</v>
      </c>
      <c r="O134" s="41"/>
      <c r="P134" s="68">
        <f>IFERROR(__xludf.DUMMYFUNCTION("""COMPUTED_VALUE"""),663.0)</f>
        <v>663</v>
      </c>
      <c r="Q134" s="68">
        <f>IFERROR(__xludf.DUMMYFUNCTION("""COMPUTED_VALUE"""),663.0)</f>
        <v>663</v>
      </c>
      <c r="R134" s="68">
        <f>IFERROR(__xludf.DUMMYFUNCTION("""COMPUTED_VALUE"""),663.0)</f>
        <v>663</v>
      </c>
      <c r="S134" s="68">
        <f>IFERROR(__xludf.DUMMYFUNCTION("""COMPUTED_VALUE"""),663.0)</f>
        <v>663</v>
      </c>
      <c r="T134" s="68">
        <f>IFERROR(__xludf.DUMMYFUNCTION("""COMPUTED_VALUE"""),663.0)</f>
        <v>663</v>
      </c>
      <c r="U134" s="68">
        <f>IFERROR(__xludf.DUMMYFUNCTION("""COMPUTED_VALUE"""),663.0)</f>
        <v>663</v>
      </c>
      <c r="V134" s="68">
        <f>IFERROR(__xludf.DUMMYFUNCTION("""COMPUTED_VALUE"""),663.0)</f>
        <v>663</v>
      </c>
      <c r="W134" s="68">
        <f>IFERROR(__xludf.DUMMYFUNCTION("""COMPUTED_VALUE"""),663.0)</f>
        <v>663</v>
      </c>
      <c r="X134" s="68">
        <f>IFERROR(__xludf.DUMMYFUNCTION("""COMPUTED_VALUE"""),663.0)</f>
        <v>663</v>
      </c>
      <c r="Y134" s="68">
        <f>IFERROR(__xludf.DUMMYFUNCTION("""COMPUTED_VALUE"""),663.0)</f>
        <v>663</v>
      </c>
      <c r="Z134" s="68">
        <f>IFERROR(__xludf.DUMMYFUNCTION("""COMPUTED_VALUE"""),663.0)</f>
        <v>663</v>
      </c>
      <c r="AA134" s="68">
        <f>IFERROR(__xludf.DUMMYFUNCTION("""COMPUTED_VALUE"""),663.0)</f>
        <v>663</v>
      </c>
      <c r="AB134" s="68">
        <f>IFERROR(__xludf.DUMMYFUNCTION("""COMPUTED_VALUE"""),7956.0)</f>
        <v>7956</v>
      </c>
    </row>
    <row r="135">
      <c r="B135" s="41"/>
      <c r="C135" s="41"/>
      <c r="D135" s="41"/>
      <c r="E135" s="41"/>
      <c r="F135" s="41"/>
      <c r="G135" s="41"/>
      <c r="H135" s="41"/>
      <c r="I135" s="41"/>
      <c r="J135" s="41" t="str">
        <f>IFERROR(__xludf.DUMMYFUNCTION("""COMPUTED_VALUE"""),"AICHMA02501003")</f>
        <v>AICHMA02501003</v>
      </c>
      <c r="K135" s="41" t="str">
        <f>IFERROR(__xludf.DUMMYFUNCTION("""COMPUTED_VALUE"""),"Macbook Air")</f>
        <v>Macbook Air</v>
      </c>
      <c r="L135" s="41" t="str">
        <f>IFERROR(__xludf.DUMMYFUNCTION("""COMPUTED_VALUE"""),"王壯為")</f>
        <v>王壯為</v>
      </c>
      <c r="M135" s="41" t="str">
        <f>IFERROR(__xludf.DUMMYFUNCTION("""COMPUTED_VALUE"""),"管理中心")</f>
        <v>管理中心</v>
      </c>
      <c r="N135" s="41" t="str">
        <f>IFERROR(__xludf.DUMMYFUNCTION("""COMPUTED_VALUE"""),"資訊部")</f>
        <v>資訊部</v>
      </c>
      <c r="O135" s="41"/>
      <c r="P135" s="68">
        <f>IFERROR(__xludf.DUMMYFUNCTION("""COMPUTED_VALUE"""),663.0)</f>
        <v>663</v>
      </c>
      <c r="Q135" s="68">
        <f>IFERROR(__xludf.DUMMYFUNCTION("""COMPUTED_VALUE"""),663.0)</f>
        <v>663</v>
      </c>
      <c r="R135" s="68">
        <f>IFERROR(__xludf.DUMMYFUNCTION("""COMPUTED_VALUE"""),663.0)</f>
        <v>663</v>
      </c>
      <c r="S135" s="68">
        <f>IFERROR(__xludf.DUMMYFUNCTION("""COMPUTED_VALUE"""),663.0)</f>
        <v>663</v>
      </c>
      <c r="T135" s="68">
        <f>IFERROR(__xludf.DUMMYFUNCTION("""COMPUTED_VALUE"""),663.0)</f>
        <v>663</v>
      </c>
      <c r="U135" s="68">
        <f>IFERROR(__xludf.DUMMYFUNCTION("""COMPUTED_VALUE"""),663.0)</f>
        <v>663</v>
      </c>
      <c r="V135" s="68">
        <f>IFERROR(__xludf.DUMMYFUNCTION("""COMPUTED_VALUE"""),663.0)</f>
        <v>663</v>
      </c>
      <c r="W135" s="68">
        <f>IFERROR(__xludf.DUMMYFUNCTION("""COMPUTED_VALUE"""),663.0)</f>
        <v>663</v>
      </c>
      <c r="X135" s="68">
        <f>IFERROR(__xludf.DUMMYFUNCTION("""COMPUTED_VALUE"""),663.0)</f>
        <v>663</v>
      </c>
      <c r="Y135" s="68">
        <f>IFERROR(__xludf.DUMMYFUNCTION("""COMPUTED_VALUE"""),663.0)</f>
        <v>663</v>
      </c>
      <c r="Z135" s="68">
        <f>IFERROR(__xludf.DUMMYFUNCTION("""COMPUTED_VALUE"""),663.0)</f>
        <v>663</v>
      </c>
      <c r="AA135" s="68">
        <f>IFERROR(__xludf.DUMMYFUNCTION("""COMPUTED_VALUE"""),663.0)</f>
        <v>663</v>
      </c>
      <c r="AB135" s="68">
        <f>IFERROR(__xludf.DUMMYFUNCTION("""COMPUTED_VALUE"""),7956.0)</f>
        <v>7956</v>
      </c>
    </row>
    <row r="136">
      <c r="B136" s="41"/>
      <c r="C136" s="41"/>
      <c r="D136" s="41"/>
      <c r="E136" s="41"/>
      <c r="F136" s="41"/>
      <c r="G136" s="41"/>
      <c r="H136" s="41"/>
      <c r="I136" s="41"/>
      <c r="J136" s="41" t="str">
        <f>IFERROR(__xludf.DUMMYFUNCTION("""COMPUTED_VALUE"""),"AICHMC02501001")</f>
        <v>AICHMC02501001</v>
      </c>
      <c r="K136" s="41" t="str">
        <f>IFERROR(__xludf.DUMMYFUNCTION("""COMPUTED_VALUE"""),"iMAC")</f>
        <v>iMAC</v>
      </c>
      <c r="L136" s="41" t="str">
        <f>IFERROR(__xludf.DUMMYFUNCTION("""COMPUTED_VALUE"""),"萬盈君")</f>
        <v>萬盈君</v>
      </c>
      <c r="M136" s="41" t="str">
        <f>IFERROR(__xludf.DUMMYFUNCTION("""COMPUTED_VALUE"""),"行銷營運中心")</f>
        <v>行銷營運中心</v>
      </c>
      <c r="N136" s="41" t="str">
        <f>IFERROR(__xludf.DUMMYFUNCTION("""COMPUTED_VALUE"""),"產品行銷部")</f>
        <v>產品行銷部</v>
      </c>
      <c r="O136" s="41" t="str">
        <f>IFERROR(__xludf.DUMMYFUNCTION("""COMPUTED_VALUE"""),"設計管理團隊")</f>
        <v>設計管理團隊</v>
      </c>
      <c r="P136" s="68">
        <f>IFERROR(__xludf.DUMMYFUNCTION("""COMPUTED_VALUE"""),1346.0)</f>
        <v>1346</v>
      </c>
      <c r="Q136" s="68">
        <f>IFERROR(__xludf.DUMMYFUNCTION("""COMPUTED_VALUE"""),1346.0)</f>
        <v>1346</v>
      </c>
      <c r="R136" s="68">
        <f>IFERROR(__xludf.DUMMYFUNCTION("""COMPUTED_VALUE"""),1346.0)</f>
        <v>1346</v>
      </c>
      <c r="S136" s="68">
        <f>IFERROR(__xludf.DUMMYFUNCTION("""COMPUTED_VALUE"""),1346.0)</f>
        <v>1346</v>
      </c>
      <c r="T136" s="68">
        <f>IFERROR(__xludf.DUMMYFUNCTION("""COMPUTED_VALUE"""),1346.0)</f>
        <v>1346</v>
      </c>
      <c r="U136" s="68">
        <f>IFERROR(__xludf.DUMMYFUNCTION("""COMPUTED_VALUE"""),1346.0)</f>
        <v>1346</v>
      </c>
      <c r="V136" s="68">
        <f>IFERROR(__xludf.DUMMYFUNCTION("""COMPUTED_VALUE"""),1346.0)</f>
        <v>1346</v>
      </c>
      <c r="W136" s="68">
        <f>IFERROR(__xludf.DUMMYFUNCTION("""COMPUTED_VALUE"""),1346.0)</f>
        <v>1346</v>
      </c>
      <c r="X136" s="68">
        <f>IFERROR(__xludf.DUMMYFUNCTION("""COMPUTED_VALUE"""),1346.0)</f>
        <v>1346</v>
      </c>
      <c r="Y136" s="68">
        <f>IFERROR(__xludf.DUMMYFUNCTION("""COMPUTED_VALUE"""),1346.0)</f>
        <v>1346</v>
      </c>
      <c r="Z136" s="68">
        <f>IFERROR(__xludf.DUMMYFUNCTION("""COMPUTED_VALUE"""),1346.0)</f>
        <v>1346</v>
      </c>
      <c r="AA136" s="68">
        <f>IFERROR(__xludf.DUMMYFUNCTION("""COMPUTED_VALUE"""),1346.0)</f>
        <v>1346</v>
      </c>
      <c r="AB136" s="68">
        <f>IFERROR(__xludf.DUMMYFUNCTION("""COMPUTED_VALUE"""),16152.0)</f>
        <v>16152</v>
      </c>
    </row>
    <row r="137">
      <c r="B137" s="41"/>
      <c r="C137" s="41"/>
      <c r="D137" s="41"/>
      <c r="E137" s="41"/>
      <c r="F137" s="41"/>
      <c r="G137" s="41"/>
      <c r="H137" s="41"/>
      <c r="I137" s="41"/>
      <c r="J137" s="41" t="str">
        <f>IFERROR(__xludf.DUMMYFUNCTION("""COMPUTED_VALUE"""),"AICHMP02501009")</f>
        <v>AICHMP02501009</v>
      </c>
      <c r="K137" s="41" t="str">
        <f>IFERROR(__xludf.DUMMYFUNCTION("""COMPUTED_VALUE"""),"Macbook Pro")</f>
        <v>Macbook Pro</v>
      </c>
      <c r="L137" s="41" t="str">
        <f>IFERROR(__xludf.DUMMYFUNCTION("""COMPUTED_VALUE"""),"丁伊柔")</f>
        <v>丁伊柔</v>
      </c>
      <c r="M137" s="41" t="str">
        <f>IFERROR(__xludf.DUMMYFUNCTION("""COMPUTED_VALUE"""),"客戶價值中心")</f>
        <v>客戶價值中心</v>
      </c>
      <c r="N137" s="41" t="str">
        <f>IFERROR(__xludf.DUMMYFUNCTION("""COMPUTED_VALUE"""),"客戶關係管理部")</f>
        <v>客戶關係管理部</v>
      </c>
      <c r="O137" s="41" t="str">
        <f>IFERROR(__xludf.DUMMYFUNCTION("""COMPUTED_VALUE"""),"TSE團隊")</f>
        <v>TSE團隊</v>
      </c>
      <c r="P137" s="68">
        <f>IFERROR(__xludf.DUMMYFUNCTION("""COMPUTED_VALUE"""),1142.0)</f>
        <v>1142</v>
      </c>
      <c r="Q137" s="68">
        <f>IFERROR(__xludf.DUMMYFUNCTION("""COMPUTED_VALUE"""),1142.0)</f>
        <v>1142</v>
      </c>
      <c r="R137" s="68">
        <f>IFERROR(__xludf.DUMMYFUNCTION("""COMPUTED_VALUE"""),1142.0)</f>
        <v>1142</v>
      </c>
      <c r="S137" s="68">
        <f>IFERROR(__xludf.DUMMYFUNCTION("""COMPUTED_VALUE"""),1142.0)</f>
        <v>1142</v>
      </c>
      <c r="T137" s="68">
        <f>IFERROR(__xludf.DUMMYFUNCTION("""COMPUTED_VALUE"""),1142.0)</f>
        <v>1142</v>
      </c>
      <c r="U137" s="68">
        <f>IFERROR(__xludf.DUMMYFUNCTION("""COMPUTED_VALUE"""),1142.0)</f>
        <v>1142</v>
      </c>
      <c r="V137" s="68">
        <f>IFERROR(__xludf.DUMMYFUNCTION("""COMPUTED_VALUE"""),1142.0)</f>
        <v>1142</v>
      </c>
      <c r="W137" s="68">
        <f>IFERROR(__xludf.DUMMYFUNCTION("""COMPUTED_VALUE"""),1142.0)</f>
        <v>1142</v>
      </c>
      <c r="X137" s="68">
        <f>IFERROR(__xludf.DUMMYFUNCTION("""COMPUTED_VALUE"""),1142.0)</f>
        <v>1142</v>
      </c>
      <c r="Y137" s="68">
        <f>IFERROR(__xludf.DUMMYFUNCTION("""COMPUTED_VALUE"""),1142.0)</f>
        <v>1142</v>
      </c>
      <c r="Z137" s="68">
        <f>IFERROR(__xludf.DUMMYFUNCTION("""COMPUTED_VALUE"""),1142.0)</f>
        <v>1142</v>
      </c>
      <c r="AA137" s="68">
        <f>IFERROR(__xludf.DUMMYFUNCTION("""COMPUTED_VALUE"""),1142.0)</f>
        <v>1142</v>
      </c>
      <c r="AB137" s="68">
        <f>IFERROR(__xludf.DUMMYFUNCTION("""COMPUTED_VALUE"""),13704.0)</f>
        <v>13704</v>
      </c>
    </row>
    <row r="138">
      <c r="B138" s="41"/>
      <c r="C138" s="41"/>
      <c r="D138" s="41"/>
      <c r="E138" s="41"/>
      <c r="F138" s="41"/>
      <c r="G138" s="41"/>
      <c r="H138" s="41"/>
      <c r="I138" s="41"/>
      <c r="J138" s="41" t="str">
        <f>IFERROR(__xludf.DUMMYFUNCTION("""COMPUTED_VALUE"""),"AICHMP02501010")</f>
        <v>AICHMP02501010</v>
      </c>
      <c r="K138" s="41" t="str">
        <f>IFERROR(__xludf.DUMMYFUNCTION("""COMPUTED_VALUE"""),"Macbook Pro")</f>
        <v>Macbook Pro</v>
      </c>
      <c r="L138" s="41" t="str">
        <f>IFERROR(__xludf.DUMMYFUNCTION("""COMPUTED_VALUE"""),"法諾昕")</f>
        <v>法諾昕</v>
      </c>
      <c r="M138" s="41" t="str">
        <f>IFERROR(__xludf.DUMMYFUNCTION("""COMPUTED_VALUE"""),"研發中心")</f>
        <v>研發中心</v>
      </c>
      <c r="N138" s="41" t="str">
        <f>IFERROR(__xludf.DUMMYFUNCTION("""COMPUTED_VALUE"""),"產品設計部")</f>
        <v>產品設計部</v>
      </c>
      <c r="O138" s="41" t="str">
        <f>IFERROR(__xludf.DUMMYFUNCTION("""COMPUTED_VALUE"""),"產品經理團隊")</f>
        <v>產品經理團隊</v>
      </c>
      <c r="P138" s="68">
        <f>IFERROR(__xludf.DUMMYFUNCTION("""COMPUTED_VALUE"""),1142.0)</f>
        <v>1142</v>
      </c>
      <c r="Q138" s="68">
        <f>IFERROR(__xludf.DUMMYFUNCTION("""COMPUTED_VALUE"""),1142.0)</f>
        <v>1142</v>
      </c>
      <c r="R138" s="68">
        <f>IFERROR(__xludf.DUMMYFUNCTION("""COMPUTED_VALUE"""),1142.0)</f>
        <v>1142</v>
      </c>
      <c r="S138" s="68">
        <f>IFERROR(__xludf.DUMMYFUNCTION("""COMPUTED_VALUE"""),1142.0)</f>
        <v>1142</v>
      </c>
      <c r="T138" s="68">
        <f>IFERROR(__xludf.DUMMYFUNCTION("""COMPUTED_VALUE"""),1142.0)</f>
        <v>1142</v>
      </c>
      <c r="U138" s="68">
        <f>IFERROR(__xludf.DUMMYFUNCTION("""COMPUTED_VALUE"""),1142.0)</f>
        <v>1142</v>
      </c>
      <c r="V138" s="68">
        <f>IFERROR(__xludf.DUMMYFUNCTION("""COMPUTED_VALUE"""),1142.0)</f>
        <v>1142</v>
      </c>
      <c r="W138" s="68">
        <f>IFERROR(__xludf.DUMMYFUNCTION("""COMPUTED_VALUE"""),1142.0)</f>
        <v>1142</v>
      </c>
      <c r="X138" s="68">
        <f>IFERROR(__xludf.DUMMYFUNCTION("""COMPUTED_VALUE"""),1142.0)</f>
        <v>1142</v>
      </c>
      <c r="Y138" s="68">
        <f>IFERROR(__xludf.DUMMYFUNCTION("""COMPUTED_VALUE"""),1142.0)</f>
        <v>1142</v>
      </c>
      <c r="Z138" s="68">
        <f>IFERROR(__xludf.DUMMYFUNCTION("""COMPUTED_VALUE"""),1142.0)</f>
        <v>1142</v>
      </c>
      <c r="AA138" s="68">
        <f>IFERROR(__xludf.DUMMYFUNCTION("""COMPUTED_VALUE"""),1142.0)</f>
        <v>1142</v>
      </c>
      <c r="AB138" s="68">
        <f>IFERROR(__xludf.DUMMYFUNCTION("""COMPUTED_VALUE"""),13704.0)</f>
        <v>13704</v>
      </c>
    </row>
    <row r="139">
      <c r="B139" s="41"/>
      <c r="C139" s="41"/>
      <c r="D139" s="41"/>
      <c r="E139" s="41"/>
      <c r="F139" s="41"/>
      <c r="G139" s="41"/>
      <c r="H139" s="41"/>
      <c r="I139" s="41"/>
      <c r="J139" s="41" t="str">
        <f>IFERROR(__xludf.DUMMYFUNCTION("""COMPUTED_VALUE"""),"AICHFU02505006")</f>
        <v>AICHFU02505006</v>
      </c>
      <c r="K139" s="41" t="str">
        <f>IFERROR(__xludf.DUMMYFUNCTION("""COMPUTED_VALUE"""),"台中辦公室辦公桌椅52套")</f>
        <v>台中辦公室辦公桌椅52套</v>
      </c>
      <c r="L139" s="41" t="str">
        <f>IFERROR(__xludf.DUMMYFUNCTION("""COMPUTED_VALUE"""),"行政備用")</f>
        <v>行政備用</v>
      </c>
      <c r="M139" s="41" t="str">
        <f>IFERROR(__xludf.DUMMYFUNCTION("""COMPUTED_VALUE"""),"管理中心")</f>
        <v>管理中心</v>
      </c>
      <c r="N139" s="41"/>
      <c r="O139" s="41"/>
      <c r="P139" s="68">
        <f>IFERROR(__xludf.DUMMYFUNCTION("""COMPUTED_VALUE"""),5566.0)</f>
        <v>5566</v>
      </c>
      <c r="Q139" s="68">
        <f>IFERROR(__xludf.DUMMYFUNCTION("""COMPUTED_VALUE"""),5566.0)</f>
        <v>5566</v>
      </c>
      <c r="R139" s="68">
        <f>IFERROR(__xludf.DUMMYFUNCTION("""COMPUTED_VALUE"""),5566.0)</f>
        <v>5566</v>
      </c>
      <c r="S139" s="68">
        <f>IFERROR(__xludf.DUMMYFUNCTION("""COMPUTED_VALUE"""),5566.0)</f>
        <v>5566</v>
      </c>
      <c r="T139" s="68">
        <f>IFERROR(__xludf.DUMMYFUNCTION("""COMPUTED_VALUE"""),5566.0)</f>
        <v>5566</v>
      </c>
      <c r="U139" s="68">
        <f>IFERROR(__xludf.DUMMYFUNCTION("""COMPUTED_VALUE"""),5566.0)</f>
        <v>5566</v>
      </c>
      <c r="V139" s="68">
        <f>IFERROR(__xludf.DUMMYFUNCTION("""COMPUTED_VALUE"""),5566.0)</f>
        <v>5566</v>
      </c>
      <c r="W139" s="68">
        <f>IFERROR(__xludf.DUMMYFUNCTION("""COMPUTED_VALUE"""),5566.0)</f>
        <v>5566</v>
      </c>
      <c r="X139" s="68">
        <f>IFERROR(__xludf.DUMMYFUNCTION("""COMPUTED_VALUE"""),5566.0)</f>
        <v>5566</v>
      </c>
      <c r="Y139" s="68">
        <f>IFERROR(__xludf.DUMMYFUNCTION("""COMPUTED_VALUE"""),5566.0)</f>
        <v>5566</v>
      </c>
      <c r="Z139" s="68">
        <f>IFERROR(__xludf.DUMMYFUNCTION("""COMPUTED_VALUE"""),5566.0)</f>
        <v>5566</v>
      </c>
      <c r="AA139" s="68">
        <f>IFERROR(__xludf.DUMMYFUNCTION("""COMPUTED_VALUE"""),5566.0)</f>
        <v>5566</v>
      </c>
      <c r="AB139" s="68">
        <f>IFERROR(__xludf.DUMMYFUNCTION("""COMPUTED_VALUE"""),66792.0)</f>
        <v>66792</v>
      </c>
    </row>
    <row r="140">
      <c r="B140" s="41"/>
      <c r="C140" s="41"/>
      <c r="D140" s="41"/>
      <c r="E140" s="41"/>
      <c r="F140" s="41"/>
      <c r="G140" s="41"/>
      <c r="H140" s="41"/>
      <c r="I140" s="41"/>
      <c r="J140" s="41" t="str">
        <f>IFERROR(__xludf.DUMMYFUNCTION("""COMPUTED_VALUE"""),"AICHFU02505007")</f>
        <v>AICHFU02505007</v>
      </c>
      <c r="K140" s="41" t="str">
        <f>IFERROR(__xludf.DUMMYFUNCTION("""COMPUTED_VALUE"""),"台中辦公室辦公桌椅(尾款)")</f>
        <v>台中辦公室辦公桌椅(尾款)</v>
      </c>
      <c r="L140" s="41" t="str">
        <f>IFERROR(__xludf.DUMMYFUNCTION("""COMPUTED_VALUE"""),"行政備用")</f>
        <v>行政備用</v>
      </c>
      <c r="M140" s="41" t="str">
        <f>IFERROR(__xludf.DUMMYFUNCTION("""COMPUTED_VALUE"""),"管理中心")</f>
        <v>管理中心</v>
      </c>
      <c r="N140" s="41"/>
      <c r="O140" s="41"/>
      <c r="P140" s="68">
        <f>IFERROR(__xludf.DUMMYFUNCTION("""COMPUTED_VALUE"""),8190.0)</f>
        <v>8190</v>
      </c>
      <c r="Q140" s="68">
        <f>IFERROR(__xludf.DUMMYFUNCTION("""COMPUTED_VALUE"""),8190.0)</f>
        <v>8190</v>
      </c>
      <c r="R140" s="68">
        <f>IFERROR(__xludf.DUMMYFUNCTION("""COMPUTED_VALUE"""),8190.0)</f>
        <v>8190</v>
      </c>
      <c r="S140" s="68">
        <f>IFERROR(__xludf.DUMMYFUNCTION("""COMPUTED_VALUE"""),8190.0)</f>
        <v>8190</v>
      </c>
      <c r="T140" s="68">
        <f>IFERROR(__xludf.DUMMYFUNCTION("""COMPUTED_VALUE"""),8190.0)</f>
        <v>8190</v>
      </c>
      <c r="U140" s="68">
        <f>IFERROR(__xludf.DUMMYFUNCTION("""COMPUTED_VALUE"""),8190.0)</f>
        <v>8190</v>
      </c>
      <c r="V140" s="68">
        <f>IFERROR(__xludf.DUMMYFUNCTION("""COMPUTED_VALUE"""),8190.0)</f>
        <v>8190</v>
      </c>
      <c r="W140" s="68">
        <f>IFERROR(__xludf.DUMMYFUNCTION("""COMPUTED_VALUE"""),8190.0)</f>
        <v>8190</v>
      </c>
      <c r="X140" s="68">
        <f>IFERROR(__xludf.DUMMYFUNCTION("""COMPUTED_VALUE"""),8190.0)</f>
        <v>8190</v>
      </c>
      <c r="Y140" s="68">
        <f>IFERROR(__xludf.DUMMYFUNCTION("""COMPUTED_VALUE"""),8190.0)</f>
        <v>8190</v>
      </c>
      <c r="Z140" s="68">
        <f>IFERROR(__xludf.DUMMYFUNCTION("""COMPUTED_VALUE"""),8190.0)</f>
        <v>8190</v>
      </c>
      <c r="AA140" s="68">
        <f>IFERROR(__xludf.DUMMYFUNCTION("""COMPUTED_VALUE"""),8190.0)</f>
        <v>8190</v>
      </c>
      <c r="AB140" s="68">
        <f>IFERROR(__xludf.DUMMYFUNCTION("""COMPUTED_VALUE"""),98280.0)</f>
        <v>98280</v>
      </c>
    </row>
    <row r="141">
      <c r="B141" s="41"/>
      <c r="C141" s="41"/>
      <c r="D141" s="41"/>
      <c r="E141" s="41"/>
      <c r="F141" s="41"/>
      <c r="G141" s="41"/>
      <c r="H141" s="41"/>
      <c r="I141" s="41"/>
      <c r="J141" s="41" t="str">
        <f>IFERROR(__xludf.DUMMYFUNCTION("""COMPUTED_VALUE"""),"AICHFU02505008")</f>
        <v>AICHFU02505008</v>
      </c>
      <c r="K141" s="41" t="str">
        <f>IFERROR(__xludf.DUMMYFUNCTION("""COMPUTED_VALUE"""),"台中辦公室屏風(追加)")</f>
        <v>台中辦公室屏風(追加)</v>
      </c>
      <c r="L141" s="41" t="str">
        <f>IFERROR(__xludf.DUMMYFUNCTION("""COMPUTED_VALUE"""),"行政備用")</f>
        <v>行政備用</v>
      </c>
      <c r="M141" s="41" t="str">
        <f>IFERROR(__xludf.DUMMYFUNCTION("""COMPUTED_VALUE"""),"管理中心")</f>
        <v>管理中心</v>
      </c>
      <c r="N141" s="41"/>
      <c r="O141" s="41"/>
      <c r="P141" s="68">
        <f>IFERROR(__xludf.DUMMYFUNCTION("""COMPUTED_VALUE"""),763.0)</f>
        <v>763</v>
      </c>
      <c r="Q141" s="68">
        <f>IFERROR(__xludf.DUMMYFUNCTION("""COMPUTED_VALUE"""),763.0)</f>
        <v>763</v>
      </c>
      <c r="R141" s="68">
        <f>IFERROR(__xludf.DUMMYFUNCTION("""COMPUTED_VALUE"""),763.0)</f>
        <v>763</v>
      </c>
      <c r="S141" s="68">
        <f>IFERROR(__xludf.DUMMYFUNCTION("""COMPUTED_VALUE"""),763.0)</f>
        <v>763</v>
      </c>
      <c r="T141" s="68">
        <f>IFERROR(__xludf.DUMMYFUNCTION("""COMPUTED_VALUE"""),763.0)</f>
        <v>763</v>
      </c>
      <c r="U141" s="68">
        <f>IFERROR(__xludf.DUMMYFUNCTION("""COMPUTED_VALUE"""),763.0)</f>
        <v>763</v>
      </c>
      <c r="V141" s="68">
        <f>IFERROR(__xludf.DUMMYFUNCTION("""COMPUTED_VALUE"""),763.0)</f>
        <v>763</v>
      </c>
      <c r="W141" s="68">
        <f>IFERROR(__xludf.DUMMYFUNCTION("""COMPUTED_VALUE"""),763.0)</f>
        <v>763</v>
      </c>
      <c r="X141" s="68">
        <f>IFERROR(__xludf.DUMMYFUNCTION("""COMPUTED_VALUE"""),763.0)</f>
        <v>763</v>
      </c>
      <c r="Y141" s="68">
        <f>IFERROR(__xludf.DUMMYFUNCTION("""COMPUTED_VALUE"""),763.0)</f>
        <v>763</v>
      </c>
      <c r="Z141" s="68">
        <f>IFERROR(__xludf.DUMMYFUNCTION("""COMPUTED_VALUE"""),763.0)</f>
        <v>763</v>
      </c>
      <c r="AA141" s="68">
        <f>IFERROR(__xludf.DUMMYFUNCTION("""COMPUTED_VALUE"""),763.0)</f>
        <v>763</v>
      </c>
      <c r="AB141" s="68">
        <f>IFERROR(__xludf.DUMMYFUNCTION("""COMPUTED_VALUE"""),9156.0)</f>
        <v>9156</v>
      </c>
    </row>
    <row r="142">
      <c r="B142" s="41"/>
      <c r="C142" s="41"/>
      <c r="D142" s="41"/>
      <c r="E142" s="41"/>
      <c r="F142" s="41"/>
      <c r="G142" s="41"/>
      <c r="H142" s="41"/>
      <c r="I142" s="41"/>
      <c r="J142" s="41" t="str">
        <f>IFERROR(__xludf.DUMMYFUNCTION("""COMPUTED_VALUE"""),"AICHFU02505007")</f>
        <v>AICHFU02505007</v>
      </c>
      <c r="K142" s="41" t="str">
        <f>IFERROR(__xludf.DUMMYFUNCTION("""COMPUTED_VALUE"""),"台中辦公室會議桌椅")</f>
        <v>台中辦公室會議桌椅</v>
      </c>
      <c r="L142" s="41" t="str">
        <f>IFERROR(__xludf.DUMMYFUNCTION("""COMPUTED_VALUE"""),"行政備用")</f>
        <v>行政備用</v>
      </c>
      <c r="M142" s="41" t="str">
        <f>IFERROR(__xludf.DUMMYFUNCTION("""COMPUTED_VALUE"""),"管理中心")</f>
        <v>管理中心</v>
      </c>
      <c r="N142" s="41"/>
      <c r="O142" s="41"/>
      <c r="P142" s="68">
        <f>IFERROR(__xludf.DUMMYFUNCTION("""COMPUTED_VALUE"""),2867.0)</f>
        <v>2867</v>
      </c>
      <c r="Q142" s="68">
        <f>IFERROR(__xludf.DUMMYFUNCTION("""COMPUTED_VALUE"""),2867.0)</f>
        <v>2867</v>
      </c>
      <c r="R142" s="68">
        <f>IFERROR(__xludf.DUMMYFUNCTION("""COMPUTED_VALUE"""),2867.0)</f>
        <v>2867</v>
      </c>
      <c r="S142" s="68">
        <f>IFERROR(__xludf.DUMMYFUNCTION("""COMPUTED_VALUE"""),2867.0)</f>
        <v>2867</v>
      </c>
      <c r="T142" s="68">
        <f>IFERROR(__xludf.DUMMYFUNCTION("""COMPUTED_VALUE"""),2867.0)</f>
        <v>2867</v>
      </c>
      <c r="U142" s="68">
        <f>IFERROR(__xludf.DUMMYFUNCTION("""COMPUTED_VALUE"""),2867.0)</f>
        <v>2867</v>
      </c>
      <c r="V142" s="68">
        <f>IFERROR(__xludf.DUMMYFUNCTION("""COMPUTED_VALUE"""),2867.0)</f>
        <v>2867</v>
      </c>
      <c r="W142" s="68">
        <f>IFERROR(__xludf.DUMMYFUNCTION("""COMPUTED_VALUE"""),2867.0)</f>
        <v>2867</v>
      </c>
      <c r="X142" s="68">
        <f>IFERROR(__xludf.DUMMYFUNCTION("""COMPUTED_VALUE"""),2867.0)</f>
        <v>2867</v>
      </c>
      <c r="Y142" s="68">
        <f>IFERROR(__xludf.DUMMYFUNCTION("""COMPUTED_VALUE"""),2867.0)</f>
        <v>2867</v>
      </c>
      <c r="Z142" s="68">
        <f>IFERROR(__xludf.DUMMYFUNCTION("""COMPUTED_VALUE"""),2867.0)</f>
        <v>2867</v>
      </c>
      <c r="AA142" s="68">
        <f>IFERROR(__xludf.DUMMYFUNCTION("""COMPUTED_VALUE"""),2867.0)</f>
        <v>2867</v>
      </c>
      <c r="AB142" s="68">
        <f>IFERROR(__xludf.DUMMYFUNCTION("""COMPUTED_VALUE"""),34404.0)</f>
        <v>34404</v>
      </c>
    </row>
    <row r="143">
      <c r="B143" s="41"/>
      <c r="C143" s="41"/>
      <c r="D143" s="41"/>
      <c r="E143" s="41"/>
      <c r="F143" s="41"/>
      <c r="G143" s="41"/>
      <c r="H143" s="41"/>
      <c r="I143" s="41"/>
      <c r="J143" s="41" t="str">
        <f>IFERROR(__xludf.DUMMYFUNCTION("""COMPUTED_VALUE"""),"AICHIP02507009")</f>
        <v>AICHIP02507009</v>
      </c>
      <c r="K143" s="41" t="str">
        <f>IFERROR(__xludf.DUMMYFUNCTION("""COMPUTED_VALUE"""),"iPad")</f>
        <v>iPad</v>
      </c>
      <c r="L143" s="41" t="str">
        <f>IFERROR(__xludf.DUMMYFUNCTION("""COMPUTED_VALUE"""),"劉鈺羚")</f>
        <v>劉鈺羚</v>
      </c>
      <c r="M143" s="41" t="str">
        <f>IFERROR(__xludf.DUMMYFUNCTION("""COMPUTED_VALUE"""),"行銷營運中心")</f>
        <v>行銷營運中心</v>
      </c>
      <c r="N143" s="41" t="str">
        <f>IFERROR(__xludf.DUMMYFUNCTION("""COMPUTED_VALUE"""),"銷售營運部")</f>
        <v>銷售營運部</v>
      </c>
      <c r="O143" s="41" t="str">
        <f>IFERROR(__xludf.DUMMYFUNCTION("""COMPUTED_VALUE"""),"銷售顧問團隊")</f>
        <v>銷售顧問團隊</v>
      </c>
      <c r="P143" s="68">
        <f>IFERROR(__xludf.DUMMYFUNCTION("""COMPUTED_VALUE"""),218.0)</f>
        <v>218</v>
      </c>
      <c r="Q143" s="68">
        <f>IFERROR(__xludf.DUMMYFUNCTION("""COMPUTED_VALUE"""),218.0)</f>
        <v>218</v>
      </c>
      <c r="R143" s="68">
        <f>IFERROR(__xludf.DUMMYFUNCTION("""COMPUTED_VALUE"""),218.0)</f>
        <v>218</v>
      </c>
      <c r="S143" s="68">
        <f>IFERROR(__xludf.DUMMYFUNCTION("""COMPUTED_VALUE"""),218.0)</f>
        <v>218</v>
      </c>
      <c r="T143" s="68">
        <f>IFERROR(__xludf.DUMMYFUNCTION("""COMPUTED_VALUE"""),218.0)</f>
        <v>218</v>
      </c>
      <c r="U143" s="68">
        <f>IFERROR(__xludf.DUMMYFUNCTION("""COMPUTED_VALUE"""),218.0)</f>
        <v>218</v>
      </c>
      <c r="V143" s="68">
        <f>IFERROR(__xludf.DUMMYFUNCTION("""COMPUTED_VALUE"""),218.0)</f>
        <v>218</v>
      </c>
      <c r="W143" s="68">
        <f>IFERROR(__xludf.DUMMYFUNCTION("""COMPUTED_VALUE"""),218.0)</f>
        <v>218</v>
      </c>
      <c r="X143" s="68">
        <f>IFERROR(__xludf.DUMMYFUNCTION("""COMPUTED_VALUE"""),218.0)</f>
        <v>218</v>
      </c>
      <c r="Y143" s="68">
        <f>IFERROR(__xludf.DUMMYFUNCTION("""COMPUTED_VALUE"""),218.0)</f>
        <v>218</v>
      </c>
      <c r="Z143" s="68">
        <f>IFERROR(__xludf.DUMMYFUNCTION("""COMPUTED_VALUE"""),218.0)</f>
        <v>218</v>
      </c>
      <c r="AA143" s="68">
        <f>IFERROR(__xludf.DUMMYFUNCTION("""COMPUTED_VALUE"""),218.0)</f>
        <v>218</v>
      </c>
      <c r="AB143" s="68">
        <f>IFERROR(__xludf.DUMMYFUNCTION("""COMPUTED_VALUE"""),2616.0)</f>
        <v>2616</v>
      </c>
    </row>
    <row r="144">
      <c r="B144" s="41"/>
      <c r="C144" s="41"/>
      <c r="D144" s="41"/>
      <c r="E144" s="41"/>
      <c r="F144" s="41"/>
      <c r="G144" s="41"/>
      <c r="H144" s="41"/>
      <c r="I144" s="41"/>
      <c r="J144" s="41" t="str">
        <f>IFERROR(__xludf.DUMMYFUNCTION("""COMPUTED_VALUE"""),"AICHIP02507012")</f>
        <v>AICHIP02507012</v>
      </c>
      <c r="K144" s="41" t="str">
        <f>IFERROR(__xludf.DUMMYFUNCTION("""COMPUTED_VALUE"""),"iPad")</f>
        <v>iPad</v>
      </c>
      <c r="L144" s="41" t="str">
        <f>IFERROR(__xludf.DUMMYFUNCTION("""COMPUTED_VALUE"""),"林曉吟")</f>
        <v>林曉吟</v>
      </c>
      <c r="M144" s="41" t="str">
        <f>IFERROR(__xludf.DUMMYFUNCTION("""COMPUTED_VALUE"""),"行銷營運中心")</f>
        <v>行銷營運中心</v>
      </c>
      <c r="N144" s="41" t="str">
        <f>IFERROR(__xludf.DUMMYFUNCTION("""COMPUTED_VALUE"""),"銷售營運部")</f>
        <v>銷售營運部</v>
      </c>
      <c r="O144" s="41" t="str">
        <f>IFERROR(__xludf.DUMMYFUNCTION("""COMPUTED_VALUE"""),"客戶導入團隊")</f>
        <v>客戶導入團隊</v>
      </c>
      <c r="P144" s="68">
        <f>IFERROR(__xludf.DUMMYFUNCTION("""COMPUTED_VALUE"""),218.0)</f>
        <v>218</v>
      </c>
      <c r="Q144" s="68">
        <f>IFERROR(__xludf.DUMMYFUNCTION("""COMPUTED_VALUE"""),218.0)</f>
        <v>218</v>
      </c>
      <c r="R144" s="68">
        <f>IFERROR(__xludf.DUMMYFUNCTION("""COMPUTED_VALUE"""),218.0)</f>
        <v>218</v>
      </c>
      <c r="S144" s="68">
        <f>IFERROR(__xludf.DUMMYFUNCTION("""COMPUTED_VALUE"""),218.0)</f>
        <v>218</v>
      </c>
      <c r="T144" s="68">
        <f>IFERROR(__xludf.DUMMYFUNCTION("""COMPUTED_VALUE"""),218.0)</f>
        <v>218</v>
      </c>
      <c r="U144" s="68">
        <f>IFERROR(__xludf.DUMMYFUNCTION("""COMPUTED_VALUE"""),218.0)</f>
        <v>218</v>
      </c>
      <c r="V144" s="68">
        <f>IFERROR(__xludf.DUMMYFUNCTION("""COMPUTED_VALUE"""),218.0)</f>
        <v>218</v>
      </c>
      <c r="W144" s="68">
        <f>IFERROR(__xludf.DUMMYFUNCTION("""COMPUTED_VALUE"""),218.0)</f>
        <v>218</v>
      </c>
      <c r="X144" s="68">
        <f>IFERROR(__xludf.DUMMYFUNCTION("""COMPUTED_VALUE"""),218.0)</f>
        <v>218</v>
      </c>
      <c r="Y144" s="68">
        <f>IFERROR(__xludf.DUMMYFUNCTION("""COMPUTED_VALUE"""),218.0)</f>
        <v>218</v>
      </c>
      <c r="Z144" s="68">
        <f>IFERROR(__xludf.DUMMYFUNCTION("""COMPUTED_VALUE"""),218.0)</f>
        <v>218</v>
      </c>
      <c r="AA144" s="68">
        <f>IFERROR(__xludf.DUMMYFUNCTION("""COMPUTED_VALUE"""),218.0)</f>
        <v>218</v>
      </c>
      <c r="AB144" s="68">
        <f>IFERROR(__xludf.DUMMYFUNCTION("""COMPUTED_VALUE"""),2616.0)</f>
        <v>2616</v>
      </c>
    </row>
    <row r="145">
      <c r="B145" s="41"/>
      <c r="C145" s="41"/>
      <c r="D145" s="41"/>
      <c r="E145" s="41"/>
      <c r="F145" s="41"/>
      <c r="G145" s="41"/>
      <c r="H145" s="41"/>
      <c r="I145" s="41"/>
      <c r="J145" s="41" t="str">
        <f>IFERROR(__xludf.DUMMYFUNCTION("""COMPUTED_VALUE"""),"AICHIP02507013")</f>
        <v>AICHIP02507013</v>
      </c>
      <c r="K145" s="41" t="str">
        <f>IFERROR(__xludf.DUMMYFUNCTION("""COMPUTED_VALUE"""),"iPad")</f>
        <v>iPad</v>
      </c>
      <c r="L145" s="41" t="str">
        <f>IFERROR(__xludf.DUMMYFUNCTION("""COMPUTED_VALUE"""),"林子翔")</f>
        <v>林子翔</v>
      </c>
      <c r="M145" s="41" t="str">
        <f>IFERROR(__xludf.DUMMYFUNCTION("""COMPUTED_VALUE"""),"行銷營運中心")</f>
        <v>行銷營運中心</v>
      </c>
      <c r="N145" s="41" t="str">
        <f>IFERROR(__xludf.DUMMYFUNCTION("""COMPUTED_VALUE"""),"銷售營運部")</f>
        <v>銷售營運部</v>
      </c>
      <c r="O145" s="41" t="str">
        <f>IFERROR(__xludf.DUMMYFUNCTION("""COMPUTED_VALUE"""),"銷售顧問團隊")</f>
        <v>銷售顧問團隊</v>
      </c>
      <c r="P145" s="68">
        <f>IFERROR(__xludf.DUMMYFUNCTION("""COMPUTED_VALUE"""),218.0)</f>
        <v>218</v>
      </c>
      <c r="Q145" s="68">
        <f>IFERROR(__xludf.DUMMYFUNCTION("""COMPUTED_VALUE"""),218.0)</f>
        <v>218</v>
      </c>
      <c r="R145" s="68">
        <f>IFERROR(__xludf.DUMMYFUNCTION("""COMPUTED_VALUE"""),218.0)</f>
        <v>218</v>
      </c>
      <c r="S145" s="68">
        <f>IFERROR(__xludf.DUMMYFUNCTION("""COMPUTED_VALUE"""),218.0)</f>
        <v>218</v>
      </c>
      <c r="T145" s="68">
        <f>IFERROR(__xludf.DUMMYFUNCTION("""COMPUTED_VALUE"""),218.0)</f>
        <v>218</v>
      </c>
      <c r="U145" s="68">
        <f>IFERROR(__xludf.DUMMYFUNCTION("""COMPUTED_VALUE"""),218.0)</f>
        <v>218</v>
      </c>
      <c r="V145" s="68">
        <f>IFERROR(__xludf.DUMMYFUNCTION("""COMPUTED_VALUE"""),218.0)</f>
        <v>218</v>
      </c>
      <c r="W145" s="68">
        <f>IFERROR(__xludf.DUMMYFUNCTION("""COMPUTED_VALUE"""),218.0)</f>
        <v>218</v>
      </c>
      <c r="X145" s="68">
        <f>IFERROR(__xludf.DUMMYFUNCTION("""COMPUTED_VALUE"""),218.0)</f>
        <v>218</v>
      </c>
      <c r="Y145" s="68">
        <f>IFERROR(__xludf.DUMMYFUNCTION("""COMPUTED_VALUE"""),218.0)</f>
        <v>218</v>
      </c>
      <c r="Z145" s="68">
        <f>IFERROR(__xludf.DUMMYFUNCTION("""COMPUTED_VALUE"""),218.0)</f>
        <v>218</v>
      </c>
      <c r="AA145" s="68">
        <f>IFERROR(__xludf.DUMMYFUNCTION("""COMPUTED_VALUE"""),218.0)</f>
        <v>218</v>
      </c>
      <c r="AB145" s="68">
        <f>IFERROR(__xludf.DUMMYFUNCTION("""COMPUTED_VALUE"""),2616.0)</f>
        <v>2616</v>
      </c>
    </row>
    <row r="146">
      <c r="B146" s="41"/>
      <c r="C146" s="41"/>
      <c r="D146" s="41"/>
      <c r="E146" s="41"/>
      <c r="F146" s="41"/>
      <c r="G146" s="41"/>
      <c r="H146" s="41"/>
      <c r="I146" s="41"/>
      <c r="J146" s="41" t="str">
        <f>IFERROR(__xludf.DUMMYFUNCTION("""COMPUTED_VALUE"""),"AICHIP02507011")</f>
        <v>AICHIP02507011</v>
      </c>
      <c r="K146" s="41" t="str">
        <f>IFERROR(__xludf.DUMMYFUNCTION("""COMPUTED_VALUE"""),"iPad")</f>
        <v>iPad</v>
      </c>
      <c r="L146" s="41" t="str">
        <f>IFERROR(__xludf.DUMMYFUNCTION("""COMPUTED_VALUE"""),"高竹映")</f>
        <v>高竹映</v>
      </c>
      <c r="M146" s="41" t="str">
        <f>IFERROR(__xludf.DUMMYFUNCTION("""COMPUTED_VALUE"""),"行銷營運中心")</f>
        <v>行銷營運中心</v>
      </c>
      <c r="N146" s="41" t="str">
        <f>IFERROR(__xludf.DUMMYFUNCTION("""COMPUTED_VALUE"""),"銷售營運部")</f>
        <v>銷售營運部</v>
      </c>
      <c r="O146" s="41" t="str">
        <f>IFERROR(__xludf.DUMMYFUNCTION("""COMPUTED_VALUE"""),"銷售顧問團隊")</f>
        <v>銷售顧問團隊</v>
      </c>
      <c r="P146" s="68">
        <f>IFERROR(__xludf.DUMMYFUNCTION("""COMPUTED_VALUE"""),218.0)</f>
        <v>218</v>
      </c>
      <c r="Q146" s="68">
        <f>IFERROR(__xludf.DUMMYFUNCTION("""COMPUTED_VALUE"""),218.0)</f>
        <v>218</v>
      </c>
      <c r="R146" s="68">
        <f>IFERROR(__xludf.DUMMYFUNCTION("""COMPUTED_VALUE"""),218.0)</f>
        <v>218</v>
      </c>
      <c r="S146" s="68">
        <f>IFERROR(__xludf.DUMMYFUNCTION("""COMPUTED_VALUE"""),218.0)</f>
        <v>218</v>
      </c>
      <c r="T146" s="68">
        <f>IFERROR(__xludf.DUMMYFUNCTION("""COMPUTED_VALUE"""),218.0)</f>
        <v>218</v>
      </c>
      <c r="U146" s="68">
        <f>IFERROR(__xludf.DUMMYFUNCTION("""COMPUTED_VALUE"""),218.0)</f>
        <v>218</v>
      </c>
      <c r="V146" s="68">
        <f>IFERROR(__xludf.DUMMYFUNCTION("""COMPUTED_VALUE"""),218.0)</f>
        <v>218</v>
      </c>
      <c r="W146" s="68">
        <f>IFERROR(__xludf.DUMMYFUNCTION("""COMPUTED_VALUE"""),218.0)</f>
        <v>218</v>
      </c>
      <c r="X146" s="68">
        <f>IFERROR(__xludf.DUMMYFUNCTION("""COMPUTED_VALUE"""),218.0)</f>
        <v>218</v>
      </c>
      <c r="Y146" s="68">
        <f>IFERROR(__xludf.DUMMYFUNCTION("""COMPUTED_VALUE"""),218.0)</f>
        <v>218</v>
      </c>
      <c r="Z146" s="68">
        <f>IFERROR(__xludf.DUMMYFUNCTION("""COMPUTED_VALUE"""),218.0)</f>
        <v>218</v>
      </c>
      <c r="AA146" s="68">
        <f>IFERROR(__xludf.DUMMYFUNCTION("""COMPUTED_VALUE"""),218.0)</f>
        <v>218</v>
      </c>
      <c r="AB146" s="68">
        <f>IFERROR(__xludf.DUMMYFUNCTION("""COMPUTED_VALUE"""),2616.0)</f>
        <v>2616</v>
      </c>
    </row>
    <row r="147">
      <c r="B147" s="41"/>
      <c r="C147" s="41"/>
      <c r="D147" s="41"/>
      <c r="E147" s="41"/>
      <c r="F147" s="41"/>
      <c r="G147" s="41"/>
      <c r="H147" s="41"/>
      <c r="I147" s="41"/>
      <c r="J147" s="41" t="str">
        <f>IFERROR(__xludf.DUMMYFUNCTION("""COMPUTED_VALUE"""),"AICHIP02507010")</f>
        <v>AICHIP02507010</v>
      </c>
      <c r="K147" s="41" t="str">
        <f>IFERROR(__xludf.DUMMYFUNCTION("""COMPUTED_VALUE"""),"iPad")</f>
        <v>iPad</v>
      </c>
      <c r="L147" s="41" t="str">
        <f>IFERROR(__xludf.DUMMYFUNCTION("""COMPUTED_VALUE"""),"高宇成")</f>
        <v>高宇成</v>
      </c>
      <c r="M147" s="41" t="str">
        <f>IFERROR(__xludf.DUMMYFUNCTION("""COMPUTED_VALUE"""),"研發中心")</f>
        <v>研發中心</v>
      </c>
      <c r="N147" s="41" t="str">
        <f>IFERROR(__xludf.DUMMYFUNCTION("""COMPUTED_VALUE"""),"軟體工程部")</f>
        <v>軟體工程部</v>
      </c>
      <c r="O147" s="41" t="str">
        <f>IFERROR(__xludf.DUMMYFUNCTION("""COMPUTED_VALUE"""),"IOS團隊")</f>
        <v>IOS團隊</v>
      </c>
      <c r="P147" s="68">
        <f>IFERROR(__xludf.DUMMYFUNCTION("""COMPUTED_VALUE"""),218.0)</f>
        <v>218</v>
      </c>
      <c r="Q147" s="68">
        <f>IFERROR(__xludf.DUMMYFUNCTION("""COMPUTED_VALUE"""),218.0)</f>
        <v>218</v>
      </c>
      <c r="R147" s="68">
        <f>IFERROR(__xludf.DUMMYFUNCTION("""COMPUTED_VALUE"""),218.0)</f>
        <v>218</v>
      </c>
      <c r="S147" s="68">
        <f>IFERROR(__xludf.DUMMYFUNCTION("""COMPUTED_VALUE"""),218.0)</f>
        <v>218</v>
      </c>
      <c r="T147" s="68">
        <f>IFERROR(__xludf.DUMMYFUNCTION("""COMPUTED_VALUE"""),218.0)</f>
        <v>218</v>
      </c>
      <c r="U147" s="68">
        <f>IFERROR(__xludf.DUMMYFUNCTION("""COMPUTED_VALUE"""),218.0)</f>
        <v>218</v>
      </c>
      <c r="V147" s="68">
        <f>IFERROR(__xludf.DUMMYFUNCTION("""COMPUTED_VALUE"""),218.0)</f>
        <v>218</v>
      </c>
      <c r="W147" s="68">
        <f>IFERROR(__xludf.DUMMYFUNCTION("""COMPUTED_VALUE"""),218.0)</f>
        <v>218</v>
      </c>
      <c r="X147" s="68">
        <f>IFERROR(__xludf.DUMMYFUNCTION("""COMPUTED_VALUE"""),218.0)</f>
        <v>218</v>
      </c>
      <c r="Y147" s="68">
        <f>IFERROR(__xludf.DUMMYFUNCTION("""COMPUTED_VALUE"""),218.0)</f>
        <v>218</v>
      </c>
      <c r="Z147" s="68">
        <f>IFERROR(__xludf.DUMMYFUNCTION("""COMPUTED_VALUE"""),218.0)</f>
        <v>218</v>
      </c>
      <c r="AA147" s="68">
        <f>IFERROR(__xludf.DUMMYFUNCTION("""COMPUTED_VALUE"""),218.0)</f>
        <v>218</v>
      </c>
      <c r="AB147" s="68">
        <f>IFERROR(__xludf.DUMMYFUNCTION("""COMPUTED_VALUE"""),2616.0)</f>
        <v>2616</v>
      </c>
    </row>
    <row r="148">
      <c r="B148" s="41"/>
      <c r="C148" s="41"/>
      <c r="D148" s="41"/>
      <c r="E148" s="41"/>
      <c r="F148" s="41"/>
      <c r="G148" s="41"/>
      <c r="H148" s="41"/>
      <c r="I148" s="41"/>
      <c r="J148" s="41" t="str">
        <f>IFERROR(__xludf.DUMMYFUNCTION("""COMPUTED_VALUE"""),"AICHIP02507014")</f>
        <v>AICHIP02507014</v>
      </c>
      <c r="K148" s="41" t="str">
        <f>IFERROR(__xludf.DUMMYFUNCTION("""COMPUTED_VALUE"""),"iPad")</f>
        <v>iPad</v>
      </c>
      <c r="L148" s="41" t="str">
        <f>IFERROR(__xludf.DUMMYFUNCTION("""COMPUTED_VALUE"""),"巫喬婷")</f>
        <v>巫喬婷</v>
      </c>
      <c r="M148" s="41" t="str">
        <f>IFERROR(__xludf.DUMMYFUNCTION("""COMPUTED_VALUE"""),"行銷營運中心")</f>
        <v>行銷營運中心</v>
      </c>
      <c r="N148" s="41" t="str">
        <f>IFERROR(__xludf.DUMMYFUNCTION("""COMPUTED_VALUE"""),"銷售營運部")</f>
        <v>銷售營運部</v>
      </c>
      <c r="O148" s="41" t="str">
        <f>IFERROR(__xludf.DUMMYFUNCTION("""COMPUTED_VALUE"""),"銷售顧問團隊")</f>
        <v>銷售顧問團隊</v>
      </c>
      <c r="P148" s="68">
        <f>IFERROR(__xludf.DUMMYFUNCTION("""COMPUTED_VALUE"""),218.0)</f>
        <v>218</v>
      </c>
      <c r="Q148" s="68">
        <f>IFERROR(__xludf.DUMMYFUNCTION("""COMPUTED_VALUE"""),218.0)</f>
        <v>218</v>
      </c>
      <c r="R148" s="68">
        <f>IFERROR(__xludf.DUMMYFUNCTION("""COMPUTED_VALUE"""),218.0)</f>
        <v>218</v>
      </c>
      <c r="S148" s="68">
        <f>IFERROR(__xludf.DUMMYFUNCTION("""COMPUTED_VALUE"""),218.0)</f>
        <v>218</v>
      </c>
      <c r="T148" s="68">
        <f>IFERROR(__xludf.DUMMYFUNCTION("""COMPUTED_VALUE"""),218.0)</f>
        <v>218</v>
      </c>
      <c r="U148" s="68">
        <f>IFERROR(__xludf.DUMMYFUNCTION("""COMPUTED_VALUE"""),218.0)</f>
        <v>218</v>
      </c>
      <c r="V148" s="68">
        <f>IFERROR(__xludf.DUMMYFUNCTION("""COMPUTED_VALUE"""),218.0)</f>
        <v>218</v>
      </c>
      <c r="W148" s="68">
        <f>IFERROR(__xludf.DUMMYFUNCTION("""COMPUTED_VALUE"""),218.0)</f>
        <v>218</v>
      </c>
      <c r="X148" s="68">
        <f>IFERROR(__xludf.DUMMYFUNCTION("""COMPUTED_VALUE"""),218.0)</f>
        <v>218</v>
      </c>
      <c r="Y148" s="68">
        <f>IFERROR(__xludf.DUMMYFUNCTION("""COMPUTED_VALUE"""),218.0)</f>
        <v>218</v>
      </c>
      <c r="Z148" s="68">
        <f>IFERROR(__xludf.DUMMYFUNCTION("""COMPUTED_VALUE"""),218.0)</f>
        <v>218</v>
      </c>
      <c r="AA148" s="68">
        <f>IFERROR(__xludf.DUMMYFUNCTION("""COMPUTED_VALUE"""),218.0)</f>
        <v>218</v>
      </c>
      <c r="AB148" s="68">
        <f>IFERROR(__xludf.DUMMYFUNCTION("""COMPUTED_VALUE"""),2616.0)</f>
        <v>2616</v>
      </c>
    </row>
    <row r="149">
      <c r="B149" s="41"/>
      <c r="C149" s="41"/>
      <c r="D149" s="41"/>
      <c r="E149" s="41"/>
      <c r="F149" s="41"/>
      <c r="G149" s="41"/>
      <c r="H149" s="41"/>
      <c r="I149" s="41"/>
      <c r="J149" s="41" t="str">
        <f>IFERROR(__xludf.DUMMYFUNCTION("""COMPUTED_VALUE"""),"AICHMA02508006")</f>
        <v>AICHMA02508006</v>
      </c>
      <c r="K149" s="41" t="str">
        <f>IFERROR(__xludf.DUMMYFUNCTION("""COMPUTED_VALUE"""),"Macbook Air")</f>
        <v>Macbook Air</v>
      </c>
      <c r="L149" s="41" t="str">
        <f>IFERROR(__xludf.DUMMYFUNCTION("""COMPUTED_VALUE"""),"詹惟婷")</f>
        <v>詹惟婷</v>
      </c>
      <c r="M149" s="41" t="str">
        <f>IFERROR(__xludf.DUMMYFUNCTION("""COMPUTED_VALUE"""),"行銷營運中心")</f>
        <v>行銷營運中心</v>
      </c>
      <c r="N149" s="41" t="str">
        <f>IFERROR(__xludf.DUMMYFUNCTION("""COMPUTED_VALUE"""),"社群關係部")</f>
        <v>社群關係部</v>
      </c>
      <c r="O149" s="41"/>
      <c r="P149" s="68">
        <f>IFERROR(__xludf.DUMMYFUNCTION("""COMPUTED_VALUE"""),641.0)</f>
        <v>641</v>
      </c>
      <c r="Q149" s="68">
        <f>IFERROR(__xludf.DUMMYFUNCTION("""COMPUTED_VALUE"""),641.0)</f>
        <v>641</v>
      </c>
      <c r="R149" s="68">
        <f>IFERROR(__xludf.DUMMYFUNCTION("""COMPUTED_VALUE"""),641.0)</f>
        <v>641</v>
      </c>
      <c r="S149" s="68">
        <f>IFERROR(__xludf.DUMMYFUNCTION("""COMPUTED_VALUE"""),641.0)</f>
        <v>641</v>
      </c>
      <c r="T149" s="68">
        <f>IFERROR(__xludf.DUMMYFUNCTION("""COMPUTED_VALUE"""),641.0)</f>
        <v>641</v>
      </c>
      <c r="U149" s="68">
        <f>IFERROR(__xludf.DUMMYFUNCTION("""COMPUTED_VALUE"""),641.0)</f>
        <v>641</v>
      </c>
      <c r="V149" s="68">
        <f>IFERROR(__xludf.DUMMYFUNCTION("""COMPUTED_VALUE"""),641.0)</f>
        <v>641</v>
      </c>
      <c r="W149" s="68">
        <f>IFERROR(__xludf.DUMMYFUNCTION("""COMPUTED_VALUE"""),641.0)</f>
        <v>641</v>
      </c>
      <c r="X149" s="68">
        <f>IFERROR(__xludf.DUMMYFUNCTION("""COMPUTED_VALUE"""),641.0)</f>
        <v>641</v>
      </c>
      <c r="Y149" s="68">
        <f>IFERROR(__xludf.DUMMYFUNCTION("""COMPUTED_VALUE"""),641.0)</f>
        <v>641</v>
      </c>
      <c r="Z149" s="68">
        <f>IFERROR(__xludf.DUMMYFUNCTION("""COMPUTED_VALUE"""),641.0)</f>
        <v>641</v>
      </c>
      <c r="AA149" s="68">
        <f>IFERROR(__xludf.DUMMYFUNCTION("""COMPUTED_VALUE"""),641.0)</f>
        <v>641</v>
      </c>
      <c r="AB149" s="68">
        <f>IFERROR(__xludf.DUMMYFUNCTION("""COMPUTED_VALUE"""),7692.0)</f>
        <v>7692</v>
      </c>
    </row>
    <row r="150">
      <c r="B150" s="41"/>
      <c r="C150" s="41"/>
      <c r="D150" s="41"/>
      <c r="E150" s="41"/>
      <c r="F150" s="41"/>
      <c r="G150" s="41"/>
      <c r="H150" s="41"/>
      <c r="I150" s="41"/>
      <c r="J150" s="41" t="str">
        <f>IFERROR(__xludf.DUMMYFUNCTION("""COMPUTED_VALUE"""),"AICHMA02508004")</f>
        <v>AICHMA02508004</v>
      </c>
      <c r="K150" s="41" t="str">
        <f>IFERROR(__xludf.DUMMYFUNCTION("""COMPUTED_VALUE"""),"Macbook Air")</f>
        <v>Macbook Air</v>
      </c>
      <c r="L150" s="41" t="str">
        <f>IFERROR(__xludf.DUMMYFUNCTION("""COMPUTED_VALUE"""),"林子翔")</f>
        <v>林子翔</v>
      </c>
      <c r="M150" s="41" t="str">
        <f>IFERROR(__xludf.DUMMYFUNCTION("""COMPUTED_VALUE"""),"行銷營運中心")</f>
        <v>行銷營運中心</v>
      </c>
      <c r="N150" s="41" t="str">
        <f>IFERROR(__xludf.DUMMYFUNCTION("""COMPUTED_VALUE"""),"銷售營運部")</f>
        <v>銷售營運部</v>
      </c>
      <c r="O150" s="41" t="str">
        <f>IFERROR(__xludf.DUMMYFUNCTION("""COMPUTED_VALUE"""),"銷售顧問團隊")</f>
        <v>銷售顧問團隊</v>
      </c>
      <c r="P150" s="68">
        <f>IFERROR(__xludf.DUMMYFUNCTION("""COMPUTED_VALUE"""),641.0)</f>
        <v>641</v>
      </c>
      <c r="Q150" s="68">
        <f>IFERROR(__xludf.DUMMYFUNCTION("""COMPUTED_VALUE"""),641.0)</f>
        <v>641</v>
      </c>
      <c r="R150" s="68">
        <f>IFERROR(__xludf.DUMMYFUNCTION("""COMPUTED_VALUE"""),641.0)</f>
        <v>641</v>
      </c>
      <c r="S150" s="68">
        <f>IFERROR(__xludf.DUMMYFUNCTION("""COMPUTED_VALUE"""),641.0)</f>
        <v>641</v>
      </c>
      <c r="T150" s="68">
        <f>IFERROR(__xludf.DUMMYFUNCTION("""COMPUTED_VALUE"""),641.0)</f>
        <v>641</v>
      </c>
      <c r="U150" s="68">
        <f>IFERROR(__xludf.DUMMYFUNCTION("""COMPUTED_VALUE"""),641.0)</f>
        <v>641</v>
      </c>
      <c r="V150" s="68">
        <f>IFERROR(__xludf.DUMMYFUNCTION("""COMPUTED_VALUE"""),641.0)</f>
        <v>641</v>
      </c>
      <c r="W150" s="68">
        <f>IFERROR(__xludf.DUMMYFUNCTION("""COMPUTED_VALUE"""),641.0)</f>
        <v>641</v>
      </c>
      <c r="X150" s="68">
        <f>IFERROR(__xludf.DUMMYFUNCTION("""COMPUTED_VALUE"""),641.0)</f>
        <v>641</v>
      </c>
      <c r="Y150" s="68">
        <f>IFERROR(__xludf.DUMMYFUNCTION("""COMPUTED_VALUE"""),641.0)</f>
        <v>641</v>
      </c>
      <c r="Z150" s="68">
        <f>IFERROR(__xludf.DUMMYFUNCTION("""COMPUTED_VALUE"""),641.0)</f>
        <v>641</v>
      </c>
      <c r="AA150" s="68">
        <f>IFERROR(__xludf.DUMMYFUNCTION("""COMPUTED_VALUE"""),641.0)</f>
        <v>641</v>
      </c>
      <c r="AB150" s="68">
        <f>IFERROR(__xludf.DUMMYFUNCTION("""COMPUTED_VALUE"""),7692.0)</f>
        <v>7692</v>
      </c>
    </row>
    <row r="151">
      <c r="B151" s="41"/>
      <c r="C151" s="41"/>
      <c r="D151" s="41"/>
      <c r="E151" s="41"/>
      <c r="F151" s="41"/>
      <c r="G151" s="41"/>
      <c r="H151" s="41"/>
      <c r="I151" s="41"/>
      <c r="J151" s="41" t="str">
        <f>IFERROR(__xludf.DUMMYFUNCTION("""COMPUTED_VALUE"""),"AICHMA02508005")</f>
        <v>AICHMA02508005</v>
      </c>
      <c r="K151" s="41" t="str">
        <f>IFERROR(__xludf.DUMMYFUNCTION("""COMPUTED_VALUE"""),"Macbook Air")</f>
        <v>Macbook Air</v>
      </c>
      <c r="L151" s="41" t="str">
        <f>IFERROR(__xludf.DUMMYFUNCTION("""COMPUTED_VALUE"""),"戴馨妤")</f>
        <v>戴馨妤</v>
      </c>
      <c r="M151" s="41" t="str">
        <f>IFERROR(__xludf.DUMMYFUNCTION("""COMPUTED_VALUE"""),"客戶價值中心")</f>
        <v>客戶價值中心</v>
      </c>
      <c r="N151" s="41" t="str">
        <f>IFERROR(__xludf.DUMMYFUNCTION("""COMPUTED_VALUE"""),"客戶關係管理部")</f>
        <v>客戶關係管理部</v>
      </c>
      <c r="O151" s="41" t="str">
        <f>IFERROR(__xludf.DUMMYFUNCTION("""COMPUTED_VALUE"""),"客服團隊 POS/OMO")</f>
        <v>客服團隊 POS/OMO</v>
      </c>
      <c r="P151" s="68">
        <f>IFERROR(__xludf.DUMMYFUNCTION("""COMPUTED_VALUE"""),641.0)</f>
        <v>641</v>
      </c>
      <c r="Q151" s="68">
        <f>IFERROR(__xludf.DUMMYFUNCTION("""COMPUTED_VALUE"""),641.0)</f>
        <v>641</v>
      </c>
      <c r="R151" s="68">
        <f>IFERROR(__xludf.DUMMYFUNCTION("""COMPUTED_VALUE"""),641.0)</f>
        <v>641</v>
      </c>
      <c r="S151" s="68">
        <f>IFERROR(__xludf.DUMMYFUNCTION("""COMPUTED_VALUE"""),641.0)</f>
        <v>641</v>
      </c>
      <c r="T151" s="68">
        <f>IFERROR(__xludf.DUMMYFUNCTION("""COMPUTED_VALUE"""),641.0)</f>
        <v>641</v>
      </c>
      <c r="U151" s="68">
        <f>IFERROR(__xludf.DUMMYFUNCTION("""COMPUTED_VALUE"""),641.0)</f>
        <v>641</v>
      </c>
      <c r="V151" s="68">
        <f>IFERROR(__xludf.DUMMYFUNCTION("""COMPUTED_VALUE"""),641.0)</f>
        <v>641</v>
      </c>
      <c r="W151" s="68">
        <f>IFERROR(__xludf.DUMMYFUNCTION("""COMPUTED_VALUE"""),641.0)</f>
        <v>641</v>
      </c>
      <c r="X151" s="68">
        <f>IFERROR(__xludf.DUMMYFUNCTION("""COMPUTED_VALUE"""),641.0)</f>
        <v>641</v>
      </c>
      <c r="Y151" s="68">
        <f>IFERROR(__xludf.DUMMYFUNCTION("""COMPUTED_VALUE"""),641.0)</f>
        <v>641</v>
      </c>
      <c r="Z151" s="68">
        <f>IFERROR(__xludf.DUMMYFUNCTION("""COMPUTED_VALUE"""),641.0)</f>
        <v>641</v>
      </c>
      <c r="AA151" s="68">
        <f>IFERROR(__xludf.DUMMYFUNCTION("""COMPUTED_VALUE"""),641.0)</f>
        <v>641</v>
      </c>
      <c r="AB151" s="68">
        <f>IFERROR(__xludf.DUMMYFUNCTION("""COMPUTED_VALUE"""),7692.0)</f>
        <v>7692</v>
      </c>
    </row>
    <row r="152">
      <c r="B152" s="41"/>
      <c r="C152" s="41"/>
      <c r="D152" s="41"/>
      <c r="E152" s="41"/>
      <c r="F152" s="41"/>
      <c r="G152" s="41"/>
      <c r="H152" s="41"/>
      <c r="I152" s="41"/>
      <c r="J152" s="41" t="str">
        <f>IFERROR(__xludf.DUMMYFUNCTION("""COMPUTED_VALUE"""),"AICHMA02508007")</f>
        <v>AICHMA02508007</v>
      </c>
      <c r="K152" s="41" t="str">
        <f>IFERROR(__xludf.DUMMYFUNCTION("""COMPUTED_VALUE"""),"Macbook Air")</f>
        <v>Macbook Air</v>
      </c>
      <c r="L152" s="41" t="str">
        <f>IFERROR(__xludf.DUMMYFUNCTION("""COMPUTED_VALUE"""),"陳書涵")</f>
        <v>陳書涵</v>
      </c>
      <c r="M152" s="41" t="str">
        <f>IFERROR(__xludf.DUMMYFUNCTION("""COMPUTED_VALUE"""),"策略資料中心")</f>
        <v>策略資料中心</v>
      </c>
      <c r="N152" s="41" t="str">
        <f>IFERROR(__xludf.DUMMYFUNCTION("""COMPUTED_VALUE"""),"策略規劃部")</f>
        <v>策略規劃部</v>
      </c>
      <c r="O152" s="41"/>
      <c r="P152" s="68">
        <f>IFERROR(__xludf.DUMMYFUNCTION("""COMPUTED_VALUE"""),641.0)</f>
        <v>641</v>
      </c>
      <c r="Q152" s="68">
        <f>IFERROR(__xludf.DUMMYFUNCTION("""COMPUTED_VALUE"""),641.0)</f>
        <v>641</v>
      </c>
      <c r="R152" s="68">
        <f>IFERROR(__xludf.DUMMYFUNCTION("""COMPUTED_VALUE"""),641.0)</f>
        <v>641</v>
      </c>
      <c r="S152" s="68">
        <f>IFERROR(__xludf.DUMMYFUNCTION("""COMPUTED_VALUE"""),641.0)</f>
        <v>641</v>
      </c>
      <c r="T152" s="68">
        <f>IFERROR(__xludf.DUMMYFUNCTION("""COMPUTED_VALUE"""),641.0)</f>
        <v>641</v>
      </c>
      <c r="U152" s="68">
        <f>IFERROR(__xludf.DUMMYFUNCTION("""COMPUTED_VALUE"""),641.0)</f>
        <v>641</v>
      </c>
      <c r="V152" s="68">
        <f>IFERROR(__xludf.DUMMYFUNCTION("""COMPUTED_VALUE"""),641.0)</f>
        <v>641</v>
      </c>
      <c r="W152" s="68">
        <f>IFERROR(__xludf.DUMMYFUNCTION("""COMPUTED_VALUE"""),641.0)</f>
        <v>641</v>
      </c>
      <c r="X152" s="68">
        <f>IFERROR(__xludf.DUMMYFUNCTION("""COMPUTED_VALUE"""),641.0)</f>
        <v>641</v>
      </c>
      <c r="Y152" s="68">
        <f>IFERROR(__xludf.DUMMYFUNCTION("""COMPUTED_VALUE"""),641.0)</f>
        <v>641</v>
      </c>
      <c r="Z152" s="68">
        <f>IFERROR(__xludf.DUMMYFUNCTION("""COMPUTED_VALUE"""),641.0)</f>
        <v>641</v>
      </c>
      <c r="AA152" s="68">
        <f>IFERROR(__xludf.DUMMYFUNCTION("""COMPUTED_VALUE"""),641.0)</f>
        <v>641</v>
      </c>
      <c r="AB152" s="68">
        <f>IFERROR(__xludf.DUMMYFUNCTION("""COMPUTED_VALUE"""),7692.0)</f>
        <v>7692</v>
      </c>
    </row>
    <row r="153">
      <c r="B153" s="41"/>
      <c r="C153" s="41"/>
      <c r="D153" s="41"/>
      <c r="E153" s="41"/>
      <c r="F153" s="41"/>
      <c r="G153" s="41"/>
      <c r="H153" s="41"/>
      <c r="I153" s="41"/>
      <c r="J153" s="41" t="str">
        <f>IFERROR(__xludf.DUMMYFUNCTION("""COMPUTED_VALUE"""),"AICHMP02509012")</f>
        <v>AICHMP02509012</v>
      </c>
      <c r="K153" s="41" t="str">
        <f>IFERROR(__xludf.DUMMYFUNCTION("""COMPUTED_VALUE"""),"Macbook Pro")</f>
        <v>Macbook Pro</v>
      </c>
      <c r="L153" s="41" t="str">
        <f>IFERROR(__xludf.DUMMYFUNCTION("""COMPUTED_VALUE"""),"張登皓")</f>
        <v>張登皓</v>
      </c>
      <c r="M153" s="41" t="str">
        <f>IFERROR(__xludf.DUMMYFUNCTION("""COMPUTED_VALUE"""),"研發中心")</f>
        <v>研發中心</v>
      </c>
      <c r="N153" s="41" t="str">
        <f>IFERROR(__xludf.DUMMYFUNCTION("""COMPUTED_VALUE"""),"軟體工程部")</f>
        <v>軟體工程部</v>
      </c>
      <c r="O153" s="41" t="str">
        <f>IFERROR(__xludf.DUMMYFUNCTION("""COMPUTED_VALUE"""),"前端團隊")</f>
        <v>前端團隊</v>
      </c>
      <c r="P153" s="68">
        <f>IFERROR(__xludf.DUMMYFUNCTION("""COMPUTED_VALUE"""),1815.0)</f>
        <v>1815</v>
      </c>
      <c r="Q153" s="68">
        <f>IFERROR(__xludf.DUMMYFUNCTION("""COMPUTED_VALUE"""),1815.0)</f>
        <v>1815</v>
      </c>
      <c r="R153" s="68">
        <f>IFERROR(__xludf.DUMMYFUNCTION("""COMPUTED_VALUE"""),1815.0)</f>
        <v>1815</v>
      </c>
      <c r="S153" s="68">
        <f>IFERROR(__xludf.DUMMYFUNCTION("""COMPUTED_VALUE"""),1815.0)</f>
        <v>1815</v>
      </c>
      <c r="T153" s="68">
        <f>IFERROR(__xludf.DUMMYFUNCTION("""COMPUTED_VALUE"""),1815.0)</f>
        <v>1815</v>
      </c>
      <c r="U153" s="68">
        <f>IFERROR(__xludf.DUMMYFUNCTION("""COMPUTED_VALUE"""),1815.0)</f>
        <v>1815</v>
      </c>
      <c r="V153" s="68">
        <f>IFERROR(__xludf.DUMMYFUNCTION("""COMPUTED_VALUE"""),1815.0)</f>
        <v>1815</v>
      </c>
      <c r="W153" s="68">
        <f>IFERROR(__xludf.DUMMYFUNCTION("""COMPUTED_VALUE"""),1815.0)</f>
        <v>1815</v>
      </c>
      <c r="X153" s="68">
        <f>IFERROR(__xludf.DUMMYFUNCTION("""COMPUTED_VALUE"""),1815.0)</f>
        <v>1815</v>
      </c>
      <c r="Y153" s="68">
        <f>IFERROR(__xludf.DUMMYFUNCTION("""COMPUTED_VALUE"""),1815.0)</f>
        <v>1815</v>
      </c>
      <c r="Z153" s="68">
        <f>IFERROR(__xludf.DUMMYFUNCTION("""COMPUTED_VALUE"""),1815.0)</f>
        <v>1815</v>
      </c>
      <c r="AA153" s="68">
        <f>IFERROR(__xludf.DUMMYFUNCTION("""COMPUTED_VALUE"""),1815.0)</f>
        <v>1815</v>
      </c>
      <c r="AB153" s="68">
        <f>IFERROR(__xludf.DUMMYFUNCTION("""COMPUTED_VALUE"""),21780.0)</f>
        <v>21780</v>
      </c>
    </row>
    <row r="154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 t="str">
        <f>IFERROR(__xludf.DUMMYFUNCTION("""COMPUTED_VALUE"""),"合計數")</f>
        <v>合計數</v>
      </c>
      <c r="P155" s="68">
        <f>IFERROR(__xludf.DUMMYFUNCTION("""COMPUTED_VALUE"""),193879.0)</f>
        <v>193879</v>
      </c>
      <c r="Q155" s="68">
        <f>IFERROR(__xludf.DUMMYFUNCTION("""COMPUTED_VALUE"""),190710.0)</f>
        <v>190710</v>
      </c>
      <c r="R155" s="68">
        <f>IFERROR(__xludf.DUMMYFUNCTION("""COMPUTED_VALUE"""),190448.0)</f>
        <v>190448</v>
      </c>
      <c r="S155" s="68">
        <f>IFERROR(__xludf.DUMMYFUNCTION("""COMPUTED_VALUE"""),182272.0)</f>
        <v>182272</v>
      </c>
      <c r="T155" s="68">
        <f>IFERROR(__xludf.DUMMYFUNCTION("""COMPUTED_VALUE"""),180033.0)</f>
        <v>180033</v>
      </c>
      <c r="U155" s="68">
        <f>IFERROR(__xludf.DUMMYFUNCTION("""COMPUTED_VALUE"""),179007.0)</f>
        <v>179007</v>
      </c>
      <c r="V155" s="68">
        <f>IFERROR(__xludf.DUMMYFUNCTION("""COMPUTED_VALUE"""),176616.0)</f>
        <v>176616</v>
      </c>
      <c r="W155" s="68">
        <f>IFERROR(__xludf.DUMMYFUNCTION("""COMPUTED_VALUE"""),176616.0)</f>
        <v>176616</v>
      </c>
      <c r="X155" s="68">
        <f>IFERROR(__xludf.DUMMYFUNCTION("""COMPUTED_VALUE"""),175906.0)</f>
        <v>175906</v>
      </c>
      <c r="Y155" s="68">
        <f>IFERROR(__xludf.DUMMYFUNCTION("""COMPUTED_VALUE"""),166278.0)</f>
        <v>166278</v>
      </c>
      <c r="Z155" s="68">
        <f>IFERROR(__xludf.DUMMYFUNCTION("""COMPUTED_VALUE"""),156650.0)</f>
        <v>156650</v>
      </c>
      <c r="AA155" s="68">
        <f>IFERROR(__xludf.DUMMYFUNCTION("""COMPUTED_VALUE"""),155217.0)</f>
        <v>155217</v>
      </c>
      <c r="AB155" s="68">
        <f>IFERROR(__xludf.DUMMYFUNCTION("""COMPUTED_VALUE"""),2123632.0)</f>
        <v>2123632</v>
      </c>
    </row>
    <row r="156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84"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1"/>
    </row>
    <row r="185"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1"/>
    </row>
    <row r="186"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</row>
    <row r="187"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</row>
    <row r="188"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</row>
    <row r="189"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</row>
    <row r="190"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</row>
    <row r="191"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</row>
    <row r="192"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</row>
    <row r="193"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</row>
    <row r="194"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</row>
    <row r="195"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</row>
    <row r="196"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</row>
    <row r="197"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</row>
    <row r="198"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</row>
    <row r="199"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</row>
    <row r="200"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</row>
    <row r="201"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</row>
    <row r="202"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</row>
    <row r="203"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</row>
    <row r="204"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</row>
    <row r="206"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1" max="21" width="92.13"/>
  </cols>
  <sheetData>
    <row r="1">
      <c r="B1" s="41" t="str">
        <f>IFERROR(__xludf.DUMMYFUNCTION("IMPORTRANGE(""https://docs.google.com/spreadsheets/d/1D7zntyA3r2ZrAAhZiCjjSVrtI4-uCXkrglxCIHZP9AE/edit?gid=0#gid=0"",""2026 預付費用分攤!A1:AY"")"),"")</f>
        <v/>
      </c>
      <c r="C1" s="41"/>
      <c r="D1" s="41"/>
      <c r="E1" s="41"/>
      <c r="F1" s="41"/>
      <c r="G1" s="41"/>
      <c r="H1" s="41"/>
      <c r="I1" s="41"/>
      <c r="J1" s="41"/>
      <c r="K1" s="41"/>
      <c r="L1" s="41" t="str">
        <f>IFERROR(__xludf.DUMMYFUNCTION("""COMPUTED_VALUE"""),"資廚管理顧問股份有限公司")</f>
        <v>資廚管理顧問股份有限公司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</row>
    <row r="2">
      <c r="B2" s="41"/>
      <c r="C2" s="41"/>
      <c r="D2" s="41"/>
      <c r="E2" s="41"/>
      <c r="F2" s="41"/>
      <c r="G2" s="41"/>
      <c r="H2" s="41"/>
      <c r="I2" s="41"/>
      <c r="J2" s="41"/>
      <c r="K2" s="41"/>
      <c r="L2" s="41" t="str">
        <f>IFERROR(__xludf.DUMMYFUNCTION("""COMPUTED_VALUE"""),"預付費用科餘表")</f>
        <v>預付費用科餘表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>
      <c r="B3" s="41"/>
      <c r="C3" s="41"/>
      <c r="D3" s="41"/>
      <c r="E3" s="41"/>
      <c r="F3" s="41"/>
      <c r="G3" s="41"/>
      <c r="H3" s="41"/>
      <c r="I3" s="41"/>
      <c r="J3" s="41"/>
      <c r="K3" s="41"/>
      <c r="L3" s="66">
        <f>IFERROR(__xludf.DUMMYFUNCTION("""COMPUTED_VALUE"""),45930.0)</f>
        <v>45930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</row>
    <row r="4">
      <c r="B4" s="41" t="str">
        <f>IFERROR(__xludf.DUMMYFUNCTION("""COMPUTED_VALUE"""),"子公司")</f>
        <v>子公司</v>
      </c>
      <c r="C4" s="41" t="str">
        <f>IFERROR(__xludf.DUMMYFUNCTION("""COMPUTED_VALUE"""),"事業單位")</f>
        <v>事業單位</v>
      </c>
      <c r="D4" s="41" t="str">
        <f>IFERROR(__xludf.DUMMYFUNCTION("""COMPUTED_VALUE"""),"Si 編號")</f>
        <v>Si 編號</v>
      </c>
      <c r="E4" s="41" t="str">
        <f>IFERROR(__xludf.DUMMYFUNCTION("""COMPUTED_VALUE"""),"TA 編號")</f>
        <v>TA 編號</v>
      </c>
      <c r="F4" s="41" t="str">
        <f>IFERROR(__xludf.DUMMYFUNCTION("""COMPUTED_VALUE"""),"價值鏈專案預算代號")</f>
        <v>價值鏈專案預算代號</v>
      </c>
      <c r="G4" s="41" t="str">
        <f>IFERROR(__xludf.DUMMYFUNCTION("""COMPUTED_VALUE"""),"費用單位")</f>
        <v>費用單位</v>
      </c>
      <c r="H4" s="41" t="str">
        <f>IFERROR(__xludf.DUMMYFUNCTION("""COMPUTED_VALUE"""),"費用類型")</f>
        <v>費用類型</v>
      </c>
      <c r="I4" s="41" t="str">
        <f>IFERROR(__xludf.DUMMYFUNCTION("""COMPUTED_VALUE"""),"#")</f>
        <v>#</v>
      </c>
      <c r="J4" s="41" t="str">
        <f>IFERROR(__xludf.DUMMYFUNCTION("""COMPUTED_VALUE"""),"通用/專用軟體
(共通費用)")</f>
        <v>通用/專用軟體
(共通費用)</v>
      </c>
      <c r="K4" s="41" t="str">
        <f>IFERROR(__xludf.DUMMYFUNCTION("""COMPUTED_VALUE"""),"尚未預付，但 2026 年應該會續約的項目")</f>
        <v>尚未預付，但 2026 年應該會續約的項目</v>
      </c>
      <c r="L4" s="41" t="str">
        <f>IFERROR(__xludf.DUMMYFUNCTION("""COMPUTED_VALUE"""),"Account")</f>
        <v>Account</v>
      </c>
      <c r="M4" s="41" t="str">
        <f>IFERROR(__xludf.DUMMYFUNCTION("""COMPUTED_VALUE"""),"Type")</f>
        <v>Type</v>
      </c>
      <c r="N4" s="70" t="str">
        <f>IFERROR(__xludf.DUMMYFUNCTION("""COMPUTED_VALUE"""),"Date")</f>
        <v>Date</v>
      </c>
      <c r="O4" s="41" t="str">
        <f>IFERROR(__xludf.DUMMYFUNCTION("""COMPUTED_VALUE"""),"Document Number")</f>
        <v>Document Number</v>
      </c>
      <c r="P4" s="41" t="str">
        <f>IFERROR(__xludf.DUMMYFUNCTION("""COMPUTED_VALUE"""),"Transaction Number")</f>
        <v>Transaction Number</v>
      </c>
      <c r="Q4" s="41" t="str">
        <f>IFERROR(__xludf.DUMMYFUNCTION("""COMPUTED_VALUE"""),"Name")</f>
        <v>Name</v>
      </c>
      <c r="R4" s="41" t="str">
        <f>IFERROR(__xludf.DUMMYFUNCTION("""COMPUTED_VALUE"""),"Vendor")</f>
        <v>Vendor</v>
      </c>
      <c r="S4" s="41" t="str">
        <f>IFERROR(__xludf.DUMMYFUNCTION("""COMPUTED_VALUE"""),"Vendor Name")</f>
        <v>Vendor Name</v>
      </c>
      <c r="T4" s="41" t="str">
        <f>IFERROR(__xludf.DUMMYFUNCTION("""COMPUTED_VALUE"""),"Memo")</f>
        <v>Memo</v>
      </c>
      <c r="U4" s="41" t="str">
        <f>IFERROR(__xludf.DUMMYFUNCTION("""COMPUTED_VALUE"""),"Description")</f>
        <v>Description</v>
      </c>
      <c r="V4" s="41" t="str">
        <f>IFERROR(__xludf.DUMMYFUNCTION("""COMPUTED_VALUE"""),"Currency")</f>
        <v>Currency</v>
      </c>
      <c r="W4" s="41" t="str">
        <f>IFERROR(__xludf.DUMMYFUNCTION("""COMPUTED_VALUE"""),"Amount (Foreign Currency)")</f>
        <v>Amount (Foreign Currency)</v>
      </c>
      <c r="X4" s="41" t="str">
        <f>IFERROR(__xludf.DUMMYFUNCTION("""COMPUTED_VALUE"""),"Exchange Rate")</f>
        <v>Exchange Rate</v>
      </c>
      <c r="Y4" s="41" t="str">
        <f>IFERROR(__xludf.DUMMYFUNCTION("""COMPUTED_VALUE"""),"未攤銷餘額")</f>
        <v>未攤銷餘額</v>
      </c>
      <c r="Z4" s="41" t="str">
        <f>IFERROR(__xludf.DUMMYFUNCTION("""COMPUTED_VALUE"""),"會計科目")</f>
        <v>會計科目</v>
      </c>
      <c r="AA4" s="41" t="str">
        <f>IFERROR(__xludf.DUMMYFUNCTION("""COMPUTED_VALUE"""),"2025
中心")</f>
        <v>2025
中心</v>
      </c>
      <c r="AB4" s="41" t="str">
        <f>IFERROR(__xludf.DUMMYFUNCTION("""COMPUTED_VALUE"""),"2025
Department")</f>
        <v>2025
Department</v>
      </c>
      <c r="AC4" s="41" t="str">
        <f>IFERROR(__xludf.DUMMYFUNCTION("""COMPUTED_VALUE"""),"2025
Product Line")</f>
        <v>2025
Product Line</v>
      </c>
      <c r="AD4" s="41" t="str">
        <f>IFERROR(__xludf.DUMMYFUNCTION("""COMPUTED_VALUE"""),"2025
KPID")</f>
        <v>2025
KPID</v>
      </c>
      <c r="AE4" s="41" t="str">
        <f>IFERROR(__xludf.DUMMYFUNCTION("""COMPUTED_VALUE"""),"2025
TAID")</f>
        <v>2025
TAID</v>
      </c>
      <c r="AF4" s="41" t="str">
        <f>IFERROR(__xludf.DUMMYFUNCTION("""COMPUTED_VALUE"""),"原預付總額")</f>
        <v>原預付總額</v>
      </c>
      <c r="AG4" s="41" t="str">
        <f>IFERROR(__xludf.DUMMYFUNCTION("""COMPUTED_VALUE"""),"攤提期數 (月)")</f>
        <v>攤提期數 (月)</v>
      </c>
      <c r="AH4" s="41" t="str">
        <f>IFERROR(__xludf.DUMMYFUNCTION("""COMPUTED_VALUE"""),"截至本月累計攤銷金額")</f>
        <v>截至本月累計攤銷金額</v>
      </c>
      <c r="AI4" s="41" t="str">
        <f>IFERROR(__xludf.DUMMYFUNCTION("""COMPUTED_VALUE"""),"截至前一年度累計數")</f>
        <v>截至前一年度累計數</v>
      </c>
      <c r="AJ4" s="41">
        <f>IFERROR(__xludf.DUMMYFUNCTION("""COMPUTED_VALUE"""),202501.0)</f>
        <v>202501</v>
      </c>
      <c r="AK4" s="41">
        <f>IFERROR(__xludf.DUMMYFUNCTION("""COMPUTED_VALUE"""),202502.0)</f>
        <v>202502</v>
      </c>
      <c r="AL4" s="41">
        <f>IFERROR(__xludf.DUMMYFUNCTION("""COMPUTED_VALUE"""),202503.0)</f>
        <v>202503</v>
      </c>
      <c r="AM4" s="41">
        <f>IFERROR(__xludf.DUMMYFUNCTION("""COMPUTED_VALUE"""),202504.0)</f>
        <v>202504</v>
      </c>
      <c r="AN4" s="41">
        <f>IFERROR(__xludf.DUMMYFUNCTION("""COMPUTED_VALUE"""),202505.0)</f>
        <v>202505</v>
      </c>
      <c r="AO4" s="41">
        <f>IFERROR(__xludf.DUMMYFUNCTION("""COMPUTED_VALUE"""),202506.0)</f>
        <v>202506</v>
      </c>
      <c r="AP4" s="41">
        <f>IFERROR(__xludf.DUMMYFUNCTION("""COMPUTED_VALUE"""),202507.0)</f>
        <v>202507</v>
      </c>
      <c r="AQ4" s="41">
        <f>IFERROR(__xludf.DUMMYFUNCTION("""COMPUTED_VALUE"""),202508.0)</f>
        <v>202508</v>
      </c>
      <c r="AR4" s="41">
        <f>IFERROR(__xludf.DUMMYFUNCTION("""COMPUTED_VALUE"""),202509.0)</f>
        <v>202509</v>
      </c>
      <c r="AS4" s="41">
        <f>IFERROR(__xludf.DUMMYFUNCTION("""COMPUTED_VALUE"""),202510.0)</f>
        <v>202510</v>
      </c>
      <c r="AT4" s="41">
        <f>IFERROR(__xludf.DUMMYFUNCTION("""COMPUTED_VALUE"""),202511.0)</f>
        <v>202511</v>
      </c>
      <c r="AU4" s="41">
        <f>IFERROR(__xludf.DUMMYFUNCTION("""COMPUTED_VALUE"""),202512.0)</f>
        <v>202512</v>
      </c>
      <c r="AV4" s="41">
        <f>IFERROR(__xludf.DUMMYFUNCTION("""COMPUTED_VALUE"""),202601.0)</f>
        <v>202601</v>
      </c>
      <c r="AW4" s="41">
        <f>IFERROR(__xludf.DUMMYFUNCTION("""COMPUTED_VALUE"""),202602.0)</f>
        <v>202602</v>
      </c>
      <c r="AX4" s="41">
        <f>IFERROR(__xludf.DUMMYFUNCTION("""COMPUTED_VALUE"""),202603.0)</f>
        <v>202603</v>
      </c>
      <c r="AY4" s="41">
        <f>IFERROR(__xludf.DUMMYFUNCTION("""COMPUTED_VALUE"""),202604.0)</f>
        <v>202604</v>
      </c>
      <c r="AZ4" s="41">
        <f>IFERROR(__xludf.DUMMYFUNCTION("""COMPUTED_VALUE"""),202605.0)</f>
        <v>202605</v>
      </c>
    </row>
    <row r="5">
      <c r="B5" s="41" t="str">
        <f>IFERROR(__xludf.DUMMYFUNCTION("""COMPUTED_VALUE"""),"TW")</f>
        <v>TW</v>
      </c>
      <c r="C5" s="41" t="str">
        <f>IFERROR(__xludf.DUMMYFUNCTION("""COMPUTED_VALUE"""),"Corporate")</f>
        <v>Corporate</v>
      </c>
      <c r="D5" s="41" t="str">
        <f>IFERROR(__xludf.DUMMYFUNCTION("""COMPUTED_VALUE"""),"Corporation")</f>
        <v>Corporation</v>
      </c>
      <c r="E5" s="41" t="str">
        <f>IFERROR(__xludf.DUMMYFUNCTION("""COMPUTED_VALUE"""),"Corporation")</f>
        <v>Corporation</v>
      </c>
      <c r="F5" s="41"/>
      <c r="G5" s="41"/>
      <c r="H5" s="41" t="str">
        <f>IFERROR(__xludf.DUMMYFUNCTION("""COMPUTED_VALUE"""),"人事費用")</f>
        <v>人事費用</v>
      </c>
      <c r="I5" s="41">
        <f>IFERROR(__xludf.DUMMYFUNCTION("""COMPUTED_VALUE"""),1.0)</f>
        <v>1</v>
      </c>
      <c r="J5" s="41"/>
      <c r="K5" s="41" t="str">
        <f>IFERROR(__xludf.DUMMYFUNCTION("""COMPUTED_VALUE"""),"Y")</f>
        <v>Y</v>
      </c>
      <c r="L5" s="41"/>
      <c r="M5" s="41" t="str">
        <f>IFERROR(__xludf.DUMMYFUNCTION("""COMPUTED_VALUE"""),"Bill")</f>
        <v>Bill</v>
      </c>
      <c r="N5" s="66">
        <f>IFERROR(__xludf.DUMMYFUNCTION("""COMPUTED_VALUE"""),44225.0)</f>
        <v>44225</v>
      </c>
      <c r="O5" s="41">
        <f>IFERROR(__xludf.DUMMYFUNCTION("""COMPUTED_VALUE"""),2429.0)</f>
        <v>2429</v>
      </c>
      <c r="P5" s="41"/>
      <c r="Q5" s="41"/>
      <c r="R5" s="41"/>
      <c r="S5" s="41"/>
      <c r="T5" s="41"/>
      <c r="U5" s="41" t="str">
        <f>IFERROR(__xludf.DUMMYFUNCTION("""COMPUTED_VALUE"""),"白永楨 11001 網域名稱註冊費 (2021/1/1-2025/12/31)	")</f>
        <v>白永楨 11001 網域名稱註冊費 (2021/1/1-2025/12/31)	</v>
      </c>
      <c r="V5" s="41"/>
      <c r="W5" s="41"/>
      <c r="X5" s="41"/>
      <c r="Y5" s="71">
        <f>IFERROR(__xludf.DUMMYFUNCTION("""COMPUTED_VALUE"""),1291.0)</f>
        <v>1291</v>
      </c>
      <c r="Z5" s="41">
        <f>IFERROR(__xludf.DUMMYFUNCTION("""COMPUTED_VALUE"""),613299.0)</f>
        <v>613299</v>
      </c>
      <c r="AA5" s="41" t="str">
        <f>IFERROR(__xludf.DUMMYFUNCTION("""COMPUTED_VALUE"""),"管理中心")</f>
        <v>管理中心</v>
      </c>
      <c r="AB5" s="70" t="str">
        <f>IFERROR(__xludf.DUMMYFUNCTION("""COMPUTED_VALUE"""),"執行長室 : 管理中心 : 資訊部")</f>
        <v>執行長室 : 管理中心 : 資訊部</v>
      </c>
      <c r="AC5" s="70" t="str">
        <f>IFERROR(__xludf.DUMMYFUNCTION("""COMPUTED_VALUE"""),"No_Product_Line")</f>
        <v>No_Product_Line</v>
      </c>
      <c r="AD5" s="70" t="str">
        <f>IFERROR(__xludf.DUMMYFUNCTION("""COMPUTED_VALUE"""),"Baseline")</f>
        <v>Baseline</v>
      </c>
      <c r="AE5" s="70" t="str">
        <f>IFERROR(__xludf.DUMMYFUNCTION("""COMPUTED_VALUE"""),"Baseline")</f>
        <v>Baseline</v>
      </c>
      <c r="AF5" s="71">
        <f>IFERROR(__xludf.DUMMYFUNCTION("""COMPUTED_VALUE"""),9461.0)</f>
        <v>9461</v>
      </c>
      <c r="AG5" s="71">
        <f>IFERROR(__xludf.DUMMYFUNCTION("""COMPUTED_VALUE"""),60.0)</f>
        <v>60</v>
      </c>
      <c r="AH5" s="71">
        <f>IFERROR(__xludf.DUMMYFUNCTION("""COMPUTED_VALUE"""),8170.0)</f>
        <v>8170</v>
      </c>
      <c r="AI5" s="71">
        <f>IFERROR(__xludf.DUMMYFUNCTION("""COMPUTED_VALUE"""),4300.0)</f>
        <v>4300</v>
      </c>
      <c r="AJ5" s="71">
        <f>IFERROR(__xludf.DUMMYFUNCTION("""COMPUTED_VALUE"""),430.0)</f>
        <v>430</v>
      </c>
      <c r="AK5" s="71">
        <f>IFERROR(__xludf.DUMMYFUNCTION("""COMPUTED_VALUE"""),430.0)</f>
        <v>430</v>
      </c>
      <c r="AL5" s="71">
        <f>IFERROR(__xludf.DUMMYFUNCTION("""COMPUTED_VALUE"""),430.0)</f>
        <v>430</v>
      </c>
      <c r="AM5" s="71">
        <f>IFERROR(__xludf.DUMMYFUNCTION("""COMPUTED_VALUE"""),430.0)</f>
        <v>430</v>
      </c>
      <c r="AN5" s="71">
        <f>IFERROR(__xludf.DUMMYFUNCTION("""COMPUTED_VALUE"""),430.0)</f>
        <v>430</v>
      </c>
      <c r="AO5" s="71">
        <f>IFERROR(__xludf.DUMMYFUNCTION("""COMPUTED_VALUE"""),430.0)</f>
        <v>430</v>
      </c>
      <c r="AP5" s="71">
        <f>IFERROR(__xludf.DUMMYFUNCTION("""COMPUTED_VALUE"""),430.0)</f>
        <v>430</v>
      </c>
      <c r="AQ5" s="71">
        <f>IFERROR(__xludf.DUMMYFUNCTION("""COMPUTED_VALUE"""),430.0)</f>
        <v>430</v>
      </c>
      <c r="AR5" s="71">
        <f>IFERROR(__xludf.DUMMYFUNCTION("""COMPUTED_VALUE"""),430.0)</f>
        <v>430</v>
      </c>
      <c r="AS5" s="71">
        <f>IFERROR(__xludf.DUMMYFUNCTION("""COMPUTED_VALUE"""),430.0)</f>
        <v>430</v>
      </c>
      <c r="AT5" s="71">
        <f>IFERROR(__xludf.DUMMYFUNCTION("""COMPUTED_VALUE"""),430.0)</f>
        <v>430</v>
      </c>
      <c r="AU5" s="71">
        <f>IFERROR(__xludf.DUMMYFUNCTION("""COMPUTED_VALUE"""),431.0)</f>
        <v>431</v>
      </c>
      <c r="AV5" s="41"/>
      <c r="AW5" s="41"/>
      <c r="AX5" s="41"/>
      <c r="AY5" s="41"/>
      <c r="AZ5" s="41"/>
    </row>
    <row r="6">
      <c r="B6" s="41"/>
      <c r="C6" s="41"/>
      <c r="D6" s="41"/>
      <c r="E6" s="41"/>
      <c r="F6" s="41"/>
      <c r="G6" s="41"/>
      <c r="H6" s="41"/>
      <c r="I6" s="41">
        <f>IFERROR(__xludf.DUMMYFUNCTION("""COMPUTED_VALUE"""),2.0)</f>
        <v>2</v>
      </c>
      <c r="J6" s="41"/>
      <c r="K6" s="41"/>
      <c r="L6" s="41"/>
      <c r="M6" s="41" t="str">
        <f>IFERROR(__xludf.DUMMYFUNCTION("""COMPUTED_VALUE"""),"Bill")</f>
        <v>Bill</v>
      </c>
      <c r="N6" s="66">
        <f>IFERROR(__xludf.DUMMYFUNCTION("""COMPUTED_VALUE"""),44914.0)</f>
        <v>44914</v>
      </c>
      <c r="O6" s="41">
        <f>IFERROR(__xludf.DUMMYFUNCTION("""COMPUTED_VALUE"""),4618.0)</f>
        <v>4618</v>
      </c>
      <c r="P6" s="41"/>
      <c r="Q6" s="41"/>
      <c r="R6" s="41"/>
      <c r="S6" s="41"/>
      <c r="T6" s="41"/>
      <c r="U6" s="41" t="str">
        <f>IFERROR(__xludf.DUMMYFUNCTION("""COMPUTED_VALUE"""),"瀛睿律師事務所 11111 美國專利「虛擬出單系統的實施方法」第3.5~7.5年年費 (111/12/10-115/12/9)        ")</f>
        <v>瀛睿律師事務所 11111 美國專利「虛擬出單系統的實施方法」第3.5~7.5年年費 (111/12/10-115/12/9)        </v>
      </c>
      <c r="V6" s="41"/>
      <c r="W6" s="41"/>
      <c r="X6" s="41"/>
      <c r="Y6" s="71">
        <f>IFERROR(__xludf.DUMMYFUNCTION("""COMPUTED_VALUE"""),21721.0)</f>
        <v>21721</v>
      </c>
      <c r="Z6" s="41">
        <f>IFERROR(__xludf.DUMMYFUNCTION("""COMPUTED_VALUE"""),613299.0)</f>
        <v>613299</v>
      </c>
      <c r="AA6" s="41" t="str">
        <f>IFERROR(__xludf.DUMMYFUNCTION("""COMPUTED_VALUE"""),"管理中心")</f>
        <v>管理中心</v>
      </c>
      <c r="AB6" s="70" t="str">
        <f>IFERROR(__xludf.DUMMYFUNCTION("""COMPUTED_VALUE"""),"執行長室 : 管理中心 : 法務部")</f>
        <v>執行長室 : 管理中心 : 法務部</v>
      </c>
      <c r="AC6" s="70" t="str">
        <f>IFERROR(__xludf.DUMMYFUNCTION("""COMPUTED_VALUE"""),"No_Product_Line")</f>
        <v>No_Product_Line</v>
      </c>
      <c r="AD6" s="70" t="str">
        <f>IFERROR(__xludf.DUMMYFUNCTION("""COMPUTED_VALUE"""),"Baseline")</f>
        <v>Baseline</v>
      </c>
      <c r="AE6" s="70" t="str">
        <f>IFERROR(__xludf.DUMMYFUNCTION("""COMPUTED_VALUE"""),"Baseline")</f>
        <v>Baseline</v>
      </c>
      <c r="AF6" s="71">
        <f>IFERROR(__xludf.DUMMYFUNCTION("""COMPUTED_VALUE"""),37300.0)</f>
        <v>37300</v>
      </c>
      <c r="AG6" s="71">
        <f>IFERROR(__xludf.DUMMYFUNCTION("""COMPUTED_VALUE"""),48.0)</f>
        <v>48</v>
      </c>
      <c r="AH6" s="71">
        <f>IFERROR(__xludf.DUMMYFUNCTION("""COMPUTED_VALUE"""),15579.0)</f>
        <v>15579</v>
      </c>
      <c r="AI6" s="71">
        <f>IFERROR(__xludf.DUMMYFUNCTION("""COMPUTED_VALUE"""),1611.0)</f>
        <v>1611</v>
      </c>
      <c r="AJ6" s="71">
        <f>IFERROR(__xludf.DUMMYFUNCTION("""COMPUTED_VALUE"""),1552.0)</f>
        <v>1552</v>
      </c>
      <c r="AK6" s="71">
        <f>IFERROR(__xludf.DUMMYFUNCTION("""COMPUTED_VALUE"""),1552.0)</f>
        <v>1552</v>
      </c>
      <c r="AL6" s="71">
        <f>IFERROR(__xludf.DUMMYFUNCTION("""COMPUTED_VALUE"""),1552.0)</f>
        <v>1552</v>
      </c>
      <c r="AM6" s="71">
        <f>IFERROR(__xludf.DUMMYFUNCTION("""COMPUTED_VALUE"""),1552.0)</f>
        <v>1552</v>
      </c>
      <c r="AN6" s="71">
        <f>IFERROR(__xludf.DUMMYFUNCTION("""COMPUTED_VALUE"""),1552.0)</f>
        <v>1552</v>
      </c>
      <c r="AO6" s="71">
        <f>IFERROR(__xludf.DUMMYFUNCTION("""COMPUTED_VALUE"""),1552.0)</f>
        <v>1552</v>
      </c>
      <c r="AP6" s="71">
        <f>IFERROR(__xludf.DUMMYFUNCTION("""COMPUTED_VALUE"""),1552.0)</f>
        <v>1552</v>
      </c>
      <c r="AQ6" s="71">
        <f>IFERROR(__xludf.DUMMYFUNCTION("""COMPUTED_VALUE"""),1552.0)</f>
        <v>1552</v>
      </c>
      <c r="AR6" s="71">
        <f>IFERROR(__xludf.DUMMYFUNCTION("""COMPUTED_VALUE"""),1552.0)</f>
        <v>1552</v>
      </c>
      <c r="AS6" s="71">
        <f>IFERROR(__xludf.DUMMYFUNCTION("""COMPUTED_VALUE"""),1552.0)</f>
        <v>1552</v>
      </c>
      <c r="AT6" s="71">
        <f>IFERROR(__xludf.DUMMYFUNCTION("""COMPUTED_VALUE"""),1552.0)</f>
        <v>1552</v>
      </c>
      <c r="AU6" s="71">
        <f>IFERROR(__xludf.DUMMYFUNCTION("""COMPUTED_VALUE"""),1552.0)</f>
        <v>1552</v>
      </c>
      <c r="AV6" s="71">
        <f>IFERROR(__xludf.DUMMYFUNCTION("""COMPUTED_VALUE"""),1552.0)</f>
        <v>1552</v>
      </c>
      <c r="AW6" s="71">
        <f>IFERROR(__xludf.DUMMYFUNCTION("""COMPUTED_VALUE"""),1552.0)</f>
        <v>1552</v>
      </c>
      <c r="AX6" s="71">
        <f>IFERROR(__xludf.DUMMYFUNCTION("""COMPUTED_VALUE"""),1552.0)</f>
        <v>1552</v>
      </c>
      <c r="AY6" s="71">
        <f>IFERROR(__xludf.DUMMYFUNCTION("""COMPUTED_VALUE"""),1552.0)</f>
        <v>1552</v>
      </c>
      <c r="AZ6" s="71">
        <f>IFERROR(__xludf.DUMMYFUNCTION("""COMPUTED_VALUE"""),1552.0)</f>
        <v>1552</v>
      </c>
    </row>
    <row r="7">
      <c r="B7" s="41"/>
      <c r="C7" s="41"/>
      <c r="D7" s="41"/>
      <c r="E7" s="41"/>
      <c r="F7" s="41"/>
      <c r="G7" s="41"/>
      <c r="H7" s="41"/>
      <c r="I7" s="41">
        <f>IFERROR(__xludf.DUMMYFUNCTION("""COMPUTED_VALUE"""),3.0)</f>
        <v>3</v>
      </c>
      <c r="J7" s="41" t="str">
        <f>IFERROR(__xludf.DUMMYFUNCTION("""COMPUTED_VALUE"""),"Y")</f>
        <v>Y</v>
      </c>
      <c r="K7" s="41" t="str">
        <f>IFERROR(__xludf.DUMMYFUNCTION("""COMPUTED_VALUE"""),"Y")</f>
        <v>Y</v>
      </c>
      <c r="L7" s="41"/>
      <c r="M7" s="41" t="str">
        <f>IFERROR(__xludf.DUMMYFUNCTION("""COMPUTED_VALUE"""),"Journal")</f>
        <v>Journal</v>
      </c>
      <c r="N7" s="66">
        <f>IFERROR(__xludf.DUMMYFUNCTION("""COMPUTED_VALUE"""),45576.0)</f>
        <v>45576</v>
      </c>
      <c r="O7" s="41">
        <f>IFERROR(__xludf.DUMMYFUNCTION("""COMPUTED_VALUE"""),14725.0)</f>
        <v>14725</v>
      </c>
      <c r="P7" s="41"/>
      <c r="Q7" s="41"/>
      <c r="R7" s="41"/>
      <c r="S7" s="41"/>
      <c r="T7" s="41"/>
      <c r="U7" s="41" t="str">
        <f>IFERROR(__xludf.DUMMYFUNCTION("""COMPUTED_VALUE"""),"凱鈿行動科技股份有限公司 202410 點點簽發票(20241009-20251008)(沖)ER4137")</f>
        <v>凱鈿行動科技股份有限公司 202410 點點簽發票(20241009-20251008)(沖)ER4137</v>
      </c>
      <c r="V7" s="41"/>
      <c r="W7" s="41"/>
      <c r="X7" s="41"/>
      <c r="Y7" s="71">
        <f>IFERROR(__xludf.DUMMYFUNCTION("""COMPUTED_VALUE"""),0.0)</f>
        <v>0</v>
      </c>
      <c r="Z7" s="41">
        <f>IFERROR(__xludf.DUMMYFUNCTION("""COMPUTED_VALUE"""),603201.0)</f>
        <v>603201</v>
      </c>
      <c r="AA7" s="41" t="str">
        <f>IFERROR(__xludf.DUMMYFUNCTION("""COMPUTED_VALUE"""),"行銷營運中心")</f>
        <v>行銷營運中心</v>
      </c>
      <c r="AB7" s="70" t="str">
        <f>IFERROR(__xludf.DUMMYFUNCTION("""COMPUTED_VALUE"""),"執行長室 : 行銷營運中心 : 銷售營運部 : 成交營運團隊")</f>
        <v>執行長室 : 行銷營運中心 : 銷售營運部 : 成交營運團隊</v>
      </c>
      <c r="AC7" s="70" t="str">
        <f>IFERROR(__xludf.DUMMYFUNCTION("""COMPUTED_VALUE"""),"No_Product_Line")</f>
        <v>No_Product_Line</v>
      </c>
      <c r="AD7" s="70" t="str">
        <f>IFERROR(__xludf.DUMMYFUNCTION("""COMPUTED_VALUE"""),"Baseline")</f>
        <v>Baseline</v>
      </c>
      <c r="AE7" s="70" t="str">
        <f>IFERROR(__xludf.DUMMYFUNCTION("""COMPUTED_VALUE"""),"Baseline")</f>
        <v>Baseline</v>
      </c>
      <c r="AF7" s="71">
        <f>IFERROR(__xludf.DUMMYFUNCTION("""COMPUTED_VALUE"""),15429.0)</f>
        <v>15429</v>
      </c>
      <c r="AG7" s="71">
        <f>IFERROR(__xludf.DUMMYFUNCTION("""COMPUTED_VALUE"""),12.0)</f>
        <v>12</v>
      </c>
      <c r="AH7" s="71">
        <f>IFERROR(__xludf.DUMMYFUNCTION("""COMPUTED_VALUE"""),15429.0)</f>
        <v>15429</v>
      </c>
      <c r="AI7" s="71">
        <f>IFERROR(__xludf.DUMMYFUNCTION("""COMPUTED_VALUE"""),3861.0)</f>
        <v>3861</v>
      </c>
      <c r="AJ7" s="71">
        <f>IFERROR(__xludf.DUMMYFUNCTION("""COMPUTED_VALUE"""),1285.0)</f>
        <v>1285</v>
      </c>
      <c r="AK7" s="71">
        <f>IFERROR(__xludf.DUMMYFUNCTION("""COMPUTED_VALUE"""),1285.0)</f>
        <v>1285</v>
      </c>
      <c r="AL7" s="71">
        <f>IFERROR(__xludf.DUMMYFUNCTION("""COMPUTED_VALUE"""),1285.0)</f>
        <v>1285</v>
      </c>
      <c r="AM7" s="71">
        <f>IFERROR(__xludf.DUMMYFUNCTION("""COMPUTED_VALUE"""),1285.0)</f>
        <v>1285</v>
      </c>
      <c r="AN7" s="71">
        <f>IFERROR(__xludf.DUMMYFUNCTION("""COMPUTED_VALUE"""),1285.0)</f>
        <v>1285</v>
      </c>
      <c r="AO7" s="71">
        <f>IFERROR(__xludf.DUMMYFUNCTION("""COMPUTED_VALUE"""),1285.0)</f>
        <v>1285</v>
      </c>
      <c r="AP7" s="71">
        <f>IFERROR(__xludf.DUMMYFUNCTION("""COMPUTED_VALUE"""),1285.0)</f>
        <v>1285</v>
      </c>
      <c r="AQ7" s="71">
        <f>IFERROR(__xludf.DUMMYFUNCTION("""COMPUTED_VALUE"""),1285.0)</f>
        <v>1285</v>
      </c>
      <c r="AR7" s="71">
        <f>IFERROR(__xludf.DUMMYFUNCTION("""COMPUTED_VALUE"""),1288.0)</f>
        <v>1288</v>
      </c>
      <c r="AS7" s="41"/>
      <c r="AT7" s="41"/>
      <c r="AU7" s="41"/>
      <c r="AV7" s="41"/>
      <c r="AW7" s="41"/>
      <c r="AX7" s="41"/>
      <c r="AY7" s="41"/>
      <c r="AZ7" s="41"/>
    </row>
    <row r="8">
      <c r="B8" s="41"/>
      <c r="C8" s="41"/>
      <c r="D8" s="41"/>
      <c r="E8" s="41"/>
      <c r="F8" s="41"/>
      <c r="G8" s="41"/>
      <c r="H8" s="41"/>
      <c r="I8" s="41">
        <f>IFERROR(__xludf.DUMMYFUNCTION("""COMPUTED_VALUE"""),4.0)</f>
        <v>4</v>
      </c>
      <c r="J8" s="41"/>
      <c r="K8" s="41" t="str">
        <f>IFERROR(__xludf.DUMMYFUNCTION("""COMPUTED_VALUE"""),"Y")</f>
        <v>Y</v>
      </c>
      <c r="L8" s="41"/>
      <c r="M8" s="41" t="str">
        <f>IFERROR(__xludf.DUMMYFUNCTION("""COMPUTED_VALUE"""),"Journal")</f>
        <v>Journal</v>
      </c>
      <c r="N8" s="66">
        <f>IFERROR(__xludf.DUMMYFUNCTION("""COMPUTED_VALUE"""),45596.0)</f>
        <v>45596</v>
      </c>
      <c r="O8" s="41">
        <f>IFERROR(__xludf.DUMMYFUNCTION("""COMPUTED_VALUE"""),14846.0)</f>
        <v>14846</v>
      </c>
      <c r="P8" s="41"/>
      <c r="Q8" s="41"/>
      <c r="R8" s="41"/>
      <c r="S8" s="41"/>
      <c r="T8" s="41"/>
      <c r="U8" s="41" t="str">
        <f>IFERROR(__xludf.DUMMYFUNCTION("""COMPUTED_VALUE"""),"資廚管理顧問股份有限公司(公司卡)_202410_Zapier Team 20K (yearly)方案，占總額 3%(20241004-20251003)(沖)ER4162")</f>
        <v>資廚管理顧問股份有限公司(公司卡)_202410_Zapier Team 20K (yearly)方案，占總額 3%(20241004-20251003)(沖)ER4162</v>
      </c>
      <c r="V8" s="41"/>
      <c r="W8" s="41"/>
      <c r="X8" s="41"/>
      <c r="Y8" s="71">
        <f>IFERROR(__xludf.DUMMYFUNCTION("""COMPUTED_VALUE"""),0.0)</f>
        <v>0</v>
      </c>
      <c r="Z8" s="41">
        <f>IFERROR(__xludf.DUMMYFUNCTION("""COMPUTED_VALUE"""),603201.0)</f>
        <v>603201</v>
      </c>
      <c r="AA8" s="41" t="str">
        <f>IFERROR(__xludf.DUMMYFUNCTION("""COMPUTED_VALUE"""),"行銷營運中心")</f>
        <v>行銷營運中心</v>
      </c>
      <c r="AB8" s="70" t="str">
        <f>IFERROR(__xludf.DUMMYFUNCTION("""COMPUTED_VALUE"""),"執行長室 : 行銷營運中心 : 產品行銷部")</f>
        <v>執行長室 : 行銷營運中心 : 產品行銷部</v>
      </c>
      <c r="AC8" s="70" t="str">
        <f>IFERROR(__xludf.DUMMYFUNCTION("""COMPUTED_VALUE"""),"No_Product_Line")</f>
        <v>No_Product_Line</v>
      </c>
      <c r="AD8" s="70" t="str">
        <f>IFERROR(__xludf.DUMMYFUNCTION("""COMPUTED_VALUE"""),"Baseline")</f>
        <v>Baseline</v>
      </c>
      <c r="AE8" s="70" t="str">
        <f>IFERROR(__xludf.DUMMYFUNCTION("""COMPUTED_VALUE"""),"Baseline")</f>
        <v>Baseline</v>
      </c>
      <c r="AF8" s="71">
        <f>IFERROR(__xludf.DUMMYFUNCTION("""COMPUTED_VALUE"""),2476.0)</f>
        <v>2476</v>
      </c>
      <c r="AG8" s="71">
        <f>IFERROR(__xludf.DUMMYFUNCTION("""COMPUTED_VALUE"""),12.0)</f>
        <v>12</v>
      </c>
      <c r="AH8" s="71">
        <f>IFERROR(__xludf.DUMMYFUNCTION("""COMPUTED_VALUE"""),2476.0)</f>
        <v>2476</v>
      </c>
      <c r="AI8" s="71">
        <f>IFERROR(__xludf.DUMMYFUNCTION("""COMPUTED_VALUE"""),619.0)</f>
        <v>619</v>
      </c>
      <c r="AJ8" s="71">
        <f>IFERROR(__xludf.DUMMYFUNCTION("""COMPUTED_VALUE"""),206.0)</f>
        <v>206</v>
      </c>
      <c r="AK8" s="71">
        <f>IFERROR(__xludf.DUMMYFUNCTION("""COMPUTED_VALUE"""),206.0)</f>
        <v>206</v>
      </c>
      <c r="AL8" s="71">
        <f>IFERROR(__xludf.DUMMYFUNCTION("""COMPUTED_VALUE"""),206.0)</f>
        <v>206</v>
      </c>
      <c r="AM8" s="71">
        <f>IFERROR(__xludf.DUMMYFUNCTION("""COMPUTED_VALUE"""),206.0)</f>
        <v>206</v>
      </c>
      <c r="AN8" s="71">
        <f>IFERROR(__xludf.DUMMYFUNCTION("""COMPUTED_VALUE"""),206.0)</f>
        <v>206</v>
      </c>
      <c r="AO8" s="71">
        <f>IFERROR(__xludf.DUMMYFUNCTION("""COMPUTED_VALUE"""),206.0)</f>
        <v>206</v>
      </c>
      <c r="AP8" s="71">
        <f>IFERROR(__xludf.DUMMYFUNCTION("""COMPUTED_VALUE"""),206.0)</f>
        <v>206</v>
      </c>
      <c r="AQ8" s="71">
        <f>IFERROR(__xludf.DUMMYFUNCTION("""COMPUTED_VALUE"""),206.0)</f>
        <v>206</v>
      </c>
      <c r="AR8" s="71">
        <f>IFERROR(__xludf.DUMMYFUNCTION("""COMPUTED_VALUE"""),209.0)</f>
        <v>209</v>
      </c>
      <c r="AS8" s="41"/>
      <c r="AT8" s="41"/>
      <c r="AU8" s="41"/>
      <c r="AV8" s="41"/>
      <c r="AW8" s="41"/>
      <c r="AX8" s="41"/>
      <c r="AY8" s="41"/>
      <c r="AZ8" s="41"/>
    </row>
    <row r="9">
      <c r="B9" s="41"/>
      <c r="C9" s="41"/>
      <c r="D9" s="41"/>
      <c r="E9" s="41"/>
      <c r="F9" s="41"/>
      <c r="G9" s="41"/>
      <c r="H9" s="41"/>
      <c r="I9" s="41">
        <f>IFERROR(__xludf.DUMMYFUNCTION("""COMPUTED_VALUE"""),5.0)</f>
        <v>5</v>
      </c>
      <c r="J9" s="41"/>
      <c r="K9" s="41" t="str">
        <f>IFERROR(__xludf.DUMMYFUNCTION("""COMPUTED_VALUE"""),"Y")</f>
        <v>Y</v>
      </c>
      <c r="L9" s="41"/>
      <c r="M9" s="41" t="str">
        <f>IFERROR(__xludf.DUMMYFUNCTION("""COMPUTED_VALUE"""),"Journal")</f>
        <v>Journal</v>
      </c>
      <c r="N9" s="66">
        <f>IFERROR(__xludf.DUMMYFUNCTION("""COMPUTED_VALUE"""),45596.0)</f>
        <v>45596</v>
      </c>
      <c r="O9" s="41">
        <f>IFERROR(__xludf.DUMMYFUNCTION("""COMPUTED_VALUE"""),14846.0)</f>
        <v>14846</v>
      </c>
      <c r="P9" s="41"/>
      <c r="Q9" s="41"/>
      <c r="R9" s="41"/>
      <c r="S9" s="41"/>
      <c r="T9" s="41"/>
      <c r="U9" s="41" t="str">
        <f>IFERROR(__xludf.DUMMYFUNCTION("""COMPUTED_VALUE"""),"SpeedCurve_202410_網頁效能監測工具(年繳)(20241007-20251007)(沖)ER4174")</f>
        <v>SpeedCurve_202410_網頁效能監測工具(年繳)(20241007-20251007)(沖)ER4174</v>
      </c>
      <c r="V9" s="41"/>
      <c r="W9" s="41"/>
      <c r="X9" s="41"/>
      <c r="Y9" s="71">
        <f>IFERROR(__xludf.DUMMYFUNCTION("""COMPUTED_VALUE"""),0.0)</f>
        <v>0</v>
      </c>
      <c r="Z9" s="41">
        <f>IFERROR(__xludf.DUMMYFUNCTION("""COMPUTED_VALUE"""),520001.0)</f>
        <v>520001</v>
      </c>
      <c r="AA9" s="41" t="str">
        <f>IFERROR(__xludf.DUMMYFUNCTION("""COMPUTED_VALUE"""),"行銷營運中心")</f>
        <v>行銷營運中心</v>
      </c>
      <c r="AB9" s="70" t="str">
        <f>IFERROR(__xludf.DUMMYFUNCTION("""COMPUTED_VALUE"""),"執行長室 : 行銷營運中心 : 產品行銷部")</f>
        <v>執行長室 : 行銷營運中心 : 產品行銷部</v>
      </c>
      <c r="AC9" s="70" t="str">
        <f>IFERROR(__xludf.DUMMYFUNCTION("""COMPUTED_VALUE"""),"No_Product_Line")</f>
        <v>No_Product_Line</v>
      </c>
      <c r="AD9" s="70" t="str">
        <f>IFERROR(__xludf.DUMMYFUNCTION("""COMPUTED_VALUE"""),"Baseline")</f>
        <v>Baseline</v>
      </c>
      <c r="AE9" s="70" t="str">
        <f>IFERROR(__xludf.DUMMYFUNCTION("""COMPUTED_VALUE"""),"Baseline")</f>
        <v>Baseline</v>
      </c>
      <c r="AF9" s="71">
        <f>IFERROR(__xludf.DUMMYFUNCTION("""COMPUTED_VALUE"""),4658.0)</f>
        <v>4658</v>
      </c>
      <c r="AG9" s="71">
        <f>IFERROR(__xludf.DUMMYFUNCTION("""COMPUTED_VALUE"""),12.0)</f>
        <v>12</v>
      </c>
      <c r="AH9" s="71">
        <f>IFERROR(__xludf.DUMMYFUNCTION("""COMPUTED_VALUE"""),4658.0)</f>
        <v>4658</v>
      </c>
      <c r="AI9" s="71">
        <f>IFERROR(__xludf.DUMMYFUNCTION("""COMPUTED_VALUE"""),1166.0)</f>
        <v>1166</v>
      </c>
      <c r="AJ9" s="71">
        <f>IFERROR(__xludf.DUMMYFUNCTION("""COMPUTED_VALUE"""),388.0)</f>
        <v>388</v>
      </c>
      <c r="AK9" s="71">
        <f>IFERROR(__xludf.DUMMYFUNCTION("""COMPUTED_VALUE"""),388.0)</f>
        <v>388</v>
      </c>
      <c r="AL9" s="71">
        <f>IFERROR(__xludf.DUMMYFUNCTION("""COMPUTED_VALUE"""),388.0)</f>
        <v>388</v>
      </c>
      <c r="AM9" s="71">
        <f>IFERROR(__xludf.DUMMYFUNCTION("""COMPUTED_VALUE"""),388.0)</f>
        <v>388</v>
      </c>
      <c r="AN9" s="71">
        <f>IFERROR(__xludf.DUMMYFUNCTION("""COMPUTED_VALUE"""),388.0)</f>
        <v>388</v>
      </c>
      <c r="AO9" s="71">
        <f>IFERROR(__xludf.DUMMYFUNCTION("""COMPUTED_VALUE"""),388.0)</f>
        <v>388</v>
      </c>
      <c r="AP9" s="71">
        <f>IFERROR(__xludf.DUMMYFUNCTION("""COMPUTED_VALUE"""),388.0)</f>
        <v>388</v>
      </c>
      <c r="AQ9" s="71">
        <f>IFERROR(__xludf.DUMMYFUNCTION("""COMPUTED_VALUE"""),388.0)</f>
        <v>388</v>
      </c>
      <c r="AR9" s="71">
        <f>IFERROR(__xludf.DUMMYFUNCTION("""COMPUTED_VALUE"""),388.0)</f>
        <v>388</v>
      </c>
      <c r="AS9" s="41"/>
      <c r="AT9" s="41"/>
      <c r="AU9" s="41"/>
      <c r="AV9" s="41"/>
      <c r="AW9" s="41"/>
      <c r="AX9" s="41"/>
      <c r="AY9" s="41"/>
      <c r="AZ9" s="41"/>
    </row>
    <row r="10">
      <c r="B10" s="41"/>
      <c r="C10" s="41"/>
      <c r="D10" s="41"/>
      <c r="E10" s="41"/>
      <c r="F10" s="41"/>
      <c r="G10" s="41"/>
      <c r="H10" s="41"/>
      <c r="I10" s="41">
        <f>IFERROR(__xludf.DUMMYFUNCTION("""COMPUTED_VALUE"""),6.0)</f>
        <v>6</v>
      </c>
      <c r="J10" s="41"/>
      <c r="K10" s="41" t="str">
        <f>IFERROR(__xludf.DUMMYFUNCTION("""COMPUTED_VALUE"""),"Y")</f>
        <v>Y</v>
      </c>
      <c r="L10" s="41"/>
      <c r="M10" s="41" t="str">
        <f>IFERROR(__xludf.DUMMYFUNCTION("""COMPUTED_VALUE"""),"Journal")</f>
        <v>Journal</v>
      </c>
      <c r="N10" s="66">
        <f>IFERROR(__xludf.DUMMYFUNCTION("""COMPUTED_VALUE"""),45596.0)</f>
        <v>45596</v>
      </c>
      <c r="O10" s="41">
        <f>IFERROR(__xludf.DUMMYFUNCTION("""COMPUTED_VALUE"""),14846.0)</f>
        <v>14846</v>
      </c>
      <c r="P10" s="41"/>
      <c r="Q10" s="41"/>
      <c r="R10" s="41"/>
      <c r="S10" s="41"/>
      <c r="T10" s="41"/>
      <c r="U10" s="41" t="str">
        <f>IFERROR(__xludf.DUMMYFUNCTION("""COMPUTED_VALUE"""),"公司卡_202410_網站系統年費_icheftw.squarespace.com(20241018-20251018)(沖)ER4230")</f>
        <v>公司卡_202410_網站系統年費_icheftw.squarespace.com(20241018-20251018)(沖)ER4230</v>
      </c>
      <c r="V10" s="41"/>
      <c r="W10" s="41"/>
      <c r="X10" s="41"/>
      <c r="Y10" s="71">
        <f>IFERROR(__xludf.DUMMYFUNCTION("""COMPUTED_VALUE"""),0.0)</f>
        <v>0</v>
      </c>
      <c r="Z10" s="41">
        <f>IFERROR(__xludf.DUMMYFUNCTION("""COMPUTED_VALUE"""),603201.0)</f>
        <v>603201</v>
      </c>
      <c r="AA10" s="41" t="str">
        <f>IFERROR(__xludf.DUMMYFUNCTION("""COMPUTED_VALUE"""),"行銷營運中心")</f>
        <v>行銷營運中心</v>
      </c>
      <c r="AB10" s="70" t="str">
        <f>IFERROR(__xludf.DUMMYFUNCTION("""COMPUTED_VALUE"""),"執行長室 : 行銷營運中心 : 產品行銷部")</f>
        <v>執行長室 : 行銷營運中心 : 產品行銷部</v>
      </c>
      <c r="AC10" s="70" t="str">
        <f>IFERROR(__xludf.DUMMYFUNCTION("""COMPUTED_VALUE"""),"No_Product_Line")</f>
        <v>No_Product_Line</v>
      </c>
      <c r="AD10" s="70" t="str">
        <f>IFERROR(__xludf.DUMMYFUNCTION("""COMPUTED_VALUE"""),"Baseline")</f>
        <v>Baseline</v>
      </c>
      <c r="AE10" s="70" t="str">
        <f>IFERROR(__xludf.DUMMYFUNCTION("""COMPUTED_VALUE"""),"Baseline")</f>
        <v>Baseline</v>
      </c>
      <c r="AF10" s="71">
        <f>IFERROR(__xludf.DUMMYFUNCTION("""COMPUTED_VALUE"""),8850.0)</f>
        <v>8850</v>
      </c>
      <c r="AG10" s="71">
        <f>IFERROR(__xludf.DUMMYFUNCTION("""COMPUTED_VALUE"""),12.0)</f>
        <v>12</v>
      </c>
      <c r="AH10" s="71">
        <f>IFERROR(__xludf.DUMMYFUNCTION("""COMPUTED_VALUE"""),8850.0)</f>
        <v>8850</v>
      </c>
      <c r="AI10" s="71">
        <f>IFERROR(__xludf.DUMMYFUNCTION("""COMPUTED_VALUE"""),2215.0)</f>
        <v>2215</v>
      </c>
      <c r="AJ10" s="71">
        <f>IFERROR(__xludf.DUMMYFUNCTION("""COMPUTED_VALUE"""),737.0)</f>
        <v>737</v>
      </c>
      <c r="AK10" s="71">
        <f>IFERROR(__xludf.DUMMYFUNCTION("""COMPUTED_VALUE"""),737.0)</f>
        <v>737</v>
      </c>
      <c r="AL10" s="71">
        <f>IFERROR(__xludf.DUMMYFUNCTION("""COMPUTED_VALUE"""),737.0)</f>
        <v>737</v>
      </c>
      <c r="AM10" s="71">
        <f>IFERROR(__xludf.DUMMYFUNCTION("""COMPUTED_VALUE"""),737.0)</f>
        <v>737</v>
      </c>
      <c r="AN10" s="71">
        <f>IFERROR(__xludf.DUMMYFUNCTION("""COMPUTED_VALUE"""),737.0)</f>
        <v>737</v>
      </c>
      <c r="AO10" s="71">
        <f>IFERROR(__xludf.DUMMYFUNCTION("""COMPUTED_VALUE"""),737.0)</f>
        <v>737</v>
      </c>
      <c r="AP10" s="71">
        <f>IFERROR(__xludf.DUMMYFUNCTION("""COMPUTED_VALUE"""),737.0)</f>
        <v>737</v>
      </c>
      <c r="AQ10" s="71">
        <f>IFERROR(__xludf.DUMMYFUNCTION("""COMPUTED_VALUE"""),737.0)</f>
        <v>737</v>
      </c>
      <c r="AR10" s="71">
        <f>IFERROR(__xludf.DUMMYFUNCTION("""COMPUTED_VALUE"""),739.0)</f>
        <v>739</v>
      </c>
      <c r="AS10" s="41"/>
      <c r="AT10" s="41"/>
      <c r="AU10" s="41"/>
      <c r="AV10" s="41"/>
      <c r="AW10" s="41"/>
      <c r="AX10" s="41"/>
      <c r="AY10" s="41"/>
      <c r="AZ10" s="41"/>
    </row>
    <row r="11">
      <c r="B11" s="41"/>
      <c r="C11" s="41"/>
      <c r="D11" s="41"/>
      <c r="E11" s="41"/>
      <c r="F11" s="41"/>
      <c r="G11" s="41"/>
      <c r="H11" s="41"/>
      <c r="I11" s="41">
        <f>IFERROR(__xludf.DUMMYFUNCTION("""COMPUTED_VALUE"""),7.0)</f>
        <v>7</v>
      </c>
      <c r="J11" s="41"/>
      <c r="K11" s="41" t="str">
        <f>IFERROR(__xludf.DUMMYFUNCTION("""COMPUTED_VALUE"""),"Y")</f>
        <v>Y</v>
      </c>
      <c r="L11" s="41"/>
      <c r="M11" s="41" t="str">
        <f>IFERROR(__xludf.DUMMYFUNCTION("""COMPUTED_VALUE"""),"Journal")</f>
        <v>Journal</v>
      </c>
      <c r="N11" s="66">
        <f>IFERROR(__xludf.DUMMYFUNCTION("""COMPUTED_VALUE"""),45596.0)</f>
        <v>45596</v>
      </c>
      <c r="O11" s="41">
        <f>IFERROR(__xludf.DUMMYFUNCTION("""COMPUTED_VALUE"""),14846.0)</f>
        <v>14846</v>
      </c>
      <c r="P11" s="41"/>
      <c r="Q11" s="41"/>
      <c r="R11" s="41"/>
      <c r="S11" s="41"/>
      <c r="T11" s="41"/>
      <c r="U11" s="41" t="str">
        <f>IFERROR(__xludf.DUMMYFUNCTION("""COMPUTED_VALUE"""),"資廚管理顧問股份有限公司(公司卡)_202410_Zapier Team 20K (yearly)方案，占總額 23%(20241004-20251003)(沖)ER4162")</f>
        <v>資廚管理顧問股份有限公司(公司卡)_202410_Zapier Team 20K (yearly)方案，占總額 23%(20241004-20251003)(沖)ER4162</v>
      </c>
      <c r="V11" s="41"/>
      <c r="W11" s="41"/>
      <c r="X11" s="41"/>
      <c r="Y11" s="71">
        <f>IFERROR(__xludf.DUMMYFUNCTION("""COMPUTED_VALUE"""),0.0)</f>
        <v>0</v>
      </c>
      <c r="Z11" s="41">
        <f>IFERROR(__xludf.DUMMYFUNCTION("""COMPUTED_VALUE"""),603201.0)</f>
        <v>603201</v>
      </c>
      <c r="AA11" s="41" t="str">
        <f>IFERROR(__xludf.DUMMYFUNCTION("""COMPUTED_VALUE"""),"行銷營運中心")</f>
        <v>行銷營運中心</v>
      </c>
      <c r="AB11" s="70" t="str">
        <f>IFERROR(__xludf.DUMMYFUNCTION("""COMPUTED_VALUE"""),"執行長室 : 行銷營運中心 : 產品行銷部")</f>
        <v>執行長室 : 行銷營運中心 : 產品行銷部</v>
      </c>
      <c r="AC11" s="70" t="str">
        <f>IFERROR(__xludf.DUMMYFUNCTION("""COMPUTED_VALUE"""),"No_Product_Line")</f>
        <v>No_Product_Line</v>
      </c>
      <c r="AD11" s="70" t="str">
        <f>IFERROR(__xludf.DUMMYFUNCTION("""COMPUTED_VALUE"""),"Baseline")</f>
        <v>Baseline</v>
      </c>
      <c r="AE11" s="70" t="str">
        <f>IFERROR(__xludf.DUMMYFUNCTION("""COMPUTED_VALUE"""),"Baseline")</f>
        <v>Baseline</v>
      </c>
      <c r="AF11" s="71">
        <f>IFERROR(__xludf.DUMMYFUNCTION("""COMPUTED_VALUE"""),18981.0)</f>
        <v>18981</v>
      </c>
      <c r="AG11" s="71">
        <f>IFERROR(__xludf.DUMMYFUNCTION("""COMPUTED_VALUE"""),12.0)</f>
        <v>12</v>
      </c>
      <c r="AH11" s="71">
        <f>IFERROR(__xludf.DUMMYFUNCTION("""COMPUTED_VALUE"""),18981.0)</f>
        <v>18981</v>
      </c>
      <c r="AI11" s="71">
        <f>IFERROR(__xludf.DUMMYFUNCTION("""COMPUTED_VALUE"""),4751.0)</f>
        <v>4751</v>
      </c>
      <c r="AJ11" s="71">
        <f>IFERROR(__xludf.DUMMYFUNCTION("""COMPUTED_VALUE"""),1581.0)</f>
        <v>1581</v>
      </c>
      <c r="AK11" s="71">
        <f>IFERROR(__xludf.DUMMYFUNCTION("""COMPUTED_VALUE"""),1581.0)</f>
        <v>1581</v>
      </c>
      <c r="AL11" s="71">
        <f>IFERROR(__xludf.DUMMYFUNCTION("""COMPUTED_VALUE"""),1581.0)</f>
        <v>1581</v>
      </c>
      <c r="AM11" s="71">
        <f>IFERROR(__xludf.DUMMYFUNCTION("""COMPUTED_VALUE"""),1581.0)</f>
        <v>1581</v>
      </c>
      <c r="AN11" s="71">
        <f>IFERROR(__xludf.DUMMYFUNCTION("""COMPUTED_VALUE"""),1581.0)</f>
        <v>1581</v>
      </c>
      <c r="AO11" s="71">
        <f>IFERROR(__xludf.DUMMYFUNCTION("""COMPUTED_VALUE"""),1581.0)</f>
        <v>1581</v>
      </c>
      <c r="AP11" s="71">
        <f>IFERROR(__xludf.DUMMYFUNCTION("""COMPUTED_VALUE"""),1581.0)</f>
        <v>1581</v>
      </c>
      <c r="AQ11" s="71">
        <f>IFERROR(__xludf.DUMMYFUNCTION("""COMPUTED_VALUE"""),1581.0)</f>
        <v>1581</v>
      </c>
      <c r="AR11" s="71">
        <f>IFERROR(__xludf.DUMMYFUNCTION("""COMPUTED_VALUE"""),1582.0)</f>
        <v>1582</v>
      </c>
      <c r="AS11" s="41"/>
      <c r="AT11" s="41"/>
      <c r="AU11" s="41"/>
      <c r="AV11" s="41"/>
      <c r="AW11" s="41"/>
      <c r="AX11" s="41"/>
      <c r="AY11" s="41"/>
      <c r="AZ11" s="41"/>
    </row>
    <row r="12">
      <c r="B12" s="41"/>
      <c r="C12" s="41"/>
      <c r="D12" s="41"/>
      <c r="E12" s="41"/>
      <c r="F12" s="41"/>
      <c r="G12" s="41"/>
      <c r="H12" s="41"/>
      <c r="I12" s="41">
        <f>IFERROR(__xludf.DUMMYFUNCTION("""COMPUTED_VALUE"""),8.0)</f>
        <v>8</v>
      </c>
      <c r="J12" s="41"/>
      <c r="K12" s="41" t="str">
        <f>IFERROR(__xludf.DUMMYFUNCTION("""COMPUTED_VALUE"""),"Y")</f>
        <v>Y</v>
      </c>
      <c r="L12" s="41"/>
      <c r="M12" s="41" t="str">
        <f>IFERROR(__xludf.DUMMYFUNCTION("""COMPUTED_VALUE"""),"Journal")</f>
        <v>Journal</v>
      </c>
      <c r="N12" s="66">
        <f>IFERROR(__xludf.DUMMYFUNCTION("""COMPUTED_VALUE"""),45596.0)</f>
        <v>45596</v>
      </c>
      <c r="O12" s="41">
        <f>IFERROR(__xludf.DUMMYFUNCTION("""COMPUTED_VALUE"""),14846.0)</f>
        <v>14846</v>
      </c>
      <c r="P12" s="41"/>
      <c r="Q12" s="41"/>
      <c r="R12" s="41"/>
      <c r="S12" s="41"/>
      <c r="T12" s="41"/>
      <c r="U12" s="41" t="str">
        <f>IFERROR(__xludf.DUMMYFUNCTION("""COMPUTED_VALUE"""),"資廚管理顧問股份有限公司(公司卡)_202410_Zapier Team 20K (yearly)方案，占總額 74%(20241004-20251003)(沖)ER4162")</f>
        <v>資廚管理顧問股份有限公司(公司卡)_202410_Zapier Team 20K (yearly)方案，占總額 74%(20241004-20251003)(沖)ER4162</v>
      </c>
      <c r="V12" s="41"/>
      <c r="W12" s="41"/>
      <c r="X12" s="41"/>
      <c r="Y12" s="71">
        <f>IFERROR(__xludf.DUMMYFUNCTION("""COMPUTED_VALUE"""),0.0)</f>
        <v>0</v>
      </c>
      <c r="Z12" s="41">
        <f>IFERROR(__xludf.DUMMYFUNCTION("""COMPUTED_VALUE"""),623201.0)</f>
        <v>623201</v>
      </c>
      <c r="AA12" s="41" t="str">
        <f>IFERROR(__xludf.DUMMYFUNCTION("""COMPUTED_VALUE"""),"行銷營運中心")</f>
        <v>行銷營運中心</v>
      </c>
      <c r="AB12" s="70" t="str">
        <f>IFERROR(__xludf.DUMMYFUNCTION("""COMPUTED_VALUE"""),"執行長室 : 行銷營運中心 : 產品行銷部")</f>
        <v>執行長室 : 行銷營運中心 : 產品行銷部</v>
      </c>
      <c r="AC12" s="70" t="str">
        <f>IFERROR(__xludf.DUMMYFUNCTION("""COMPUTED_VALUE"""),"No_Product_Line")</f>
        <v>No_Product_Line</v>
      </c>
      <c r="AD12" s="70" t="str">
        <f>IFERROR(__xludf.DUMMYFUNCTION("""COMPUTED_VALUE"""),"Baseline")</f>
        <v>Baseline</v>
      </c>
      <c r="AE12" s="70" t="str">
        <f>IFERROR(__xludf.DUMMYFUNCTION("""COMPUTED_VALUE"""),"Baseline")</f>
        <v>Baseline</v>
      </c>
      <c r="AF12" s="71">
        <f>IFERROR(__xludf.DUMMYFUNCTION("""COMPUTED_VALUE"""),61070.0)</f>
        <v>61070</v>
      </c>
      <c r="AG12" s="71">
        <f>IFERROR(__xludf.DUMMYFUNCTION("""COMPUTED_VALUE"""),12.0)</f>
        <v>12</v>
      </c>
      <c r="AH12" s="71">
        <f>IFERROR(__xludf.DUMMYFUNCTION("""COMPUTED_VALUE"""),61070.0)</f>
        <v>61070</v>
      </c>
      <c r="AI12" s="71">
        <f>IFERROR(__xludf.DUMMYFUNCTION("""COMPUTED_VALUE"""),15286.0)</f>
        <v>15286</v>
      </c>
      <c r="AJ12" s="71">
        <f>IFERROR(__xludf.DUMMYFUNCTION("""COMPUTED_VALUE"""),5087.0)</f>
        <v>5087</v>
      </c>
      <c r="AK12" s="71">
        <f>IFERROR(__xludf.DUMMYFUNCTION("""COMPUTED_VALUE"""),5087.0)</f>
        <v>5087</v>
      </c>
      <c r="AL12" s="71">
        <f>IFERROR(__xludf.DUMMYFUNCTION("""COMPUTED_VALUE"""),5087.0)</f>
        <v>5087</v>
      </c>
      <c r="AM12" s="71">
        <f>IFERROR(__xludf.DUMMYFUNCTION("""COMPUTED_VALUE"""),5087.0)</f>
        <v>5087</v>
      </c>
      <c r="AN12" s="71">
        <f>IFERROR(__xludf.DUMMYFUNCTION("""COMPUTED_VALUE"""),5087.0)</f>
        <v>5087</v>
      </c>
      <c r="AO12" s="71">
        <f>IFERROR(__xludf.DUMMYFUNCTION("""COMPUTED_VALUE"""),5087.0)</f>
        <v>5087</v>
      </c>
      <c r="AP12" s="71">
        <f>IFERROR(__xludf.DUMMYFUNCTION("""COMPUTED_VALUE"""),5087.0)</f>
        <v>5087</v>
      </c>
      <c r="AQ12" s="71">
        <f>IFERROR(__xludf.DUMMYFUNCTION("""COMPUTED_VALUE"""),5087.0)</f>
        <v>5087</v>
      </c>
      <c r="AR12" s="71">
        <f>IFERROR(__xludf.DUMMYFUNCTION("""COMPUTED_VALUE"""),5088.0)</f>
        <v>5088</v>
      </c>
      <c r="AS12" s="41"/>
      <c r="AT12" s="41"/>
      <c r="AU12" s="41"/>
      <c r="AV12" s="41"/>
      <c r="AW12" s="41"/>
      <c r="AX12" s="41"/>
      <c r="AY12" s="41"/>
      <c r="AZ12" s="41"/>
    </row>
    <row r="13">
      <c r="B13" s="41"/>
      <c r="C13" s="41"/>
      <c r="D13" s="41"/>
      <c r="E13" s="41"/>
      <c r="F13" s="41"/>
      <c r="G13" s="41"/>
      <c r="H13" s="41"/>
      <c r="I13" s="41">
        <f>IFERROR(__xludf.DUMMYFUNCTION("""COMPUTED_VALUE"""),9.0)</f>
        <v>9</v>
      </c>
      <c r="J13" s="41"/>
      <c r="K13" s="41" t="str">
        <f>IFERROR(__xludf.DUMMYFUNCTION("""COMPUTED_VALUE"""),"Y")</f>
        <v>Y</v>
      </c>
      <c r="L13" s="41"/>
      <c r="M13" s="41" t="str">
        <f>IFERROR(__xludf.DUMMYFUNCTION("""COMPUTED_VALUE"""),"Journal")</f>
        <v>Journal</v>
      </c>
      <c r="N13" s="66">
        <f>IFERROR(__xludf.DUMMYFUNCTION("""COMPUTED_VALUE"""),45596.0)</f>
        <v>45596</v>
      </c>
      <c r="O13" s="41">
        <f>IFERROR(__xludf.DUMMYFUNCTION("""COMPUTED_VALUE"""),14846.0)</f>
        <v>14846</v>
      </c>
      <c r="P13" s="41"/>
      <c r="Q13" s="41"/>
      <c r="R13" s="41"/>
      <c r="S13" s="41"/>
      <c r="T13" s="41"/>
      <c r="U13" s="41" t="str">
        <f>IFERROR(__xludf.DUMMYFUNCTION("""COMPUTED_VALUE"""),"資廚管理顧問股份有限公司(公司卡) SetappLimitedviaPaddle.com年費(20241018-20251017(預估)(沖)J15004")</f>
        <v>資廚管理顧問股份有限公司(公司卡) SetappLimitedviaPaddle.com年費(20241018-20251017(預估)(沖)J15004</v>
      </c>
      <c r="V13" s="41"/>
      <c r="W13" s="41"/>
      <c r="X13" s="41"/>
      <c r="Y13" s="71">
        <f>IFERROR(__xludf.DUMMYFUNCTION("""COMPUTED_VALUE"""),0.0)</f>
        <v>0</v>
      </c>
      <c r="Z13" s="41">
        <f>IFERROR(__xludf.DUMMYFUNCTION("""COMPUTED_VALUE"""),520001.0)</f>
        <v>520001</v>
      </c>
      <c r="AA13" s="41" t="str">
        <f>IFERROR(__xludf.DUMMYFUNCTION("""COMPUTED_VALUE"""),"行銷營運中心")</f>
        <v>行銷營運中心</v>
      </c>
      <c r="AB13" s="70" t="str">
        <f>IFERROR(__xludf.DUMMYFUNCTION("""COMPUTED_VALUE"""),"執行長室 : 行銷營運中心 : 產品行銷部")</f>
        <v>執行長室 : 行銷營運中心 : 產品行銷部</v>
      </c>
      <c r="AC13" s="70" t="str">
        <f>IFERROR(__xludf.DUMMYFUNCTION("""COMPUTED_VALUE"""),"No_Product_Line")</f>
        <v>No_Product_Line</v>
      </c>
      <c r="AD13" s="70" t="str">
        <f>IFERROR(__xludf.DUMMYFUNCTION("""COMPUTED_VALUE"""),"Baseline")</f>
        <v>Baseline</v>
      </c>
      <c r="AE13" s="70" t="str">
        <f>IFERROR(__xludf.DUMMYFUNCTION("""COMPUTED_VALUE"""),"Baseline")</f>
        <v>Baseline</v>
      </c>
      <c r="AF13" s="71">
        <f>IFERROR(__xludf.DUMMYFUNCTION("""COMPUTED_VALUE"""),109198.0)</f>
        <v>109198</v>
      </c>
      <c r="AG13" s="71">
        <f>IFERROR(__xludf.DUMMYFUNCTION("""COMPUTED_VALUE"""),12.0)</f>
        <v>12</v>
      </c>
      <c r="AH13" s="71">
        <f>IFERROR(__xludf.DUMMYFUNCTION("""COMPUTED_VALUE"""),109198.0)</f>
        <v>109198</v>
      </c>
      <c r="AI13" s="71">
        <f>IFERROR(__xludf.DUMMYFUNCTION("""COMPUTED_VALUE"""),27332.0)</f>
        <v>27332</v>
      </c>
      <c r="AJ13" s="71">
        <f>IFERROR(__xludf.DUMMYFUNCTION("""COMPUTED_VALUE"""),9096.0)</f>
        <v>9096</v>
      </c>
      <c r="AK13" s="71">
        <f>IFERROR(__xludf.DUMMYFUNCTION("""COMPUTED_VALUE"""),9096.0)</f>
        <v>9096</v>
      </c>
      <c r="AL13" s="71">
        <f>IFERROR(__xludf.DUMMYFUNCTION("""COMPUTED_VALUE"""),9096.0)</f>
        <v>9096</v>
      </c>
      <c r="AM13" s="71">
        <f>IFERROR(__xludf.DUMMYFUNCTION("""COMPUTED_VALUE"""),9096.0)</f>
        <v>9096</v>
      </c>
      <c r="AN13" s="71">
        <f>IFERROR(__xludf.DUMMYFUNCTION("""COMPUTED_VALUE"""),9096.0)</f>
        <v>9096</v>
      </c>
      <c r="AO13" s="71">
        <f>IFERROR(__xludf.DUMMYFUNCTION("""COMPUTED_VALUE"""),9096.0)</f>
        <v>9096</v>
      </c>
      <c r="AP13" s="71">
        <f>IFERROR(__xludf.DUMMYFUNCTION("""COMPUTED_VALUE"""),9096.0)</f>
        <v>9096</v>
      </c>
      <c r="AQ13" s="71">
        <f>IFERROR(__xludf.DUMMYFUNCTION("""COMPUTED_VALUE"""),9096.0)</f>
        <v>9096</v>
      </c>
      <c r="AR13" s="71">
        <f>IFERROR(__xludf.DUMMYFUNCTION("""COMPUTED_VALUE"""),9098.0)</f>
        <v>9098</v>
      </c>
      <c r="AS13" s="41"/>
      <c r="AT13" s="41"/>
      <c r="AU13" s="41"/>
      <c r="AV13" s="41"/>
      <c r="AW13" s="41"/>
      <c r="AX13" s="41"/>
      <c r="AY13" s="41"/>
      <c r="AZ13" s="41"/>
    </row>
    <row r="14">
      <c r="B14" s="41"/>
      <c r="C14" s="41"/>
      <c r="D14" s="41"/>
      <c r="E14" s="41"/>
      <c r="F14" s="41"/>
      <c r="G14" s="41"/>
      <c r="H14" s="41"/>
      <c r="I14" s="41">
        <f>IFERROR(__xludf.DUMMYFUNCTION("""COMPUTED_VALUE"""),10.0)</f>
        <v>10</v>
      </c>
      <c r="J14" s="41" t="str">
        <f>IFERROR(__xludf.DUMMYFUNCTION("""COMPUTED_VALUE"""),"Y")</f>
        <v>Y</v>
      </c>
      <c r="K14" s="41" t="str">
        <f>IFERROR(__xludf.DUMMYFUNCTION("""COMPUTED_VALUE"""),"Y")</f>
        <v>Y</v>
      </c>
      <c r="L14" s="41"/>
      <c r="M14" s="41" t="str">
        <f>IFERROR(__xludf.DUMMYFUNCTION("""COMPUTED_VALUE"""),"Journal")</f>
        <v>Journal</v>
      </c>
      <c r="N14" s="66">
        <f>IFERROR(__xludf.DUMMYFUNCTION("""COMPUTED_VALUE"""),45596.0)</f>
        <v>45596</v>
      </c>
      <c r="O14" s="41">
        <f>IFERROR(__xludf.DUMMYFUNCTION("""COMPUTED_VALUE"""),14846.0)</f>
        <v>14846</v>
      </c>
      <c r="P14" s="41"/>
      <c r="Q14" s="41"/>
      <c r="R14" s="41"/>
      <c r="S14" s="41"/>
      <c r="T14" s="41"/>
      <c r="U14" s="41" t="str">
        <f>IFERROR(__xludf.DUMMYFUNCTION("""COMPUTED_VALUE"""),"資廚管理顧問股份有限公司(公司卡)_202410_Notion 續約款項_PCPR-1041：2025-04-01~2025-09-30(沖)ER4247")</f>
        <v>資廚管理顧問股份有限公司(公司卡)_202410_Notion 續約款項_PCPR-1041：2025-04-01~2025-09-30(沖)ER4247</v>
      </c>
      <c r="V14" s="41"/>
      <c r="W14" s="41"/>
      <c r="X14" s="41"/>
      <c r="Y14" s="71">
        <f>IFERROR(__xludf.DUMMYFUNCTION("""COMPUTED_VALUE"""),0.0)</f>
        <v>0</v>
      </c>
      <c r="Z14" s="41">
        <f>IFERROR(__xludf.DUMMYFUNCTION("""COMPUTED_VALUE"""),613201.0)</f>
        <v>613201</v>
      </c>
      <c r="AA14" s="41" t="str">
        <f>IFERROR(__xludf.DUMMYFUNCTION("""COMPUTED_VALUE"""),"行銷營運中心")</f>
        <v>行銷營運中心</v>
      </c>
      <c r="AB14" s="70" t="str">
        <f>IFERROR(__xludf.DUMMYFUNCTION("""COMPUTED_VALUE"""),"執行長室 : 行銷營運中心 : 產品行銷部")</f>
        <v>執行長室 : 行銷營運中心 : 產品行銷部</v>
      </c>
      <c r="AC14" s="70" t="str">
        <f>IFERROR(__xludf.DUMMYFUNCTION("""COMPUTED_VALUE"""),"No_Product_Line")</f>
        <v>No_Product_Line</v>
      </c>
      <c r="AD14" s="70" t="str">
        <f>IFERROR(__xludf.DUMMYFUNCTION("""COMPUTED_VALUE"""),"Baseline")</f>
        <v>Baseline</v>
      </c>
      <c r="AE14" s="70" t="str">
        <f>IFERROR(__xludf.DUMMYFUNCTION("""COMPUTED_VALUE"""),"Baseline")</f>
        <v>Baseline</v>
      </c>
      <c r="AF14" s="71">
        <f>IFERROR(__xludf.DUMMYFUNCTION("""COMPUTED_VALUE"""),250176.0)</f>
        <v>250176</v>
      </c>
      <c r="AG14" s="71">
        <f>IFERROR(__xludf.DUMMYFUNCTION("""COMPUTED_VALUE"""),6.0)</f>
        <v>6</v>
      </c>
      <c r="AH14" s="71">
        <f>IFERROR(__xludf.DUMMYFUNCTION("""COMPUTED_VALUE"""),250176.0)</f>
        <v>250176</v>
      </c>
      <c r="AI14" s="71">
        <f>IFERROR(__xludf.DUMMYFUNCTION("""COMPUTED_VALUE"""),0.0)</f>
        <v>0</v>
      </c>
      <c r="AJ14" s="41"/>
      <c r="AK14" s="41"/>
      <c r="AL14" s="41"/>
      <c r="AM14" s="71">
        <f>IFERROR(__xludf.DUMMYFUNCTION("""COMPUTED_VALUE"""),41679.0)</f>
        <v>41679</v>
      </c>
      <c r="AN14" s="71">
        <f>IFERROR(__xludf.DUMMYFUNCTION("""COMPUTED_VALUE"""),41679.0)</f>
        <v>41679</v>
      </c>
      <c r="AO14" s="71">
        <f>IFERROR(__xludf.DUMMYFUNCTION("""COMPUTED_VALUE"""),41679.0)</f>
        <v>41679</v>
      </c>
      <c r="AP14" s="71">
        <f>IFERROR(__xludf.DUMMYFUNCTION("""COMPUTED_VALUE"""),41679.0)</f>
        <v>41679</v>
      </c>
      <c r="AQ14" s="71">
        <f>IFERROR(__xludf.DUMMYFUNCTION("""COMPUTED_VALUE"""),41679.0)</f>
        <v>41679</v>
      </c>
      <c r="AR14" s="71">
        <f>IFERROR(__xludf.DUMMYFUNCTION("""COMPUTED_VALUE"""),41781.0)</f>
        <v>41781</v>
      </c>
      <c r="AS14" s="41"/>
      <c r="AT14" s="41"/>
      <c r="AU14" s="41"/>
      <c r="AV14" s="41"/>
      <c r="AW14" s="41"/>
      <c r="AX14" s="41"/>
      <c r="AY14" s="41"/>
      <c r="AZ14" s="41"/>
    </row>
    <row r="15">
      <c r="B15" s="41"/>
      <c r="C15" s="41"/>
      <c r="D15" s="41"/>
      <c r="E15" s="41"/>
      <c r="F15" s="41"/>
      <c r="G15" s="41"/>
      <c r="H15" s="41"/>
      <c r="I15" s="41">
        <f>IFERROR(__xludf.DUMMYFUNCTION("""COMPUTED_VALUE"""),11.0)</f>
        <v>11</v>
      </c>
      <c r="J15" s="41"/>
      <c r="K15" s="41" t="str">
        <f>IFERROR(__xludf.DUMMYFUNCTION("""COMPUTED_VALUE"""),"Y")</f>
        <v>Y</v>
      </c>
      <c r="L15" s="41"/>
      <c r="M15" s="41" t="str">
        <f>IFERROR(__xludf.DUMMYFUNCTION("""COMPUTED_VALUE"""),"Journal")</f>
        <v>Journal</v>
      </c>
      <c r="N15" s="66">
        <f>IFERROR(__xludf.DUMMYFUNCTION("""COMPUTED_VALUE"""),45622.0)</f>
        <v>45622</v>
      </c>
      <c r="O15" s="41">
        <f>IFERROR(__xludf.DUMMYFUNCTION("""COMPUTED_VALUE"""),15125.0)</f>
        <v>15125</v>
      </c>
      <c r="P15" s="41"/>
      <c r="Q15" s="41"/>
      <c r="R15" s="41"/>
      <c r="S15" s="41"/>
      <c r="T15" s="41"/>
      <c r="U15" s="72" t="str">
        <f>IFERROR(__xludf.DUMMYFUNCTION("""COMPUTED_VALUE"""),"資廚管理顧問股份有限公司(公司卡)_202411_Miro年費20241110-20251110(預估)(已攤分J15332)")</f>
        <v>資廚管理顧問股份有限公司(公司卡)_202411_Miro年費20241110-20251110(預估)(已攤分J15332)</v>
      </c>
      <c r="V15" s="41"/>
      <c r="W15" s="41"/>
      <c r="X15" s="41"/>
      <c r="Y15" s="71">
        <f>IFERROR(__xludf.DUMMYFUNCTION("""COMPUTED_VALUE"""),1757.0)</f>
        <v>1757</v>
      </c>
      <c r="Z15" s="41">
        <f>IFERROR(__xludf.DUMMYFUNCTION("""COMPUTED_VALUE"""),520001.0)</f>
        <v>520001</v>
      </c>
      <c r="AA15" s="41" t="str">
        <f>IFERROR(__xludf.DUMMYFUNCTION("""COMPUTED_VALUE"""),"研發中心")</f>
        <v>研發中心</v>
      </c>
      <c r="AB15" s="70" t="str">
        <f>IFERROR(__xludf.DUMMYFUNCTION("""COMPUTED_VALUE"""),"執行長室 : 研發中心 : 軟體工程部")</f>
        <v>執行長室 : 研發中心 : 軟體工程部</v>
      </c>
      <c r="AC15" s="70" t="str">
        <f>IFERROR(__xludf.DUMMYFUNCTION("""COMPUTED_VALUE"""),"No_Product_Line")</f>
        <v>No_Product_Line</v>
      </c>
      <c r="AD15" s="70" t="str">
        <f>IFERROR(__xludf.DUMMYFUNCTION("""COMPUTED_VALUE"""),"Baseline")</f>
        <v>Baseline</v>
      </c>
      <c r="AE15" s="70" t="str">
        <f>IFERROR(__xludf.DUMMYFUNCTION("""COMPUTED_VALUE"""),"Baseline")</f>
        <v>Baseline</v>
      </c>
      <c r="AF15" s="71">
        <f>IFERROR(__xludf.DUMMYFUNCTION("""COMPUTED_VALUE"""),21049.0)</f>
        <v>21049</v>
      </c>
      <c r="AG15" s="71">
        <f>IFERROR(__xludf.DUMMYFUNCTION("""COMPUTED_VALUE"""),12.0)</f>
        <v>12</v>
      </c>
      <c r="AH15" s="71">
        <f>IFERROR(__xludf.DUMMYFUNCTION("""COMPUTED_VALUE"""),19292.0)</f>
        <v>19292</v>
      </c>
      <c r="AI15" s="71">
        <f>IFERROR(__xludf.DUMMYFUNCTION("""COMPUTED_VALUE"""),3515.0)</f>
        <v>3515</v>
      </c>
      <c r="AJ15" s="71">
        <f>IFERROR(__xludf.DUMMYFUNCTION("""COMPUTED_VALUE"""),1753.0)</f>
        <v>1753</v>
      </c>
      <c r="AK15" s="71">
        <f>IFERROR(__xludf.DUMMYFUNCTION("""COMPUTED_VALUE"""),1753.0)</f>
        <v>1753</v>
      </c>
      <c r="AL15" s="71">
        <f>IFERROR(__xludf.DUMMYFUNCTION("""COMPUTED_VALUE"""),1753.0)</f>
        <v>1753</v>
      </c>
      <c r="AM15" s="71">
        <f>IFERROR(__xludf.DUMMYFUNCTION("""COMPUTED_VALUE"""),1753.0)</f>
        <v>1753</v>
      </c>
      <c r="AN15" s="71">
        <f>IFERROR(__xludf.DUMMYFUNCTION("""COMPUTED_VALUE"""),1753.0)</f>
        <v>1753</v>
      </c>
      <c r="AO15" s="71">
        <f>IFERROR(__xludf.DUMMYFUNCTION("""COMPUTED_VALUE"""),1753.0)</f>
        <v>1753</v>
      </c>
      <c r="AP15" s="71">
        <f>IFERROR(__xludf.DUMMYFUNCTION("""COMPUTED_VALUE"""),1753.0)</f>
        <v>1753</v>
      </c>
      <c r="AQ15" s="71">
        <f>IFERROR(__xludf.DUMMYFUNCTION("""COMPUTED_VALUE"""),1753.0)</f>
        <v>1753</v>
      </c>
      <c r="AR15" s="71">
        <f>IFERROR(__xludf.DUMMYFUNCTION("""COMPUTED_VALUE"""),1753.0)</f>
        <v>1753</v>
      </c>
      <c r="AS15" s="71">
        <f>IFERROR(__xludf.DUMMYFUNCTION("""COMPUTED_VALUE"""),1757.0)</f>
        <v>1757</v>
      </c>
      <c r="AT15" s="41"/>
      <c r="AU15" s="41"/>
      <c r="AV15" s="41"/>
      <c r="AW15" s="41"/>
      <c r="AX15" s="41"/>
      <c r="AY15" s="41"/>
      <c r="AZ15" s="41"/>
    </row>
    <row r="16">
      <c r="B16" s="41"/>
      <c r="C16" s="41"/>
      <c r="D16" s="41"/>
      <c r="E16" s="41"/>
      <c r="F16" s="41"/>
      <c r="G16" s="41"/>
      <c r="H16" s="41"/>
      <c r="I16" s="41">
        <f>IFERROR(__xludf.DUMMYFUNCTION("""COMPUTED_VALUE"""),12.0)</f>
        <v>12</v>
      </c>
      <c r="J16" s="41"/>
      <c r="K16" s="41" t="str">
        <f>IFERROR(__xludf.DUMMYFUNCTION("""COMPUTED_VALUE"""),"Y")</f>
        <v>Y</v>
      </c>
      <c r="L16" s="41"/>
      <c r="M16" s="41" t="str">
        <f>IFERROR(__xludf.DUMMYFUNCTION("""COMPUTED_VALUE"""),"Journal")</f>
        <v>Journal</v>
      </c>
      <c r="N16" s="66">
        <f>IFERROR(__xludf.DUMMYFUNCTION("""COMPUTED_VALUE"""),45622.0)</f>
        <v>45622</v>
      </c>
      <c r="O16" s="41">
        <f>IFERROR(__xludf.DUMMYFUNCTION("""COMPUTED_VALUE"""),15125.0)</f>
        <v>15125</v>
      </c>
      <c r="P16" s="41"/>
      <c r="Q16" s="41"/>
      <c r="R16" s="41"/>
      <c r="S16" s="41"/>
      <c r="T16" s="41"/>
      <c r="U16" s="41" t="str">
        <f>IFERROR(__xludf.DUMMYFUNCTION("""COMPUTED_VALUE"""),"資廚管理顧問股份有限公司(公司卡)_202411_Miro年費20241110-20251110(預估)(已攤分J15332)")</f>
        <v>資廚管理顧問股份有限公司(公司卡)_202411_Miro年費20241110-20251110(預估)(已攤分J15332)</v>
      </c>
      <c r="V16" s="41"/>
      <c r="W16" s="41"/>
      <c r="X16" s="41"/>
      <c r="Y16" s="71">
        <f>IFERROR(__xludf.DUMMYFUNCTION("""COMPUTED_VALUE"""),6172.0)</f>
        <v>6172</v>
      </c>
      <c r="Z16" s="41">
        <f>IFERROR(__xludf.DUMMYFUNCTION("""COMPUTED_VALUE"""),520001.0)</f>
        <v>520001</v>
      </c>
      <c r="AA16" s="41" t="str">
        <f>IFERROR(__xludf.DUMMYFUNCTION("""COMPUTED_VALUE"""),"研發中心")</f>
        <v>研發中心</v>
      </c>
      <c r="AB16" s="70" t="str">
        <f>IFERROR(__xludf.DUMMYFUNCTION("""COMPUTED_VALUE"""),"執行長室 : 研發中心 : 軟體工程部")</f>
        <v>執行長室 : 研發中心 : 軟體工程部</v>
      </c>
      <c r="AC16" s="70" t="str">
        <f>IFERROR(__xludf.DUMMYFUNCTION("""COMPUTED_VALUE"""),"No_Product_Line")</f>
        <v>No_Product_Line</v>
      </c>
      <c r="AD16" s="70" t="str">
        <f>IFERROR(__xludf.DUMMYFUNCTION("""COMPUTED_VALUE"""),"Baseline")</f>
        <v>Baseline</v>
      </c>
      <c r="AE16" s="70" t="str">
        <f>IFERROR(__xludf.DUMMYFUNCTION("""COMPUTED_VALUE"""),"Baseline")</f>
        <v>Baseline</v>
      </c>
      <c r="AF16" s="71">
        <f>IFERROR(__xludf.DUMMYFUNCTION("""COMPUTED_VALUE"""),74039.0)</f>
        <v>74039</v>
      </c>
      <c r="AG16" s="71">
        <f>IFERROR(__xludf.DUMMYFUNCTION("""COMPUTED_VALUE"""),12.0)</f>
        <v>12</v>
      </c>
      <c r="AH16" s="71">
        <f>IFERROR(__xludf.DUMMYFUNCTION("""COMPUTED_VALUE"""),67867.0)</f>
        <v>67867</v>
      </c>
      <c r="AI16" s="71">
        <f>IFERROR(__xludf.DUMMYFUNCTION("""COMPUTED_VALUE"""),12364.0)</f>
        <v>12364</v>
      </c>
      <c r="AJ16" s="71">
        <f>IFERROR(__xludf.DUMMYFUNCTION("""COMPUTED_VALUE"""),6167.0)</f>
        <v>6167</v>
      </c>
      <c r="AK16" s="71">
        <f>IFERROR(__xludf.DUMMYFUNCTION("""COMPUTED_VALUE"""),6167.0)</f>
        <v>6167</v>
      </c>
      <c r="AL16" s="71">
        <f>IFERROR(__xludf.DUMMYFUNCTION("""COMPUTED_VALUE"""),6167.0)</f>
        <v>6167</v>
      </c>
      <c r="AM16" s="71">
        <f>IFERROR(__xludf.DUMMYFUNCTION("""COMPUTED_VALUE"""),6167.0)</f>
        <v>6167</v>
      </c>
      <c r="AN16" s="71">
        <f>IFERROR(__xludf.DUMMYFUNCTION("""COMPUTED_VALUE"""),6167.0)</f>
        <v>6167</v>
      </c>
      <c r="AO16" s="71">
        <f>IFERROR(__xludf.DUMMYFUNCTION("""COMPUTED_VALUE"""),6167.0)</f>
        <v>6167</v>
      </c>
      <c r="AP16" s="71">
        <f>IFERROR(__xludf.DUMMYFUNCTION("""COMPUTED_VALUE"""),6167.0)</f>
        <v>6167</v>
      </c>
      <c r="AQ16" s="71">
        <f>IFERROR(__xludf.DUMMYFUNCTION("""COMPUTED_VALUE"""),6167.0)</f>
        <v>6167</v>
      </c>
      <c r="AR16" s="71">
        <f>IFERROR(__xludf.DUMMYFUNCTION("""COMPUTED_VALUE"""),6167.0)</f>
        <v>6167</v>
      </c>
      <c r="AS16" s="71">
        <f>IFERROR(__xludf.DUMMYFUNCTION("""COMPUTED_VALUE"""),6172.0)</f>
        <v>6172</v>
      </c>
      <c r="AT16" s="41"/>
      <c r="AU16" s="41"/>
      <c r="AV16" s="41"/>
      <c r="AW16" s="41"/>
      <c r="AX16" s="41"/>
      <c r="AY16" s="41"/>
      <c r="AZ16" s="41"/>
    </row>
    <row r="17">
      <c r="B17" s="41"/>
      <c r="C17" s="41"/>
      <c r="D17" s="41"/>
      <c r="E17" s="41"/>
      <c r="F17" s="41"/>
      <c r="G17" s="41"/>
      <c r="H17" s="41"/>
      <c r="I17" s="41">
        <f>IFERROR(__xludf.DUMMYFUNCTION("""COMPUTED_VALUE"""),13.0)</f>
        <v>13</v>
      </c>
      <c r="J17" s="41"/>
      <c r="K17" s="41" t="str">
        <f>IFERROR(__xludf.DUMMYFUNCTION("""COMPUTED_VALUE"""),"Y")</f>
        <v>Y</v>
      </c>
      <c r="L17" s="41"/>
      <c r="M17" s="41" t="str">
        <f>IFERROR(__xludf.DUMMYFUNCTION("""COMPUTED_VALUE"""),"Journal")</f>
        <v>Journal</v>
      </c>
      <c r="N17" s="66">
        <f>IFERROR(__xludf.DUMMYFUNCTION("""COMPUTED_VALUE"""),45622.0)</f>
        <v>45622</v>
      </c>
      <c r="O17" s="41">
        <f>IFERROR(__xludf.DUMMYFUNCTION("""COMPUTED_VALUE"""),15125.0)</f>
        <v>15125</v>
      </c>
      <c r="P17" s="41"/>
      <c r="Q17" s="41"/>
      <c r="R17" s="41"/>
      <c r="S17" s="41"/>
      <c r="T17" s="41"/>
      <c r="U17" s="41" t="str">
        <f>IFERROR(__xludf.DUMMYFUNCTION("""COMPUTED_VALUE"""),"Adobe 2024 續約約期 2024/11/24-2025/11/23（刷精靈卡）_PCPR-1878(沖)ER4448")</f>
        <v>Adobe 2024 續約約期 2024/11/24-2025/11/23（刷精靈卡）_PCPR-1878(沖)ER4448</v>
      </c>
      <c r="V17" s="41"/>
      <c r="W17" s="41"/>
      <c r="X17" s="41"/>
      <c r="Y17" s="71">
        <f>IFERROR(__xludf.DUMMYFUNCTION("""COMPUTED_VALUE"""),10849.0)</f>
        <v>10849</v>
      </c>
      <c r="Z17" s="41">
        <f>IFERROR(__xludf.DUMMYFUNCTION("""COMPUTED_VALUE"""),613201.0)</f>
        <v>613201</v>
      </c>
      <c r="AA17" s="41" t="str">
        <f>IFERROR(__xludf.DUMMYFUNCTION("""COMPUTED_VALUE"""),"研發中心")</f>
        <v>研發中心</v>
      </c>
      <c r="AB17" s="70" t="str">
        <f>IFERROR(__xludf.DUMMYFUNCTION("""COMPUTED_VALUE"""),"執行長室 : 研發中心 : 軟體工程部")</f>
        <v>執行長室 : 研發中心 : 軟體工程部</v>
      </c>
      <c r="AC17" s="70" t="str">
        <f>IFERROR(__xludf.DUMMYFUNCTION("""COMPUTED_VALUE"""),"No_Product_Line")</f>
        <v>No_Product_Line</v>
      </c>
      <c r="AD17" s="70" t="str">
        <f>IFERROR(__xludf.DUMMYFUNCTION("""COMPUTED_VALUE"""),"Baseline")</f>
        <v>Baseline</v>
      </c>
      <c r="AE17" s="70" t="str">
        <f>IFERROR(__xludf.DUMMYFUNCTION("""COMPUTED_VALUE"""),"Baseline")</f>
        <v>Baseline</v>
      </c>
      <c r="AF17" s="71">
        <f>IFERROR(__xludf.DUMMYFUNCTION("""COMPUTED_VALUE"""),130284.0)</f>
        <v>130284</v>
      </c>
      <c r="AG17" s="71">
        <f>IFERROR(__xludf.DUMMYFUNCTION("""COMPUTED_VALUE"""),12.0)</f>
        <v>12</v>
      </c>
      <c r="AH17" s="71">
        <f>IFERROR(__xludf.DUMMYFUNCTION("""COMPUTED_VALUE"""),119435.0)</f>
        <v>119435</v>
      </c>
      <c r="AI17" s="71">
        <f>IFERROR(__xludf.DUMMYFUNCTION("""COMPUTED_VALUE"""),21758.0)</f>
        <v>21758</v>
      </c>
      <c r="AJ17" s="71">
        <f>IFERROR(__xludf.DUMMYFUNCTION("""COMPUTED_VALUE"""),10853.0)</f>
        <v>10853</v>
      </c>
      <c r="AK17" s="71">
        <f>IFERROR(__xludf.DUMMYFUNCTION("""COMPUTED_VALUE"""),10853.0)</f>
        <v>10853</v>
      </c>
      <c r="AL17" s="71">
        <f>IFERROR(__xludf.DUMMYFUNCTION("""COMPUTED_VALUE"""),10853.0)</f>
        <v>10853</v>
      </c>
      <c r="AM17" s="71">
        <f>IFERROR(__xludf.DUMMYFUNCTION("""COMPUTED_VALUE"""),10853.0)</f>
        <v>10853</v>
      </c>
      <c r="AN17" s="71">
        <f>IFERROR(__xludf.DUMMYFUNCTION("""COMPUTED_VALUE"""),10853.0)</f>
        <v>10853</v>
      </c>
      <c r="AO17" s="71">
        <f>IFERROR(__xludf.DUMMYFUNCTION("""COMPUTED_VALUE"""),10853.0)</f>
        <v>10853</v>
      </c>
      <c r="AP17" s="71">
        <f>IFERROR(__xludf.DUMMYFUNCTION("""COMPUTED_VALUE"""),10853.0)</f>
        <v>10853</v>
      </c>
      <c r="AQ17" s="71">
        <f>IFERROR(__xludf.DUMMYFUNCTION("""COMPUTED_VALUE"""),10853.0)</f>
        <v>10853</v>
      </c>
      <c r="AR17" s="71">
        <f>IFERROR(__xludf.DUMMYFUNCTION("""COMPUTED_VALUE"""),10853.0)</f>
        <v>10853</v>
      </c>
      <c r="AS17" s="71">
        <f>IFERROR(__xludf.DUMMYFUNCTION("""COMPUTED_VALUE"""),10849.0)</f>
        <v>10849</v>
      </c>
      <c r="AT17" s="41"/>
      <c r="AU17" s="41"/>
      <c r="AV17" s="41"/>
      <c r="AW17" s="41"/>
      <c r="AX17" s="41"/>
      <c r="AY17" s="41"/>
      <c r="AZ17" s="41"/>
    </row>
    <row r="18">
      <c r="B18" s="41"/>
      <c r="C18" s="41"/>
      <c r="D18" s="41"/>
      <c r="E18" s="41"/>
      <c r="F18" s="41"/>
      <c r="G18" s="41"/>
      <c r="H18" s="41"/>
      <c r="I18" s="41">
        <f>IFERROR(__xludf.DUMMYFUNCTION("""COMPUTED_VALUE"""),14.0)</f>
        <v>14</v>
      </c>
      <c r="J18" s="41"/>
      <c r="K18" s="41" t="str">
        <f>IFERROR(__xludf.DUMMYFUNCTION("""COMPUTED_VALUE"""),"Y")</f>
        <v>Y</v>
      </c>
      <c r="L18" s="41"/>
      <c r="M18" s="41" t="str">
        <f>IFERROR(__xludf.DUMMYFUNCTION("""COMPUTED_VALUE"""),"Journal")</f>
        <v>Journal</v>
      </c>
      <c r="N18" s="66">
        <f>IFERROR(__xludf.DUMMYFUNCTION("""COMPUTED_VALUE"""),45622.0)</f>
        <v>45622</v>
      </c>
      <c r="O18" s="41">
        <f>IFERROR(__xludf.DUMMYFUNCTION("""COMPUTED_VALUE"""),15125.0)</f>
        <v>15125</v>
      </c>
      <c r="P18" s="41"/>
      <c r="Q18" s="41"/>
      <c r="R18" s="41"/>
      <c r="S18" s="41"/>
      <c r="T18" s="41"/>
      <c r="U18" s="72" t="str">
        <f>IFERROR(__xludf.DUMMYFUNCTION("""COMPUTED_VALUE"""),"資廚管理顧問股份有限公司(公司卡)_NewRelic_202410_帳單(續約年費)(20241103 - 20251102)(沖)ER4506")</f>
        <v>資廚管理顧問股份有限公司(公司卡)_NewRelic_202410_帳單(續約年費)(20241103 - 20251102)(沖)ER4506</v>
      </c>
      <c r="V18" s="41"/>
      <c r="W18" s="41"/>
      <c r="X18" s="41"/>
      <c r="Y18" s="71">
        <f>IFERROR(__xludf.DUMMYFUNCTION("""COMPUTED_VALUE"""),40489.0)</f>
        <v>40489</v>
      </c>
      <c r="Z18" s="41">
        <f>IFERROR(__xludf.DUMMYFUNCTION("""COMPUTED_VALUE"""),520001.0)</f>
        <v>520001</v>
      </c>
      <c r="AA18" s="41" t="str">
        <f>IFERROR(__xludf.DUMMYFUNCTION("""COMPUTED_VALUE"""),"研發中心")</f>
        <v>研發中心</v>
      </c>
      <c r="AB18" s="70" t="str">
        <f>IFERROR(__xludf.DUMMYFUNCTION("""COMPUTED_VALUE"""),"執行長室 : 研發中心 : 軟體工程部")</f>
        <v>執行長室 : 研發中心 : 軟體工程部</v>
      </c>
      <c r="AC18" s="70" t="str">
        <f>IFERROR(__xludf.DUMMYFUNCTION("""COMPUTED_VALUE"""),"No_Product_Line")</f>
        <v>No_Product_Line</v>
      </c>
      <c r="AD18" s="70" t="str">
        <f>IFERROR(__xludf.DUMMYFUNCTION("""COMPUTED_VALUE"""),"Baseline")</f>
        <v>Baseline</v>
      </c>
      <c r="AE18" s="70" t="str">
        <f>IFERROR(__xludf.DUMMYFUNCTION("""COMPUTED_VALUE"""),"Baseline")</f>
        <v>Baseline</v>
      </c>
      <c r="AF18" s="71">
        <f>IFERROR(__xludf.DUMMYFUNCTION("""COMPUTED_VALUE"""),486106.0)</f>
        <v>486106</v>
      </c>
      <c r="AG18" s="71">
        <f>IFERROR(__xludf.DUMMYFUNCTION("""COMPUTED_VALUE"""),12.0)</f>
        <v>12</v>
      </c>
      <c r="AH18" s="71">
        <f>IFERROR(__xludf.DUMMYFUNCTION("""COMPUTED_VALUE"""),445617.0)</f>
        <v>445617</v>
      </c>
      <c r="AI18" s="71">
        <f>IFERROR(__xludf.DUMMYFUNCTION("""COMPUTED_VALUE"""),81180.0)</f>
        <v>81180</v>
      </c>
      <c r="AJ18" s="71">
        <f>IFERROR(__xludf.DUMMYFUNCTION("""COMPUTED_VALUE"""),40493.0)</f>
        <v>40493</v>
      </c>
      <c r="AK18" s="71">
        <f>IFERROR(__xludf.DUMMYFUNCTION("""COMPUTED_VALUE"""),40493.0)</f>
        <v>40493</v>
      </c>
      <c r="AL18" s="71">
        <f>IFERROR(__xludf.DUMMYFUNCTION("""COMPUTED_VALUE"""),40493.0)</f>
        <v>40493</v>
      </c>
      <c r="AM18" s="71">
        <f>IFERROR(__xludf.DUMMYFUNCTION("""COMPUTED_VALUE"""),40493.0)</f>
        <v>40493</v>
      </c>
      <c r="AN18" s="71">
        <f>IFERROR(__xludf.DUMMYFUNCTION("""COMPUTED_VALUE"""),40493.0)</f>
        <v>40493</v>
      </c>
      <c r="AO18" s="71">
        <f>IFERROR(__xludf.DUMMYFUNCTION("""COMPUTED_VALUE"""),40493.0)</f>
        <v>40493</v>
      </c>
      <c r="AP18" s="71">
        <f>IFERROR(__xludf.DUMMYFUNCTION("""COMPUTED_VALUE"""),40493.0)</f>
        <v>40493</v>
      </c>
      <c r="AQ18" s="71">
        <f>IFERROR(__xludf.DUMMYFUNCTION("""COMPUTED_VALUE"""),40493.0)</f>
        <v>40493</v>
      </c>
      <c r="AR18" s="71">
        <f>IFERROR(__xludf.DUMMYFUNCTION("""COMPUTED_VALUE"""),40493.0)</f>
        <v>40493</v>
      </c>
      <c r="AS18" s="71">
        <f>IFERROR(__xludf.DUMMYFUNCTION("""COMPUTED_VALUE"""),40489.0)</f>
        <v>40489</v>
      </c>
      <c r="AT18" s="41"/>
      <c r="AU18" s="41"/>
      <c r="AV18" s="41"/>
      <c r="AW18" s="41"/>
      <c r="AX18" s="41"/>
      <c r="AY18" s="41"/>
      <c r="AZ18" s="41"/>
    </row>
    <row r="19">
      <c r="B19" s="41"/>
      <c r="C19" s="41"/>
      <c r="D19" s="41"/>
      <c r="E19" s="41"/>
      <c r="F19" s="41"/>
      <c r="G19" s="41"/>
      <c r="H19" s="41"/>
      <c r="I19" s="41">
        <f>IFERROR(__xludf.DUMMYFUNCTION("""COMPUTED_VALUE"""),15.0)</f>
        <v>15</v>
      </c>
      <c r="J19" s="41"/>
      <c r="K19" s="41" t="str">
        <f>IFERROR(__xludf.DUMMYFUNCTION("""COMPUTED_VALUE"""),"Y")</f>
        <v>Y</v>
      </c>
      <c r="L19" s="41"/>
      <c r="M19" s="41" t="str">
        <f>IFERROR(__xludf.DUMMYFUNCTION("""COMPUTED_VALUE"""),"Journal")</f>
        <v>Journal</v>
      </c>
      <c r="N19" s="66">
        <f>IFERROR(__xludf.DUMMYFUNCTION("""COMPUTED_VALUE"""),45622.0)</f>
        <v>45622</v>
      </c>
      <c r="O19" s="41">
        <f>IFERROR(__xludf.DUMMYFUNCTION("""COMPUTED_VALUE"""),15125.0)</f>
        <v>15125</v>
      </c>
      <c r="P19" s="41"/>
      <c r="Q19" s="41"/>
      <c r="R19" s="41"/>
      <c r="S19" s="41"/>
      <c r="T19" s="41"/>
      <c r="U19" s="41" t="str">
        <f>IFERROR(__xludf.DUMMYFUNCTION("""COMPUTED_VALUE"""),"伊雲谷數位科技股份有限公司_ECV_202410_AWS 雲端服務費用預付 2024/10/01~2025/09/30費用(USD30351.87 * 32.09)")</f>
        <v>伊雲谷數位科技股份有限公司_ECV_202410_AWS 雲端服務費用預付 2024/10/01~2025/09/30費用(USD30351.87 * 32.09)</v>
      </c>
      <c r="V19" s="41"/>
      <c r="W19" s="41"/>
      <c r="X19" s="41"/>
      <c r="Y19" s="71">
        <f>IFERROR(__xludf.DUMMYFUNCTION("""COMPUTED_VALUE"""),0.0)</f>
        <v>0</v>
      </c>
      <c r="Z19" s="41">
        <f>IFERROR(__xludf.DUMMYFUNCTION("""COMPUTED_VALUE"""),520001.0)</f>
        <v>520001</v>
      </c>
      <c r="AA19" s="41" t="str">
        <f>IFERROR(__xludf.DUMMYFUNCTION("""COMPUTED_VALUE"""),"研發中心")</f>
        <v>研發中心</v>
      </c>
      <c r="AB19" s="70" t="str">
        <f>IFERROR(__xludf.DUMMYFUNCTION("""COMPUTED_VALUE"""),"執行長室 : 研發中心 : 軟體工程部")</f>
        <v>執行長室 : 研發中心 : 軟體工程部</v>
      </c>
      <c r="AC19" s="70" t="str">
        <f>IFERROR(__xludf.DUMMYFUNCTION("""COMPUTED_VALUE"""),"No_Product_Line")</f>
        <v>No_Product_Line</v>
      </c>
      <c r="AD19" s="70" t="str">
        <f>IFERROR(__xludf.DUMMYFUNCTION("""COMPUTED_VALUE"""),"Baseline")</f>
        <v>Baseline</v>
      </c>
      <c r="AE19" s="70" t="str">
        <f>IFERROR(__xludf.DUMMYFUNCTION("""COMPUTED_VALUE"""),"Baseline")</f>
        <v>Baseline</v>
      </c>
      <c r="AF19" s="71">
        <f>IFERROR(__xludf.DUMMYFUNCTION("""COMPUTED_VALUE"""),973992.0)</f>
        <v>973992</v>
      </c>
      <c r="AG19" s="71">
        <f>IFERROR(__xludf.DUMMYFUNCTION("""COMPUTED_VALUE"""),12.0)</f>
        <v>12</v>
      </c>
      <c r="AH19" s="71">
        <f>IFERROR(__xludf.DUMMYFUNCTION("""COMPUTED_VALUE"""),973992.0)</f>
        <v>973992</v>
      </c>
      <c r="AI19" s="71">
        <f>IFERROR(__xludf.DUMMYFUNCTION("""COMPUTED_VALUE"""),243791.0)</f>
        <v>243791</v>
      </c>
      <c r="AJ19" s="71">
        <f>IFERROR(__xludf.DUMMYFUNCTION("""COMPUTED_VALUE"""),81134.0)</f>
        <v>81134</v>
      </c>
      <c r="AK19" s="71">
        <f>IFERROR(__xludf.DUMMYFUNCTION("""COMPUTED_VALUE"""),81134.0)</f>
        <v>81134</v>
      </c>
      <c r="AL19" s="71">
        <f>IFERROR(__xludf.DUMMYFUNCTION("""COMPUTED_VALUE"""),81134.0)</f>
        <v>81134</v>
      </c>
      <c r="AM19" s="71">
        <f>IFERROR(__xludf.DUMMYFUNCTION("""COMPUTED_VALUE"""),81134.0)</f>
        <v>81134</v>
      </c>
      <c r="AN19" s="71">
        <f>IFERROR(__xludf.DUMMYFUNCTION("""COMPUTED_VALUE"""),81134.0)</f>
        <v>81134</v>
      </c>
      <c r="AO19" s="71">
        <f>IFERROR(__xludf.DUMMYFUNCTION("""COMPUTED_VALUE"""),81134.0)</f>
        <v>81134</v>
      </c>
      <c r="AP19" s="71">
        <f>IFERROR(__xludf.DUMMYFUNCTION("""COMPUTED_VALUE"""),81134.0)</f>
        <v>81134</v>
      </c>
      <c r="AQ19" s="71">
        <f>IFERROR(__xludf.DUMMYFUNCTION("""COMPUTED_VALUE"""),81134.0)</f>
        <v>81134</v>
      </c>
      <c r="AR19" s="71">
        <f>IFERROR(__xludf.DUMMYFUNCTION("""COMPUTED_VALUE"""),81129.0)</f>
        <v>81129</v>
      </c>
      <c r="AS19" s="41"/>
      <c r="AT19" s="41"/>
      <c r="AU19" s="41"/>
      <c r="AV19" s="41"/>
      <c r="AW19" s="41"/>
      <c r="AX19" s="41"/>
      <c r="AY19" s="41"/>
      <c r="AZ19" s="41"/>
    </row>
    <row r="20">
      <c r="B20" s="41"/>
      <c r="C20" s="41"/>
      <c r="D20" s="41"/>
      <c r="E20" s="41"/>
      <c r="F20" s="41"/>
      <c r="G20" s="41"/>
      <c r="H20" s="41"/>
      <c r="I20" s="41">
        <f>IFERROR(__xludf.DUMMYFUNCTION("""COMPUTED_VALUE"""),16.0)</f>
        <v>16</v>
      </c>
      <c r="J20" s="41" t="str">
        <f>IFERROR(__xludf.DUMMYFUNCTION("""COMPUTED_VALUE"""),"Y")</f>
        <v>Y</v>
      </c>
      <c r="K20" s="41" t="str">
        <f>IFERROR(__xludf.DUMMYFUNCTION("""COMPUTED_VALUE"""),"Y")</f>
        <v>Y</v>
      </c>
      <c r="L20" s="41"/>
      <c r="M20" s="41" t="str">
        <f>IFERROR(__xludf.DUMMYFUNCTION("""COMPUTED_VALUE"""),"Journal")</f>
        <v>Journal</v>
      </c>
      <c r="N20" s="66">
        <f>IFERROR(__xludf.DUMMYFUNCTION("""COMPUTED_VALUE"""),45657.0)</f>
        <v>45657</v>
      </c>
      <c r="O20" s="41">
        <f>IFERROR(__xludf.DUMMYFUNCTION("""COMPUTED_VALUE"""),15475.0)</f>
        <v>15475</v>
      </c>
      <c r="P20" s="41"/>
      <c r="Q20" s="41"/>
      <c r="R20" s="41"/>
      <c r="S20" s="41"/>
      <c r="T20" s="41"/>
      <c r="U20" s="41" t="str">
        <f>IFERROR(__xludf.DUMMYFUNCTION("""COMPUTED_VALUE"""),"Notion_202412_核銷企業卡當月款項(20241111-20251002)(1/16扣款)12/16扣款)(沖ER4846)")</f>
        <v>Notion_202412_核銷企業卡當月款項(20241111-20251002)(1/16扣款)12/16扣款)(沖ER4846)</v>
      </c>
      <c r="V20" s="41"/>
      <c r="W20" s="41"/>
      <c r="X20" s="41"/>
      <c r="Y20" s="71">
        <f>IFERROR(__xludf.DUMMYFUNCTION("""COMPUTED_VALUE"""),0.0)</f>
        <v>0</v>
      </c>
      <c r="Z20" s="41">
        <f>IFERROR(__xludf.DUMMYFUNCTION("""COMPUTED_VALUE"""),613201.0)</f>
        <v>613201</v>
      </c>
      <c r="AA20" s="41" t="str">
        <f>IFERROR(__xludf.DUMMYFUNCTION("""COMPUTED_VALUE"""),"管理中心")</f>
        <v>管理中心</v>
      </c>
      <c r="AB20" s="70" t="str">
        <f>IFERROR(__xludf.DUMMYFUNCTION("""COMPUTED_VALUE"""),"執行長室 : 管理中心 : 行政總務部 : 行政總務團隊 : 行政總務組")</f>
        <v>執行長室 : 管理中心 : 行政總務部 : 行政總務團隊 : 行政總務組</v>
      </c>
      <c r="AC20" s="70" t="str">
        <f>IFERROR(__xludf.DUMMYFUNCTION("""COMPUTED_VALUE"""),"No_Product_Line")</f>
        <v>No_Product_Line</v>
      </c>
      <c r="AD20" s="70" t="str">
        <f>IFERROR(__xludf.DUMMYFUNCTION("""COMPUTED_VALUE"""),"Baseline")</f>
        <v>Baseline</v>
      </c>
      <c r="AE20" s="70" t="str">
        <f>IFERROR(__xludf.DUMMYFUNCTION("""COMPUTED_VALUE"""),"Baseline")</f>
        <v>Baseline</v>
      </c>
      <c r="AF20" s="71">
        <f>IFERROR(__xludf.DUMMYFUNCTION("""COMPUTED_VALUE"""),2778.0)</f>
        <v>2778</v>
      </c>
      <c r="AG20" s="71">
        <f>IFERROR(__xludf.DUMMYFUNCTION("""COMPUTED_VALUE"""),11.0)</f>
        <v>11</v>
      </c>
      <c r="AH20" s="71">
        <f>IFERROR(__xludf.DUMMYFUNCTION("""COMPUTED_VALUE"""),2778.0)</f>
        <v>2778</v>
      </c>
      <c r="AI20" s="71">
        <f>IFERROR(__xludf.DUMMYFUNCTION("""COMPUTED_VALUE"""),506.0)</f>
        <v>506</v>
      </c>
      <c r="AJ20" s="71">
        <f>IFERROR(__xludf.DUMMYFUNCTION("""COMPUTED_VALUE"""),253.0)</f>
        <v>253</v>
      </c>
      <c r="AK20" s="71">
        <f>IFERROR(__xludf.DUMMYFUNCTION("""COMPUTED_VALUE"""),253.0)</f>
        <v>253</v>
      </c>
      <c r="AL20" s="71">
        <f>IFERROR(__xludf.DUMMYFUNCTION("""COMPUTED_VALUE"""),253.0)</f>
        <v>253</v>
      </c>
      <c r="AM20" s="71">
        <f>IFERROR(__xludf.DUMMYFUNCTION("""COMPUTED_VALUE"""),253.0)</f>
        <v>253</v>
      </c>
      <c r="AN20" s="71">
        <f>IFERROR(__xludf.DUMMYFUNCTION("""COMPUTED_VALUE"""),253.0)</f>
        <v>253</v>
      </c>
      <c r="AO20" s="71">
        <f>IFERROR(__xludf.DUMMYFUNCTION("""COMPUTED_VALUE"""),253.0)</f>
        <v>253</v>
      </c>
      <c r="AP20" s="71">
        <f>IFERROR(__xludf.DUMMYFUNCTION("""COMPUTED_VALUE"""),253.0)</f>
        <v>253</v>
      </c>
      <c r="AQ20" s="71">
        <f>IFERROR(__xludf.DUMMYFUNCTION("""COMPUTED_VALUE"""),253.0)</f>
        <v>253</v>
      </c>
      <c r="AR20" s="71">
        <f>IFERROR(__xludf.DUMMYFUNCTION("""COMPUTED_VALUE"""),248.0)</f>
        <v>248</v>
      </c>
      <c r="AS20" s="41"/>
      <c r="AT20" s="41"/>
      <c r="AU20" s="41"/>
      <c r="AV20" s="41"/>
      <c r="AW20" s="41"/>
      <c r="AX20" s="41"/>
      <c r="AY20" s="41"/>
      <c r="AZ20" s="41"/>
    </row>
    <row r="21">
      <c r="B21" s="41"/>
      <c r="C21" s="41"/>
      <c r="D21" s="41"/>
      <c r="E21" s="41"/>
      <c r="F21" s="41"/>
      <c r="G21" s="41"/>
      <c r="H21" s="41"/>
      <c r="I21" s="41">
        <f>IFERROR(__xludf.DUMMYFUNCTION("""COMPUTED_VALUE"""),17.0)</f>
        <v>17</v>
      </c>
      <c r="J21" s="41"/>
      <c r="K21" s="41" t="str">
        <f>IFERROR(__xludf.DUMMYFUNCTION("""COMPUTED_VALUE"""),"Y")</f>
        <v>Y</v>
      </c>
      <c r="L21" s="41"/>
      <c r="M21" s="41" t="str">
        <f>IFERROR(__xludf.DUMMYFUNCTION("""COMPUTED_VALUE"""),"Journal")</f>
        <v>Journal</v>
      </c>
      <c r="N21" s="66">
        <f>IFERROR(__xludf.DUMMYFUNCTION("""COMPUTED_VALUE"""),45657.0)</f>
        <v>45657</v>
      </c>
      <c r="O21" s="41">
        <f>IFERROR(__xludf.DUMMYFUNCTION("""COMPUTED_VALUE"""),15704.0)</f>
        <v>15704</v>
      </c>
      <c r="P21" s="41"/>
      <c r="Q21" s="41"/>
      <c r="R21" s="41"/>
      <c r="S21" s="41"/>
      <c r="T21" s="41"/>
      <c r="U21" s="41" t="str">
        <f>IFERROR(__xludf.DUMMYFUNCTION("""COMPUTED_VALUE"""),"富邦產物保險股份有限公司_202412_商業火災保險費(113/10/29~114/10/29)(沖)ER4591")</f>
        <v>富邦產物保險股份有限公司_202412_商業火災保險費(113/10/29~114/10/29)(沖)ER4591</v>
      </c>
      <c r="V21" s="41"/>
      <c r="W21" s="41"/>
      <c r="X21" s="41"/>
      <c r="Y21" s="71">
        <f>IFERROR(__xludf.DUMMYFUNCTION("""COMPUTED_VALUE"""),0.0)</f>
        <v>0</v>
      </c>
      <c r="Z21" s="41">
        <f>IFERROR(__xludf.DUMMYFUNCTION("""COMPUTED_VALUE"""),611999.0)</f>
        <v>611999</v>
      </c>
      <c r="AA21" s="41" t="str">
        <f>IFERROR(__xludf.DUMMYFUNCTION("""COMPUTED_VALUE"""),"管理中心")</f>
        <v>管理中心</v>
      </c>
      <c r="AB21" s="70" t="str">
        <f>IFERROR(__xludf.DUMMYFUNCTION("""COMPUTED_VALUE"""),"執行長室 : 管理中心 : 行政總務部 : 行政總務團隊 : 行政總務組")</f>
        <v>執行長室 : 管理中心 : 行政總務部 : 行政總務團隊 : 行政總務組</v>
      </c>
      <c r="AC21" s="70" t="str">
        <f>IFERROR(__xludf.DUMMYFUNCTION("""COMPUTED_VALUE"""),"No_Product_Line")</f>
        <v>No_Product_Line</v>
      </c>
      <c r="AD21" s="70" t="str">
        <f>IFERROR(__xludf.DUMMYFUNCTION("""COMPUTED_VALUE"""),"Baseline")</f>
        <v>Baseline</v>
      </c>
      <c r="AE21" s="70" t="str">
        <f>IFERROR(__xludf.DUMMYFUNCTION("""COMPUTED_VALUE"""),"Baseline")</f>
        <v>Baseline</v>
      </c>
      <c r="AF21" s="71">
        <f>IFERROR(__xludf.DUMMYFUNCTION("""COMPUTED_VALUE"""),8352.0)</f>
        <v>8352</v>
      </c>
      <c r="AG21" s="71">
        <f>IFERROR(__xludf.DUMMYFUNCTION("""COMPUTED_VALUE"""),12.0)</f>
        <v>12</v>
      </c>
      <c r="AH21" s="71">
        <f>IFERROR(__xludf.DUMMYFUNCTION("""COMPUTED_VALUE"""),8352.0)</f>
        <v>8352</v>
      </c>
      <c r="AI21" s="71">
        <f>IFERROR(__xludf.DUMMYFUNCTION("""COMPUTED_VALUE"""),2091.0)</f>
        <v>2091</v>
      </c>
      <c r="AJ21" s="71">
        <f>IFERROR(__xludf.DUMMYFUNCTION("""COMPUTED_VALUE"""),696.0)</f>
        <v>696</v>
      </c>
      <c r="AK21" s="71">
        <f>IFERROR(__xludf.DUMMYFUNCTION("""COMPUTED_VALUE"""),696.0)</f>
        <v>696</v>
      </c>
      <c r="AL21" s="71">
        <f>IFERROR(__xludf.DUMMYFUNCTION("""COMPUTED_VALUE"""),696.0)</f>
        <v>696</v>
      </c>
      <c r="AM21" s="71">
        <f>IFERROR(__xludf.DUMMYFUNCTION("""COMPUTED_VALUE"""),696.0)</f>
        <v>696</v>
      </c>
      <c r="AN21" s="71">
        <f>IFERROR(__xludf.DUMMYFUNCTION("""COMPUTED_VALUE"""),696.0)</f>
        <v>696</v>
      </c>
      <c r="AO21" s="71">
        <f>IFERROR(__xludf.DUMMYFUNCTION("""COMPUTED_VALUE"""),696.0)</f>
        <v>696</v>
      </c>
      <c r="AP21" s="71">
        <f>IFERROR(__xludf.DUMMYFUNCTION("""COMPUTED_VALUE"""),696.0)</f>
        <v>696</v>
      </c>
      <c r="AQ21" s="71">
        <f>IFERROR(__xludf.DUMMYFUNCTION("""COMPUTED_VALUE"""),696.0)</f>
        <v>696</v>
      </c>
      <c r="AR21" s="71">
        <f>IFERROR(__xludf.DUMMYFUNCTION("""COMPUTED_VALUE"""),693.0)</f>
        <v>693</v>
      </c>
      <c r="AS21" s="41"/>
      <c r="AT21" s="41"/>
      <c r="AU21" s="41"/>
      <c r="AV21" s="41"/>
      <c r="AW21" s="41"/>
      <c r="AX21" s="41"/>
      <c r="AY21" s="41"/>
      <c r="AZ21" s="41"/>
    </row>
    <row r="22">
      <c r="B22" s="41"/>
      <c r="C22" s="41"/>
      <c r="D22" s="41"/>
      <c r="E22" s="41"/>
      <c r="F22" s="41"/>
      <c r="G22" s="41"/>
      <c r="H22" s="41"/>
      <c r="I22" s="41">
        <f>IFERROR(__xludf.DUMMYFUNCTION("""COMPUTED_VALUE"""),18.0)</f>
        <v>18</v>
      </c>
      <c r="J22" s="41" t="str">
        <f>IFERROR(__xludf.DUMMYFUNCTION("""COMPUTED_VALUE"""),"Y")</f>
        <v>Y</v>
      </c>
      <c r="K22" s="41" t="str">
        <f>IFERROR(__xludf.DUMMYFUNCTION("""COMPUTED_VALUE"""),"Y")</f>
        <v>Y</v>
      </c>
      <c r="L22" s="41"/>
      <c r="M22" s="41" t="str">
        <f>IFERROR(__xludf.DUMMYFUNCTION("""COMPUTED_VALUE"""),"Journal")</f>
        <v>Journal</v>
      </c>
      <c r="N22" s="66">
        <f>IFERROR(__xludf.DUMMYFUNCTION("""COMPUTED_VALUE"""),45657.0)</f>
        <v>45657</v>
      </c>
      <c r="O22" s="41">
        <f>IFERROR(__xludf.DUMMYFUNCTION("""COMPUTED_VALUE"""),15475.0)</f>
        <v>15475</v>
      </c>
      <c r="P22" s="41"/>
      <c r="Q22" s="41"/>
      <c r="R22" s="41"/>
      <c r="S22" s="41"/>
      <c r="T22" s="41"/>
      <c r="U22" s="41" t="str">
        <f>IFERROR(__xludf.DUMMYFUNCTION("""COMPUTED_VALUE"""),"Notion_202411_核銷企業卡當月款項(20241009-20251002)(12/16扣款)")</f>
        <v>Notion_202411_核銷企業卡當月款項(20241009-20251002)(12/16扣款)</v>
      </c>
      <c r="V22" s="41"/>
      <c r="W22" s="41"/>
      <c r="X22" s="41"/>
      <c r="Y22" s="71">
        <f>IFERROR(__xludf.DUMMYFUNCTION("""COMPUTED_VALUE"""),0.0)</f>
        <v>0</v>
      </c>
      <c r="Z22" s="41">
        <f>IFERROR(__xludf.DUMMYFUNCTION("""COMPUTED_VALUE"""),613201.0)</f>
        <v>613201</v>
      </c>
      <c r="AA22" s="41" t="str">
        <f>IFERROR(__xludf.DUMMYFUNCTION("""COMPUTED_VALUE"""),"管理中心")</f>
        <v>管理中心</v>
      </c>
      <c r="AB22" s="70" t="str">
        <f>IFERROR(__xludf.DUMMYFUNCTION("""COMPUTED_VALUE"""),"執行長室 : 管理中心 : 行政總務部 : 行政總務團隊 : 行政總務組")</f>
        <v>執行長室 : 管理中心 : 行政總務部 : 行政總務團隊 : 行政總務組</v>
      </c>
      <c r="AC22" s="70" t="str">
        <f>IFERROR(__xludf.DUMMYFUNCTION("""COMPUTED_VALUE"""),"No_Product_Line")</f>
        <v>No_Product_Line</v>
      </c>
      <c r="AD22" s="70" t="str">
        <f>IFERROR(__xludf.DUMMYFUNCTION("""COMPUTED_VALUE"""),"Baseline")</f>
        <v>Baseline</v>
      </c>
      <c r="AE22" s="70" t="str">
        <f>IFERROR(__xludf.DUMMYFUNCTION("""COMPUTED_VALUE"""),"Baseline")</f>
        <v>Baseline</v>
      </c>
      <c r="AF22" s="71">
        <f>IFERROR(__xludf.DUMMYFUNCTION("""COMPUTED_VALUE"""),14855.0)</f>
        <v>14855</v>
      </c>
      <c r="AG22" s="71">
        <f>IFERROR(__xludf.DUMMYFUNCTION("""COMPUTED_VALUE"""),12.0)</f>
        <v>12</v>
      </c>
      <c r="AH22" s="71">
        <f>IFERROR(__xludf.DUMMYFUNCTION("""COMPUTED_VALUE"""),14855.0)</f>
        <v>14855</v>
      </c>
      <c r="AI22" s="71">
        <f>IFERROR(__xludf.DUMMYFUNCTION("""COMPUTED_VALUE"""),3717.0)</f>
        <v>3717</v>
      </c>
      <c r="AJ22" s="71">
        <f>IFERROR(__xludf.DUMMYFUNCTION("""COMPUTED_VALUE"""),1237.0)</f>
        <v>1237</v>
      </c>
      <c r="AK22" s="71">
        <f>IFERROR(__xludf.DUMMYFUNCTION("""COMPUTED_VALUE"""),1237.0)</f>
        <v>1237</v>
      </c>
      <c r="AL22" s="71">
        <f>IFERROR(__xludf.DUMMYFUNCTION("""COMPUTED_VALUE"""),1237.0)</f>
        <v>1237</v>
      </c>
      <c r="AM22" s="71">
        <f>IFERROR(__xludf.DUMMYFUNCTION("""COMPUTED_VALUE"""),1237.0)</f>
        <v>1237</v>
      </c>
      <c r="AN22" s="71">
        <f>IFERROR(__xludf.DUMMYFUNCTION("""COMPUTED_VALUE"""),1237.0)</f>
        <v>1237</v>
      </c>
      <c r="AO22" s="71">
        <f>IFERROR(__xludf.DUMMYFUNCTION("""COMPUTED_VALUE"""),1237.0)</f>
        <v>1237</v>
      </c>
      <c r="AP22" s="71">
        <f>IFERROR(__xludf.DUMMYFUNCTION("""COMPUTED_VALUE"""),1237.0)</f>
        <v>1237</v>
      </c>
      <c r="AQ22" s="71">
        <f>IFERROR(__xludf.DUMMYFUNCTION("""COMPUTED_VALUE"""),1237.0)</f>
        <v>1237</v>
      </c>
      <c r="AR22" s="71">
        <f>IFERROR(__xludf.DUMMYFUNCTION("""COMPUTED_VALUE"""),1242.0)</f>
        <v>1242</v>
      </c>
      <c r="AS22" s="41"/>
      <c r="AT22" s="41"/>
      <c r="AU22" s="41"/>
      <c r="AV22" s="41"/>
      <c r="AW22" s="41"/>
      <c r="AX22" s="41"/>
      <c r="AY22" s="41"/>
      <c r="AZ22" s="41"/>
    </row>
    <row r="23">
      <c r="B23" s="41"/>
      <c r="C23" s="41"/>
      <c r="D23" s="41"/>
      <c r="E23" s="41"/>
      <c r="F23" s="41"/>
      <c r="G23" s="41"/>
      <c r="H23" s="41"/>
      <c r="I23" s="41">
        <f>IFERROR(__xludf.DUMMYFUNCTION("""COMPUTED_VALUE"""),19.0)</f>
        <v>19</v>
      </c>
      <c r="J23" s="41" t="str">
        <f>IFERROR(__xludf.DUMMYFUNCTION("""COMPUTED_VALUE"""),"Y")</f>
        <v>Y</v>
      </c>
      <c r="K23" s="41" t="str">
        <f>IFERROR(__xludf.DUMMYFUNCTION("""COMPUTED_VALUE"""),"Y")</f>
        <v>Y</v>
      </c>
      <c r="L23" s="41"/>
      <c r="M23" s="41" t="str">
        <f>IFERROR(__xludf.DUMMYFUNCTION("""COMPUTED_VALUE"""),"Bill")</f>
        <v>Bill</v>
      </c>
      <c r="N23" s="66">
        <f>IFERROR(__xludf.DUMMYFUNCTION("""COMPUTED_VALUE"""),45657.0)</f>
        <v>45657</v>
      </c>
      <c r="O23" s="41">
        <f>IFERROR(__xludf.DUMMYFUNCTION("""COMPUTED_VALUE"""),5852.0)</f>
        <v>5852</v>
      </c>
      <c r="P23" s="41"/>
      <c r="Q23" s="41"/>
      <c r="R23" s="41"/>
      <c r="S23" s="41"/>
      <c r="T23" s="41"/>
      <c r="U23" s="41" t="str">
        <f>IFERROR(__xludf.DUMMYFUNCTION("""COMPUTED_VALUE"""),"Salesforce.com Singapore Pte. Ltd 202412 款項_20241201-20251130_ (Slack Pro 帳號一年訂閱)[憑證在ER4778]")</f>
        <v>Salesforce.com Singapore Pte. Ltd 202412 款項_20241201-20251130_ (Slack Pro 帳號一年訂閱)[憑證在ER4778]</v>
      </c>
      <c r="V23" s="41"/>
      <c r="W23" s="41"/>
      <c r="X23" s="41"/>
      <c r="Y23" s="71">
        <f>IFERROR(__xludf.DUMMYFUNCTION("""COMPUTED_VALUE"""),85312.0)</f>
        <v>85312</v>
      </c>
      <c r="Z23" s="41">
        <f>IFERROR(__xludf.DUMMYFUNCTION("""COMPUTED_VALUE"""),613201.0)</f>
        <v>613201</v>
      </c>
      <c r="AA23" s="41" t="str">
        <f>IFERROR(__xludf.DUMMYFUNCTION("""COMPUTED_VALUE"""),"執行長室")</f>
        <v>執行長室</v>
      </c>
      <c r="AB23" s="70" t="str">
        <f>IFERROR(__xludf.DUMMYFUNCTION("""COMPUTED_VALUE"""),"執行長室 : 管理中心 : 資訊部")</f>
        <v>執行長室 : 管理中心 : 資訊部</v>
      </c>
      <c r="AC23" s="70" t="str">
        <f>IFERROR(__xludf.DUMMYFUNCTION("""COMPUTED_VALUE"""),"No_Product_Line")</f>
        <v>No_Product_Line</v>
      </c>
      <c r="AD23" s="70" t="str">
        <f>IFERROR(__xludf.DUMMYFUNCTION("""COMPUTED_VALUE"""),"Baseline")</f>
        <v>Baseline</v>
      </c>
      <c r="AE23" s="70" t="str">
        <f>IFERROR(__xludf.DUMMYFUNCTION("""COMPUTED_VALUE"""),"Baseline")</f>
        <v>Baseline</v>
      </c>
      <c r="AF23" s="71">
        <f>IFERROR(__xludf.DUMMYFUNCTION("""COMPUTED_VALUE"""),512087.0)</f>
        <v>512087</v>
      </c>
      <c r="AG23" s="71">
        <f>IFERROR(__xludf.DUMMYFUNCTION("""COMPUTED_VALUE"""),12.0)</f>
        <v>12</v>
      </c>
      <c r="AH23" s="71">
        <f>IFERROR(__xludf.DUMMYFUNCTION("""COMPUTED_VALUE"""),426775.0)</f>
        <v>426775</v>
      </c>
      <c r="AI23" s="71">
        <f>IFERROR(__xludf.DUMMYFUNCTION("""COMPUTED_VALUE"""),42862.0)</f>
        <v>42862</v>
      </c>
      <c r="AJ23" s="71">
        <f>IFERROR(__xludf.DUMMYFUNCTION("""COMPUTED_VALUE"""),42657.0)</f>
        <v>42657</v>
      </c>
      <c r="AK23" s="71">
        <f>IFERROR(__xludf.DUMMYFUNCTION("""COMPUTED_VALUE"""),42657.0)</f>
        <v>42657</v>
      </c>
      <c r="AL23" s="71">
        <f>IFERROR(__xludf.DUMMYFUNCTION("""COMPUTED_VALUE"""),42657.0)</f>
        <v>42657</v>
      </c>
      <c r="AM23" s="71">
        <f>IFERROR(__xludf.DUMMYFUNCTION("""COMPUTED_VALUE"""),42657.0)</f>
        <v>42657</v>
      </c>
      <c r="AN23" s="71">
        <f>IFERROR(__xludf.DUMMYFUNCTION("""COMPUTED_VALUE"""),42657.0)</f>
        <v>42657</v>
      </c>
      <c r="AO23" s="71">
        <f>IFERROR(__xludf.DUMMYFUNCTION("""COMPUTED_VALUE"""),42657.0)</f>
        <v>42657</v>
      </c>
      <c r="AP23" s="71">
        <f>IFERROR(__xludf.DUMMYFUNCTION("""COMPUTED_VALUE"""),42657.0)</f>
        <v>42657</v>
      </c>
      <c r="AQ23" s="71">
        <f>IFERROR(__xludf.DUMMYFUNCTION("""COMPUTED_VALUE"""),42657.0)</f>
        <v>42657</v>
      </c>
      <c r="AR23" s="71">
        <f>IFERROR(__xludf.DUMMYFUNCTION("""COMPUTED_VALUE"""),42657.0)</f>
        <v>42657</v>
      </c>
      <c r="AS23" s="71">
        <f>IFERROR(__xludf.DUMMYFUNCTION("""COMPUTED_VALUE"""),42657.0)</f>
        <v>42657</v>
      </c>
      <c r="AT23" s="71">
        <f>IFERROR(__xludf.DUMMYFUNCTION("""COMPUTED_VALUE"""),42655.0)</f>
        <v>42655</v>
      </c>
      <c r="AU23" s="41"/>
      <c r="AV23" s="41"/>
      <c r="AW23" s="41"/>
      <c r="AX23" s="41"/>
      <c r="AY23" s="41"/>
      <c r="AZ23" s="41"/>
    </row>
    <row r="24">
      <c r="B24" s="41"/>
      <c r="C24" s="41"/>
      <c r="D24" s="41"/>
      <c r="E24" s="41"/>
      <c r="F24" s="41"/>
      <c r="G24" s="41"/>
      <c r="H24" s="41"/>
      <c r="I24" s="41">
        <f>IFERROR(__xludf.DUMMYFUNCTION("""COMPUTED_VALUE"""),20.0)</f>
        <v>20</v>
      </c>
      <c r="J24" s="41" t="str">
        <f>IFERROR(__xludf.DUMMYFUNCTION("""COMPUTED_VALUE"""),"Y")</f>
        <v>Y</v>
      </c>
      <c r="K24" s="41" t="str">
        <f>IFERROR(__xludf.DUMMYFUNCTION("""COMPUTED_VALUE"""),"Y")</f>
        <v>Y</v>
      </c>
      <c r="L24" s="41"/>
      <c r="M24" s="41" t="str">
        <f>IFERROR(__xludf.DUMMYFUNCTION("""COMPUTED_VALUE"""),"Journal")</f>
        <v>Journal</v>
      </c>
      <c r="N24" s="66">
        <f>IFERROR(__xludf.DUMMYFUNCTION("""COMPUTED_VALUE"""),45657.0)</f>
        <v>45657</v>
      </c>
      <c r="O24" s="41">
        <f>IFERROR(__xludf.DUMMYFUNCTION("""COMPUTED_VALUE"""),15602.0)</f>
        <v>15602</v>
      </c>
      <c r="P24" s="41"/>
      <c r="Q24" s="41"/>
      <c r="R24" s="41"/>
      <c r="S24" s="41"/>
      <c r="T24" s="41"/>
      <c r="U24" s="41" t="str">
        <f>IFERROR(__xludf.DUMMYFUNCTION("""COMPUTED_VALUE"""),"馬來西亞商思想科技有限公司台灣分公司 2024-12 GWS(20250106-1231)_PCAR-1768(沖)ER4777")</f>
        <v>馬來西亞商思想科技有限公司台灣分公司 2024-12 GWS(20250106-1231)_PCAR-1768(沖)ER4777</v>
      </c>
      <c r="V24" s="41"/>
      <c r="W24" s="41"/>
      <c r="X24" s="41"/>
      <c r="Y24" s="71">
        <f>IFERROR(__xludf.DUMMYFUNCTION("""COMPUTED_VALUE"""),206488.0)</f>
        <v>206488</v>
      </c>
      <c r="Z24" s="41">
        <f>IFERROR(__xludf.DUMMYFUNCTION("""COMPUTED_VALUE"""),613201.0)</f>
        <v>613201</v>
      </c>
      <c r="AA24" s="41" t="str">
        <f>IFERROR(__xludf.DUMMYFUNCTION("""COMPUTED_VALUE"""),"管理中心")</f>
        <v>管理中心</v>
      </c>
      <c r="AB24" s="70" t="str">
        <f>IFERROR(__xludf.DUMMYFUNCTION("""COMPUTED_VALUE"""),"執行長室 : 管理中心 : 資訊部")</f>
        <v>執行長室 : 管理中心 : 資訊部</v>
      </c>
      <c r="AC24" s="70" t="str">
        <f>IFERROR(__xludf.DUMMYFUNCTION("""COMPUTED_VALUE"""),"No_Product_Line")</f>
        <v>No_Product_Line</v>
      </c>
      <c r="AD24" s="70" t="str">
        <f>IFERROR(__xludf.DUMMYFUNCTION("""COMPUTED_VALUE"""),"Baseline")</f>
        <v>Baseline</v>
      </c>
      <c r="AE24" s="70" t="str">
        <f>IFERROR(__xludf.DUMMYFUNCTION("""COMPUTED_VALUE"""),"Baseline")</f>
        <v>Baseline</v>
      </c>
      <c r="AF24" s="71">
        <f>IFERROR(__xludf.DUMMYFUNCTION("""COMPUTED_VALUE"""),826280.0)</f>
        <v>826280</v>
      </c>
      <c r="AG24" s="71">
        <f>IFERROR(__xludf.DUMMYFUNCTION("""COMPUTED_VALUE"""),12.0)</f>
        <v>12</v>
      </c>
      <c r="AH24" s="71">
        <f>IFERROR(__xludf.DUMMYFUNCTION("""COMPUTED_VALUE"""),619792.0)</f>
        <v>619792</v>
      </c>
      <c r="AI24" s="71">
        <f>IFERROR(__xludf.DUMMYFUNCTION("""COMPUTED_VALUE"""),0.0)</f>
        <v>0</v>
      </c>
      <c r="AJ24" s="71">
        <f>IFERROR(__xludf.DUMMYFUNCTION("""COMPUTED_VALUE"""),69160.0)</f>
        <v>69160</v>
      </c>
      <c r="AK24" s="71">
        <f>IFERROR(__xludf.DUMMYFUNCTION("""COMPUTED_VALUE"""),68829.0)</f>
        <v>68829</v>
      </c>
      <c r="AL24" s="71">
        <f>IFERROR(__xludf.DUMMYFUNCTION("""COMPUTED_VALUE"""),68829.0)</f>
        <v>68829</v>
      </c>
      <c r="AM24" s="71">
        <f>IFERROR(__xludf.DUMMYFUNCTION("""COMPUTED_VALUE"""),68829.0)</f>
        <v>68829</v>
      </c>
      <c r="AN24" s="71">
        <f>IFERROR(__xludf.DUMMYFUNCTION("""COMPUTED_VALUE"""),68829.0)</f>
        <v>68829</v>
      </c>
      <c r="AO24" s="71">
        <f>IFERROR(__xludf.DUMMYFUNCTION("""COMPUTED_VALUE"""),68829.0)</f>
        <v>68829</v>
      </c>
      <c r="AP24" s="71">
        <f>IFERROR(__xludf.DUMMYFUNCTION("""COMPUTED_VALUE"""),68829.0)</f>
        <v>68829</v>
      </c>
      <c r="AQ24" s="71">
        <f>IFERROR(__xludf.DUMMYFUNCTION("""COMPUTED_VALUE"""),68829.0)</f>
        <v>68829</v>
      </c>
      <c r="AR24" s="71">
        <f>IFERROR(__xludf.DUMMYFUNCTION("""COMPUTED_VALUE"""),68829.0)</f>
        <v>68829</v>
      </c>
      <c r="AS24" s="71">
        <f>IFERROR(__xludf.DUMMYFUNCTION("""COMPUTED_VALUE"""),68829.0)</f>
        <v>68829</v>
      </c>
      <c r="AT24" s="71">
        <f>IFERROR(__xludf.DUMMYFUNCTION("""COMPUTED_VALUE"""),68829.0)</f>
        <v>68829</v>
      </c>
      <c r="AU24" s="71">
        <f>IFERROR(__xludf.DUMMYFUNCTION("""COMPUTED_VALUE"""),68830.0)</f>
        <v>68830</v>
      </c>
      <c r="AV24" s="41"/>
      <c r="AW24" s="41"/>
      <c r="AX24" s="41"/>
      <c r="AY24" s="41"/>
      <c r="AZ24" s="41"/>
    </row>
    <row r="25">
      <c r="B25" s="41"/>
      <c r="C25" s="41"/>
      <c r="D25" s="41"/>
      <c r="E25" s="41"/>
      <c r="F25" s="41"/>
      <c r="G25" s="41"/>
      <c r="H25" s="41"/>
      <c r="I25" s="41">
        <f>IFERROR(__xludf.DUMMYFUNCTION("""COMPUTED_VALUE"""),21.0)</f>
        <v>21</v>
      </c>
      <c r="J25" s="41" t="str">
        <f>IFERROR(__xludf.DUMMYFUNCTION("""COMPUTED_VALUE"""),"Y")</f>
        <v>Y</v>
      </c>
      <c r="K25" s="41" t="str">
        <f>IFERROR(__xludf.DUMMYFUNCTION("""COMPUTED_VALUE"""),"Y")</f>
        <v>Y</v>
      </c>
      <c r="L25" s="41"/>
      <c r="M25" s="41" t="str">
        <f>IFERROR(__xludf.DUMMYFUNCTION("""COMPUTED_VALUE"""),"Journal")</f>
        <v>Journal</v>
      </c>
      <c r="N25" s="66">
        <f>IFERROR(__xludf.DUMMYFUNCTION("""COMPUTED_VALUE"""),45657.0)</f>
        <v>45657</v>
      </c>
      <c r="O25" s="41">
        <f>IFERROR(__xludf.DUMMYFUNCTION("""COMPUTED_VALUE"""),15602.0)</f>
        <v>15602</v>
      </c>
      <c r="P25" s="41"/>
      <c r="Q25" s="41"/>
      <c r="R25" s="41"/>
      <c r="S25" s="41"/>
      <c r="T25" s="41"/>
      <c r="U25" s="41" t="str">
        <f>IFERROR(__xludf.DUMMYFUNCTION("""COMPUTED_VALUE"""),"馬來西亞商思想科技有限公司台灣分公司 2024-12 Jamf(20250101-1231)_PCAR-1648(沖)ER4777")</f>
        <v>馬來西亞商思想科技有限公司台灣分公司 2024-12 Jamf(20250101-1231)_PCAR-1648(沖)ER4777</v>
      </c>
      <c r="V25" s="41"/>
      <c r="W25" s="41"/>
      <c r="X25" s="41"/>
      <c r="Y25" s="71">
        <f>IFERROR(__xludf.DUMMYFUNCTION("""COMPUTED_VALUE"""),232257.0)</f>
        <v>232257</v>
      </c>
      <c r="Z25" s="41">
        <f>IFERROR(__xludf.DUMMYFUNCTION("""COMPUTED_VALUE"""),613201.0)</f>
        <v>613201</v>
      </c>
      <c r="AA25" s="41" t="str">
        <f>IFERROR(__xludf.DUMMYFUNCTION("""COMPUTED_VALUE"""),"管理中心")</f>
        <v>管理中心</v>
      </c>
      <c r="AB25" s="70" t="str">
        <f>IFERROR(__xludf.DUMMYFUNCTION("""COMPUTED_VALUE"""),"執行長室 : 管理中心 : 資訊部")</f>
        <v>執行長室 : 管理中心 : 資訊部</v>
      </c>
      <c r="AC25" s="70" t="str">
        <f>IFERROR(__xludf.DUMMYFUNCTION("""COMPUTED_VALUE"""),"No_Product_Line")</f>
        <v>No_Product_Line</v>
      </c>
      <c r="AD25" s="70" t="str">
        <f>IFERROR(__xludf.DUMMYFUNCTION("""COMPUTED_VALUE"""),"Baseline")</f>
        <v>Baseline</v>
      </c>
      <c r="AE25" s="70" t="str">
        <f>IFERROR(__xludf.DUMMYFUNCTION("""COMPUTED_VALUE"""),"Baseline")</f>
        <v>Baseline</v>
      </c>
      <c r="AF25" s="71">
        <f>IFERROR(__xludf.DUMMYFUNCTION("""COMPUTED_VALUE"""),929400.0)</f>
        <v>929400</v>
      </c>
      <c r="AG25" s="71">
        <f>IFERROR(__xludf.DUMMYFUNCTION("""COMPUTED_VALUE"""),12.0)</f>
        <v>12</v>
      </c>
      <c r="AH25" s="71">
        <f>IFERROR(__xludf.DUMMYFUNCTION("""COMPUTED_VALUE"""),697143.0)</f>
        <v>697143</v>
      </c>
      <c r="AI25" s="71">
        <f>IFERROR(__xludf.DUMMYFUNCTION("""COMPUTED_VALUE"""),0.0)</f>
        <v>0</v>
      </c>
      <c r="AJ25" s="71">
        <f>IFERROR(__xludf.DUMMYFUNCTION("""COMPUTED_VALUE"""),77791.0)</f>
        <v>77791</v>
      </c>
      <c r="AK25" s="71">
        <f>IFERROR(__xludf.DUMMYFUNCTION("""COMPUTED_VALUE"""),77419.0)</f>
        <v>77419</v>
      </c>
      <c r="AL25" s="71">
        <f>IFERROR(__xludf.DUMMYFUNCTION("""COMPUTED_VALUE"""),77419.0)</f>
        <v>77419</v>
      </c>
      <c r="AM25" s="71">
        <f>IFERROR(__xludf.DUMMYFUNCTION("""COMPUTED_VALUE"""),77419.0)</f>
        <v>77419</v>
      </c>
      <c r="AN25" s="71">
        <f>IFERROR(__xludf.DUMMYFUNCTION("""COMPUTED_VALUE"""),77419.0)</f>
        <v>77419</v>
      </c>
      <c r="AO25" s="71">
        <f>IFERROR(__xludf.DUMMYFUNCTION("""COMPUTED_VALUE"""),77419.0)</f>
        <v>77419</v>
      </c>
      <c r="AP25" s="71">
        <f>IFERROR(__xludf.DUMMYFUNCTION("""COMPUTED_VALUE"""),77419.0)</f>
        <v>77419</v>
      </c>
      <c r="AQ25" s="71">
        <f>IFERROR(__xludf.DUMMYFUNCTION("""COMPUTED_VALUE"""),77419.0)</f>
        <v>77419</v>
      </c>
      <c r="AR25" s="71">
        <f>IFERROR(__xludf.DUMMYFUNCTION("""COMPUTED_VALUE"""),77419.0)</f>
        <v>77419</v>
      </c>
      <c r="AS25" s="71">
        <f>IFERROR(__xludf.DUMMYFUNCTION("""COMPUTED_VALUE"""),77419.0)</f>
        <v>77419</v>
      </c>
      <c r="AT25" s="71">
        <f>IFERROR(__xludf.DUMMYFUNCTION("""COMPUTED_VALUE"""),77419.0)</f>
        <v>77419</v>
      </c>
      <c r="AU25" s="71">
        <f>IFERROR(__xludf.DUMMYFUNCTION("""COMPUTED_VALUE"""),77419.0)</f>
        <v>77419</v>
      </c>
      <c r="AV25" s="41"/>
      <c r="AW25" s="41"/>
      <c r="AX25" s="41"/>
      <c r="AY25" s="41"/>
      <c r="AZ25" s="41"/>
    </row>
    <row r="26">
      <c r="B26" s="41"/>
      <c r="C26" s="41"/>
      <c r="D26" s="41"/>
      <c r="E26" s="41"/>
      <c r="F26" s="41"/>
      <c r="G26" s="41"/>
      <c r="H26" s="41"/>
      <c r="I26" s="41">
        <f>IFERROR(__xludf.DUMMYFUNCTION("""COMPUTED_VALUE"""),22.0)</f>
        <v>22</v>
      </c>
      <c r="J26" s="41" t="str">
        <f>IFERROR(__xludf.DUMMYFUNCTION("""COMPUTED_VALUE"""),"Y")</f>
        <v>Y</v>
      </c>
      <c r="K26" s="41" t="str">
        <f>IFERROR(__xludf.DUMMYFUNCTION("""COMPUTED_VALUE"""),"Y")</f>
        <v>Y</v>
      </c>
      <c r="L26" s="41"/>
      <c r="M26" s="41" t="str">
        <f>IFERROR(__xludf.DUMMYFUNCTION("""COMPUTED_VALUE"""),"Journal")</f>
        <v>Journal</v>
      </c>
      <c r="N26" s="66">
        <f>IFERROR(__xludf.DUMMYFUNCTION("""COMPUTED_VALUE"""),45657.0)</f>
        <v>45657</v>
      </c>
      <c r="O26" s="41">
        <f>IFERROR(__xludf.DUMMYFUNCTION("""COMPUTED_VALUE"""),15602.0)</f>
        <v>15602</v>
      </c>
      <c r="P26" s="41"/>
      <c r="Q26" s="41"/>
      <c r="R26" s="41"/>
      <c r="S26" s="41"/>
      <c r="T26" s="41"/>
      <c r="U26" s="41" t="str">
        <f>IFERROR(__xludf.DUMMYFUNCTION("""COMPUTED_VALUE"""),"馬來西亞商思想科技有限公司台灣分公司 2024-12 GWS(20250106-1231)_PCAR-1768(沖)ER4777")</f>
        <v>馬來西亞商思想科技有限公司台灣分公司 2024-12 GWS(20250106-1231)_PCAR-1768(沖)ER4777</v>
      </c>
      <c r="V26" s="41"/>
      <c r="W26" s="41"/>
      <c r="X26" s="41"/>
      <c r="Y26" s="71">
        <f>IFERROR(__xludf.DUMMYFUNCTION("""COMPUTED_VALUE"""),287674.0)</f>
        <v>287674</v>
      </c>
      <c r="Z26" s="41">
        <f>IFERROR(__xludf.DUMMYFUNCTION("""COMPUTED_VALUE"""),613201.0)</f>
        <v>613201</v>
      </c>
      <c r="AA26" s="41" t="str">
        <f>IFERROR(__xludf.DUMMYFUNCTION("""COMPUTED_VALUE"""),"管理中心")</f>
        <v>管理中心</v>
      </c>
      <c r="AB26" s="70" t="str">
        <f>IFERROR(__xludf.DUMMYFUNCTION("""COMPUTED_VALUE"""),"執行長室 : 管理中心 : 資訊部")</f>
        <v>執行長室 : 管理中心 : 資訊部</v>
      </c>
      <c r="AC26" s="70" t="str">
        <f>IFERROR(__xludf.DUMMYFUNCTION("""COMPUTED_VALUE"""),"No_Product_Line")</f>
        <v>No_Product_Line</v>
      </c>
      <c r="AD26" s="70" t="str">
        <f>IFERROR(__xludf.DUMMYFUNCTION("""COMPUTED_VALUE"""),"Baseline")</f>
        <v>Baseline</v>
      </c>
      <c r="AE26" s="70" t="str">
        <f>IFERROR(__xludf.DUMMYFUNCTION("""COMPUTED_VALUE"""),"Baseline")</f>
        <v>Baseline</v>
      </c>
      <c r="AF26" s="71">
        <f>IFERROR(__xludf.DUMMYFUNCTION("""COMPUTED_VALUE"""),1726725.0)</f>
        <v>1726725</v>
      </c>
      <c r="AG26" s="71">
        <f>IFERROR(__xludf.DUMMYFUNCTION("""COMPUTED_VALUE"""),12.0)</f>
        <v>12</v>
      </c>
      <c r="AH26" s="71">
        <f>IFERROR(__xludf.DUMMYFUNCTION("""COMPUTED_VALUE"""),1439051.0)</f>
        <v>1439051</v>
      </c>
      <c r="AI26" s="71">
        <f>IFERROR(__xludf.DUMMYFUNCTION("""COMPUTED_VALUE"""),144527.0)</f>
        <v>144527</v>
      </c>
      <c r="AJ26" s="71">
        <f>IFERROR(__xludf.DUMMYFUNCTION("""COMPUTED_VALUE"""),143836.0)</f>
        <v>143836</v>
      </c>
      <c r="AK26" s="71">
        <f>IFERROR(__xludf.DUMMYFUNCTION("""COMPUTED_VALUE"""),143836.0)</f>
        <v>143836</v>
      </c>
      <c r="AL26" s="71">
        <f>IFERROR(__xludf.DUMMYFUNCTION("""COMPUTED_VALUE"""),143836.0)</f>
        <v>143836</v>
      </c>
      <c r="AM26" s="71">
        <f>IFERROR(__xludf.DUMMYFUNCTION("""COMPUTED_VALUE"""),143836.0)</f>
        <v>143836</v>
      </c>
      <c r="AN26" s="71">
        <f>IFERROR(__xludf.DUMMYFUNCTION("""COMPUTED_VALUE"""),143836.0)</f>
        <v>143836</v>
      </c>
      <c r="AO26" s="71">
        <f>IFERROR(__xludf.DUMMYFUNCTION("""COMPUTED_VALUE"""),143836.0)</f>
        <v>143836</v>
      </c>
      <c r="AP26" s="71">
        <f>IFERROR(__xludf.DUMMYFUNCTION("""COMPUTED_VALUE"""),143836.0)</f>
        <v>143836</v>
      </c>
      <c r="AQ26" s="71">
        <f>IFERROR(__xludf.DUMMYFUNCTION("""COMPUTED_VALUE"""),143836.0)</f>
        <v>143836</v>
      </c>
      <c r="AR26" s="71">
        <f>IFERROR(__xludf.DUMMYFUNCTION("""COMPUTED_VALUE"""),143836.0)</f>
        <v>143836</v>
      </c>
      <c r="AS26" s="71">
        <f>IFERROR(__xludf.DUMMYFUNCTION("""COMPUTED_VALUE"""),143836.0)</f>
        <v>143836</v>
      </c>
      <c r="AT26" s="71">
        <f>IFERROR(__xludf.DUMMYFUNCTION("""COMPUTED_VALUE"""),143838.0)</f>
        <v>143838</v>
      </c>
      <c r="AU26" s="41"/>
      <c r="AV26" s="41"/>
      <c r="AW26" s="41"/>
      <c r="AX26" s="41"/>
      <c r="AY26" s="41"/>
      <c r="AZ26" s="41"/>
    </row>
    <row r="27">
      <c r="B27" s="41"/>
      <c r="C27" s="41"/>
      <c r="D27" s="41"/>
      <c r="E27" s="41"/>
      <c r="F27" s="41"/>
      <c r="G27" s="41"/>
      <c r="H27" s="41"/>
      <c r="I27" s="41">
        <f>IFERROR(__xludf.DUMMYFUNCTION("""COMPUTED_VALUE"""),23.0)</f>
        <v>23</v>
      </c>
      <c r="J27" s="41" t="str">
        <f>IFERROR(__xludf.DUMMYFUNCTION("""COMPUTED_VALUE"""),"Y")</f>
        <v>Y</v>
      </c>
      <c r="K27" s="41" t="str">
        <f>IFERROR(__xludf.DUMMYFUNCTION("""COMPUTED_VALUE"""),"Y")</f>
        <v>Y</v>
      </c>
      <c r="L27" s="41"/>
      <c r="M27" s="41" t="str">
        <f>IFERROR(__xludf.DUMMYFUNCTION("""COMPUTED_VALUE"""),"Journal")</f>
        <v>Journal</v>
      </c>
      <c r="N27" s="66">
        <f>IFERROR(__xludf.DUMMYFUNCTION("""COMPUTED_VALUE"""),45715.0)</f>
        <v>45715</v>
      </c>
      <c r="O27" s="41">
        <f>IFERROR(__xludf.DUMMYFUNCTION("""COMPUTED_VALUE"""),16289.0)</f>
        <v>16289</v>
      </c>
      <c r="P27" s="41"/>
      <c r="Q27" s="41"/>
      <c r="R27" s="41"/>
      <c r="S27" s="41"/>
      <c r="T27" s="41"/>
      <c r="U27" s="41" t="str">
        <f>IFERROR(__xludf.DUMMYFUNCTION("""COMPUTED_VALUE"""),"大綜電腦系統股份有限公司 202502 M365軟體_PCAR-2229(20250130-20260129)(沖)ER5250")</f>
        <v>大綜電腦系統股份有限公司 202502 M365軟體_PCAR-2229(20250130-20260129)(沖)ER5250</v>
      </c>
      <c r="V27" s="41"/>
      <c r="W27" s="41"/>
      <c r="X27" s="41"/>
      <c r="Y27" s="71">
        <f>IFERROR(__xludf.DUMMYFUNCTION("""COMPUTED_VALUE"""),852.0)</f>
        <v>852</v>
      </c>
      <c r="Z27" s="41">
        <f>IFERROR(__xludf.DUMMYFUNCTION("""COMPUTED_VALUE"""),613201.0)</f>
        <v>613201</v>
      </c>
      <c r="AA27" s="41" t="str">
        <f>IFERROR(__xludf.DUMMYFUNCTION("""COMPUTED_VALUE"""),"執行長室")</f>
        <v>執行長室</v>
      </c>
      <c r="AB27" s="70" t="str">
        <f>IFERROR(__xludf.DUMMYFUNCTION("""COMPUTED_VALUE"""),"執行長室")</f>
        <v>執行長室</v>
      </c>
      <c r="AC27" s="70" t="str">
        <f>IFERROR(__xludf.DUMMYFUNCTION("""COMPUTED_VALUE"""),"No_Product_Line")</f>
        <v>No_Product_Line</v>
      </c>
      <c r="AD27" s="70" t="str">
        <f>IFERROR(__xludf.DUMMYFUNCTION("""COMPUTED_VALUE"""),"Baseline")</f>
        <v>Baseline</v>
      </c>
      <c r="AE27" s="70" t="str">
        <f>IFERROR(__xludf.DUMMYFUNCTION("""COMPUTED_VALUE"""),"Baseline")</f>
        <v>Baseline</v>
      </c>
      <c r="AF27" s="71">
        <f>IFERROR(__xludf.DUMMYFUNCTION("""COMPUTED_VALUE"""),3418.0)</f>
        <v>3418</v>
      </c>
      <c r="AG27" s="71">
        <f>IFERROR(__xludf.DUMMYFUNCTION("""COMPUTED_VALUE"""),12.0)</f>
        <v>12</v>
      </c>
      <c r="AH27" s="71">
        <f>IFERROR(__xludf.DUMMYFUNCTION("""COMPUTED_VALUE"""),2566.0)</f>
        <v>2566</v>
      </c>
      <c r="AI27" s="71">
        <f>IFERROR(__xludf.DUMMYFUNCTION("""COMPUTED_VALUE"""),0.0)</f>
        <v>0</v>
      </c>
      <c r="AJ27" s="41"/>
      <c r="AK27" s="71">
        <f>IFERROR(__xludf.DUMMYFUNCTION("""COMPUTED_VALUE"""),571.0)</f>
        <v>571</v>
      </c>
      <c r="AL27" s="71">
        <f>IFERROR(__xludf.DUMMYFUNCTION("""COMPUTED_VALUE"""),285.0)</f>
        <v>285</v>
      </c>
      <c r="AM27" s="71">
        <f>IFERROR(__xludf.DUMMYFUNCTION("""COMPUTED_VALUE"""),285.0)</f>
        <v>285</v>
      </c>
      <c r="AN27" s="71">
        <f>IFERROR(__xludf.DUMMYFUNCTION("""COMPUTED_VALUE"""),285.0)</f>
        <v>285</v>
      </c>
      <c r="AO27" s="71">
        <f>IFERROR(__xludf.DUMMYFUNCTION("""COMPUTED_VALUE"""),285.0)</f>
        <v>285</v>
      </c>
      <c r="AP27" s="71">
        <f>IFERROR(__xludf.DUMMYFUNCTION("""COMPUTED_VALUE"""),285.0)</f>
        <v>285</v>
      </c>
      <c r="AQ27" s="71">
        <f>IFERROR(__xludf.DUMMYFUNCTION("""COMPUTED_VALUE"""),285.0)</f>
        <v>285</v>
      </c>
      <c r="AR27" s="71">
        <f>IFERROR(__xludf.DUMMYFUNCTION("""COMPUTED_VALUE"""),285.0)</f>
        <v>285</v>
      </c>
      <c r="AS27" s="71">
        <f>IFERROR(__xludf.DUMMYFUNCTION("""COMPUTED_VALUE"""),285.0)</f>
        <v>285</v>
      </c>
      <c r="AT27" s="71">
        <f>IFERROR(__xludf.DUMMYFUNCTION("""COMPUTED_VALUE"""),285.0)</f>
        <v>285</v>
      </c>
      <c r="AU27" s="71">
        <f>IFERROR(__xludf.DUMMYFUNCTION("""COMPUTED_VALUE"""),282.0)</f>
        <v>282</v>
      </c>
      <c r="AV27" s="41"/>
      <c r="AW27" s="41"/>
      <c r="AX27" s="41"/>
      <c r="AY27" s="41"/>
      <c r="AZ27" s="41"/>
    </row>
    <row r="28">
      <c r="B28" s="41"/>
      <c r="C28" s="41"/>
      <c r="D28" s="41"/>
      <c r="E28" s="41"/>
      <c r="F28" s="41"/>
      <c r="G28" s="41"/>
      <c r="H28" s="41"/>
      <c r="I28" s="41">
        <f>IFERROR(__xludf.DUMMYFUNCTION("""COMPUTED_VALUE"""),24.0)</f>
        <v>24</v>
      </c>
      <c r="J28" s="41" t="str">
        <f>IFERROR(__xludf.DUMMYFUNCTION("""COMPUTED_VALUE"""),"Y")</f>
        <v>Y</v>
      </c>
      <c r="K28" s="41" t="str">
        <f>IFERROR(__xludf.DUMMYFUNCTION("""COMPUTED_VALUE"""),"Y")</f>
        <v>Y</v>
      </c>
      <c r="L28" s="41"/>
      <c r="M28" s="41" t="str">
        <f>IFERROR(__xludf.DUMMYFUNCTION("""COMPUTED_VALUE"""),"Journal")</f>
        <v>Journal</v>
      </c>
      <c r="N28" s="66">
        <f>IFERROR(__xludf.DUMMYFUNCTION("""COMPUTED_VALUE"""),45715.0)</f>
        <v>45715</v>
      </c>
      <c r="O28" s="41">
        <f>IFERROR(__xludf.DUMMYFUNCTION("""COMPUTED_VALUE"""),16289.0)</f>
        <v>16289</v>
      </c>
      <c r="P28" s="41"/>
      <c r="Q28" s="41"/>
      <c r="R28" s="41"/>
      <c r="S28" s="41"/>
      <c r="T28" s="41"/>
      <c r="U28" s="41" t="str">
        <f>IFERROR(__xludf.DUMMYFUNCTION("""COMPUTED_VALUE"""),"大綜電腦系統股份有限公司 202502 M365軟體_PCAR-2229(20250130-20260129)(沖)ER5250")</f>
        <v>大綜電腦系統股份有限公司 202502 M365軟體_PCAR-2229(20250130-20260129)(沖)ER5250</v>
      </c>
      <c r="V28" s="41"/>
      <c r="W28" s="41"/>
      <c r="X28" s="41"/>
      <c r="Y28" s="71">
        <f>IFERROR(__xludf.DUMMYFUNCTION("""COMPUTED_VALUE"""),852.0)</f>
        <v>852</v>
      </c>
      <c r="Z28" s="41">
        <f>IFERROR(__xludf.DUMMYFUNCTION("""COMPUTED_VALUE"""),613201.0)</f>
        <v>613201</v>
      </c>
      <c r="AA28" s="41" t="str">
        <f>IFERROR(__xludf.DUMMYFUNCTION("""COMPUTED_VALUE"""),"策略資料中心")</f>
        <v>策略資料中心</v>
      </c>
      <c r="AB28" s="70" t="str">
        <f>IFERROR(__xludf.DUMMYFUNCTION("""COMPUTED_VALUE"""),"執行長室 : 策略資料中心 : 策略資料中心")</f>
        <v>執行長室 : 策略資料中心 : 策略資料中心</v>
      </c>
      <c r="AC28" s="70" t="str">
        <f>IFERROR(__xludf.DUMMYFUNCTION("""COMPUTED_VALUE"""),"No_Product_Line")</f>
        <v>No_Product_Line</v>
      </c>
      <c r="AD28" s="70" t="str">
        <f>IFERROR(__xludf.DUMMYFUNCTION("""COMPUTED_VALUE"""),"Baseline")</f>
        <v>Baseline</v>
      </c>
      <c r="AE28" s="70" t="str">
        <f>IFERROR(__xludf.DUMMYFUNCTION("""COMPUTED_VALUE"""),"Baseline")</f>
        <v>Baseline</v>
      </c>
      <c r="AF28" s="71">
        <f>IFERROR(__xludf.DUMMYFUNCTION("""COMPUTED_VALUE"""),3418.0)</f>
        <v>3418</v>
      </c>
      <c r="AG28" s="71">
        <f>IFERROR(__xludf.DUMMYFUNCTION("""COMPUTED_VALUE"""),12.0)</f>
        <v>12</v>
      </c>
      <c r="AH28" s="71">
        <f>IFERROR(__xludf.DUMMYFUNCTION("""COMPUTED_VALUE"""),2566.0)</f>
        <v>2566</v>
      </c>
      <c r="AI28" s="71">
        <f>IFERROR(__xludf.DUMMYFUNCTION("""COMPUTED_VALUE"""),0.0)</f>
        <v>0</v>
      </c>
      <c r="AJ28" s="41"/>
      <c r="AK28" s="71">
        <f>IFERROR(__xludf.DUMMYFUNCTION("""COMPUTED_VALUE"""),571.0)</f>
        <v>571</v>
      </c>
      <c r="AL28" s="71">
        <f>IFERROR(__xludf.DUMMYFUNCTION("""COMPUTED_VALUE"""),285.0)</f>
        <v>285</v>
      </c>
      <c r="AM28" s="71">
        <f>IFERROR(__xludf.DUMMYFUNCTION("""COMPUTED_VALUE"""),285.0)</f>
        <v>285</v>
      </c>
      <c r="AN28" s="71">
        <f>IFERROR(__xludf.DUMMYFUNCTION("""COMPUTED_VALUE"""),285.0)</f>
        <v>285</v>
      </c>
      <c r="AO28" s="71">
        <f>IFERROR(__xludf.DUMMYFUNCTION("""COMPUTED_VALUE"""),285.0)</f>
        <v>285</v>
      </c>
      <c r="AP28" s="71">
        <f>IFERROR(__xludf.DUMMYFUNCTION("""COMPUTED_VALUE"""),285.0)</f>
        <v>285</v>
      </c>
      <c r="AQ28" s="71">
        <f>IFERROR(__xludf.DUMMYFUNCTION("""COMPUTED_VALUE"""),285.0)</f>
        <v>285</v>
      </c>
      <c r="AR28" s="71">
        <f>IFERROR(__xludf.DUMMYFUNCTION("""COMPUTED_VALUE"""),285.0)</f>
        <v>285</v>
      </c>
      <c r="AS28" s="71">
        <f>IFERROR(__xludf.DUMMYFUNCTION("""COMPUTED_VALUE"""),285.0)</f>
        <v>285</v>
      </c>
      <c r="AT28" s="71">
        <f>IFERROR(__xludf.DUMMYFUNCTION("""COMPUTED_VALUE"""),285.0)</f>
        <v>285</v>
      </c>
      <c r="AU28" s="71">
        <f>IFERROR(__xludf.DUMMYFUNCTION("""COMPUTED_VALUE"""),282.0)</f>
        <v>282</v>
      </c>
      <c r="AV28" s="41"/>
      <c r="AW28" s="41"/>
      <c r="AX28" s="41"/>
      <c r="AY28" s="41"/>
      <c r="AZ28" s="41"/>
    </row>
    <row r="29">
      <c r="B29" s="41"/>
      <c r="C29" s="41"/>
      <c r="D29" s="41"/>
      <c r="E29" s="41"/>
      <c r="F29" s="41"/>
      <c r="G29" s="41"/>
      <c r="H29" s="41"/>
      <c r="I29" s="41">
        <f>IFERROR(__xludf.DUMMYFUNCTION("""COMPUTED_VALUE"""),25.0)</f>
        <v>25</v>
      </c>
      <c r="J29" s="41" t="str">
        <f>IFERROR(__xludf.DUMMYFUNCTION("""COMPUTED_VALUE"""),"Y")</f>
        <v>Y</v>
      </c>
      <c r="K29" s="41" t="str">
        <f>IFERROR(__xludf.DUMMYFUNCTION("""COMPUTED_VALUE"""),"Y")</f>
        <v>Y</v>
      </c>
      <c r="L29" s="41"/>
      <c r="M29" s="41" t="str">
        <f>IFERROR(__xludf.DUMMYFUNCTION("""COMPUTED_VALUE"""),"Journal")</f>
        <v>Journal</v>
      </c>
      <c r="N29" s="66">
        <f>IFERROR(__xludf.DUMMYFUNCTION("""COMPUTED_VALUE"""),45715.0)</f>
        <v>45715</v>
      </c>
      <c r="O29" s="41">
        <f>IFERROR(__xludf.DUMMYFUNCTION("""COMPUTED_VALUE"""),16289.0)</f>
        <v>16289</v>
      </c>
      <c r="P29" s="41"/>
      <c r="Q29" s="41"/>
      <c r="R29" s="41"/>
      <c r="S29" s="41"/>
      <c r="T29" s="41"/>
      <c r="U29" s="41" t="str">
        <f>IFERROR(__xludf.DUMMYFUNCTION("""COMPUTED_VALUE"""),"大綜電腦系統股份有限公司 202502 M365軟體_PCAR-2229(20250130-20260129)(沖)ER5250")</f>
        <v>大綜電腦系統股份有限公司 202502 M365軟體_PCAR-2229(20250130-20260129)(沖)ER5250</v>
      </c>
      <c r="V29" s="41"/>
      <c r="W29" s="41"/>
      <c r="X29" s="41"/>
      <c r="Y29" s="71">
        <f>IFERROR(__xludf.DUMMYFUNCTION("""COMPUTED_VALUE"""),2560.0)</f>
        <v>2560</v>
      </c>
      <c r="Z29" s="41">
        <f>IFERROR(__xludf.DUMMYFUNCTION("""COMPUTED_VALUE"""),613201.0)</f>
        <v>613201</v>
      </c>
      <c r="AA29" s="41" t="str">
        <f>IFERROR(__xludf.DUMMYFUNCTION("""COMPUTED_VALUE"""),"財務中心")</f>
        <v>財務中心</v>
      </c>
      <c r="AB29" s="70" t="str">
        <f>IFERROR(__xludf.DUMMYFUNCTION("""COMPUTED_VALUE"""),"執行長室 : 財務中心 : 財務中心")</f>
        <v>執行長室 : 財務中心 : 財務中心</v>
      </c>
      <c r="AC29" s="70" t="str">
        <f>IFERROR(__xludf.DUMMYFUNCTION("""COMPUTED_VALUE"""),"No_Product_Line")</f>
        <v>No_Product_Line</v>
      </c>
      <c r="AD29" s="70" t="str">
        <f>IFERROR(__xludf.DUMMYFUNCTION("""COMPUTED_VALUE"""),"Baseline")</f>
        <v>Baseline</v>
      </c>
      <c r="AE29" s="70" t="str">
        <f>IFERROR(__xludf.DUMMYFUNCTION("""COMPUTED_VALUE"""),"Baseline")</f>
        <v>Baseline</v>
      </c>
      <c r="AF29" s="71">
        <f>IFERROR(__xludf.DUMMYFUNCTION("""COMPUTED_VALUE"""),10250.0)</f>
        <v>10250</v>
      </c>
      <c r="AG29" s="71">
        <f>IFERROR(__xludf.DUMMYFUNCTION("""COMPUTED_VALUE"""),12.0)</f>
        <v>12</v>
      </c>
      <c r="AH29" s="71">
        <f>IFERROR(__xludf.DUMMYFUNCTION("""COMPUTED_VALUE"""),7690.0)</f>
        <v>7690</v>
      </c>
      <c r="AI29" s="71">
        <f>IFERROR(__xludf.DUMMYFUNCTION("""COMPUTED_VALUE"""),0.0)</f>
        <v>0</v>
      </c>
      <c r="AJ29" s="41"/>
      <c r="AK29" s="71">
        <f>IFERROR(__xludf.DUMMYFUNCTION("""COMPUTED_VALUE"""),1712.0)</f>
        <v>1712</v>
      </c>
      <c r="AL29" s="71">
        <f>IFERROR(__xludf.DUMMYFUNCTION("""COMPUTED_VALUE"""),854.0)</f>
        <v>854</v>
      </c>
      <c r="AM29" s="71">
        <f>IFERROR(__xludf.DUMMYFUNCTION("""COMPUTED_VALUE"""),854.0)</f>
        <v>854</v>
      </c>
      <c r="AN29" s="71">
        <f>IFERROR(__xludf.DUMMYFUNCTION("""COMPUTED_VALUE"""),854.0)</f>
        <v>854</v>
      </c>
      <c r="AO29" s="71">
        <f>IFERROR(__xludf.DUMMYFUNCTION("""COMPUTED_VALUE"""),854.0)</f>
        <v>854</v>
      </c>
      <c r="AP29" s="71">
        <f>IFERROR(__xludf.DUMMYFUNCTION("""COMPUTED_VALUE"""),854.0)</f>
        <v>854</v>
      </c>
      <c r="AQ29" s="71">
        <f>IFERROR(__xludf.DUMMYFUNCTION("""COMPUTED_VALUE"""),854.0)</f>
        <v>854</v>
      </c>
      <c r="AR29" s="71">
        <f>IFERROR(__xludf.DUMMYFUNCTION("""COMPUTED_VALUE"""),854.0)</f>
        <v>854</v>
      </c>
      <c r="AS29" s="71">
        <f>IFERROR(__xludf.DUMMYFUNCTION("""COMPUTED_VALUE"""),854.0)</f>
        <v>854</v>
      </c>
      <c r="AT29" s="71">
        <f>IFERROR(__xludf.DUMMYFUNCTION("""COMPUTED_VALUE"""),854.0)</f>
        <v>854</v>
      </c>
      <c r="AU29" s="71">
        <f>IFERROR(__xludf.DUMMYFUNCTION("""COMPUTED_VALUE"""),852.0)</f>
        <v>852</v>
      </c>
      <c r="AV29" s="41"/>
      <c r="AW29" s="41"/>
      <c r="AX29" s="41"/>
      <c r="AY29" s="41"/>
      <c r="AZ29" s="41"/>
    </row>
    <row r="30">
      <c r="B30" s="41"/>
      <c r="C30" s="41"/>
      <c r="D30" s="41"/>
      <c r="E30" s="41"/>
      <c r="F30" s="41"/>
      <c r="G30" s="41"/>
      <c r="H30" s="41"/>
      <c r="I30" s="41">
        <f>IFERROR(__xludf.DUMMYFUNCTION("""COMPUTED_VALUE"""),26.0)</f>
        <v>26</v>
      </c>
      <c r="J30" s="41" t="str">
        <f>IFERROR(__xludf.DUMMYFUNCTION("""COMPUTED_VALUE"""),"Y")</f>
        <v>Y</v>
      </c>
      <c r="K30" s="41" t="str">
        <f>IFERROR(__xludf.DUMMYFUNCTION("""COMPUTED_VALUE"""),"Y")</f>
        <v>Y</v>
      </c>
      <c r="L30" s="41"/>
      <c r="M30" s="41" t="str">
        <f>IFERROR(__xludf.DUMMYFUNCTION("""COMPUTED_VALUE"""),"Journal")</f>
        <v>Journal</v>
      </c>
      <c r="N30" s="66">
        <f>IFERROR(__xludf.DUMMYFUNCTION("""COMPUTED_VALUE"""),45715.0)</f>
        <v>45715</v>
      </c>
      <c r="O30" s="41">
        <f>IFERROR(__xludf.DUMMYFUNCTION("""COMPUTED_VALUE"""),16289.0)</f>
        <v>16289</v>
      </c>
      <c r="P30" s="41"/>
      <c r="Q30" s="41"/>
      <c r="R30" s="41"/>
      <c r="S30" s="41"/>
      <c r="T30" s="41"/>
      <c r="U30" s="41" t="str">
        <f>IFERROR(__xludf.DUMMYFUNCTION("""COMPUTED_VALUE"""),"大綜電腦系統股份有限公司 202502 M365軟體_PCAR-2229(20250130-20260129)(沖)ER5250")</f>
        <v>大綜電腦系統股份有限公司 202502 M365軟體_PCAR-2229(20250130-20260129)(沖)ER5250</v>
      </c>
      <c r="V30" s="41"/>
      <c r="W30" s="41"/>
      <c r="X30" s="41"/>
      <c r="Y30" s="71">
        <f>IFERROR(__xludf.DUMMYFUNCTION("""COMPUTED_VALUE"""),6832.0)</f>
        <v>6832</v>
      </c>
      <c r="Z30" s="41">
        <f>IFERROR(__xludf.DUMMYFUNCTION("""COMPUTED_VALUE"""),603201.0)</f>
        <v>603201</v>
      </c>
      <c r="AA30" s="41" t="str">
        <f>IFERROR(__xludf.DUMMYFUNCTION("""COMPUTED_VALUE"""),"管理中心")</f>
        <v>管理中心</v>
      </c>
      <c r="AB30" s="70" t="str">
        <f>IFERROR(__xludf.DUMMYFUNCTION("""COMPUTED_VALUE"""),"執行長室 : 管理中心 : 管理中心")</f>
        <v>執行長室 : 管理中心 : 管理中心</v>
      </c>
      <c r="AC30" s="70" t="str">
        <f>IFERROR(__xludf.DUMMYFUNCTION("""COMPUTED_VALUE"""),"No_Product_Line")</f>
        <v>No_Product_Line</v>
      </c>
      <c r="AD30" s="70" t="str">
        <f>IFERROR(__xludf.DUMMYFUNCTION("""COMPUTED_VALUE"""),"Baseline")</f>
        <v>Baseline</v>
      </c>
      <c r="AE30" s="70" t="str">
        <f>IFERROR(__xludf.DUMMYFUNCTION("""COMPUTED_VALUE"""),"Baseline")</f>
        <v>Baseline</v>
      </c>
      <c r="AF30" s="71">
        <f>IFERROR(__xludf.DUMMYFUNCTION("""COMPUTED_VALUE"""),27345.0)</f>
        <v>27345</v>
      </c>
      <c r="AG30" s="71">
        <f>IFERROR(__xludf.DUMMYFUNCTION("""COMPUTED_VALUE"""),12.0)</f>
        <v>12</v>
      </c>
      <c r="AH30" s="71">
        <f>IFERROR(__xludf.DUMMYFUNCTION("""COMPUTED_VALUE"""),20513.0)</f>
        <v>20513</v>
      </c>
      <c r="AI30" s="71">
        <f>IFERROR(__xludf.DUMMYFUNCTION("""COMPUTED_VALUE"""),0.0)</f>
        <v>0</v>
      </c>
      <c r="AJ30" s="41"/>
      <c r="AK30" s="71">
        <f>IFERROR(__xludf.DUMMYFUNCTION("""COMPUTED_VALUE"""),4567.0)</f>
        <v>4567</v>
      </c>
      <c r="AL30" s="71">
        <f>IFERROR(__xludf.DUMMYFUNCTION("""COMPUTED_VALUE"""),2278.0)</f>
        <v>2278</v>
      </c>
      <c r="AM30" s="71">
        <f>IFERROR(__xludf.DUMMYFUNCTION("""COMPUTED_VALUE"""),2278.0)</f>
        <v>2278</v>
      </c>
      <c r="AN30" s="71">
        <f>IFERROR(__xludf.DUMMYFUNCTION("""COMPUTED_VALUE"""),2278.0)</f>
        <v>2278</v>
      </c>
      <c r="AO30" s="71">
        <f>IFERROR(__xludf.DUMMYFUNCTION("""COMPUTED_VALUE"""),2278.0)</f>
        <v>2278</v>
      </c>
      <c r="AP30" s="71">
        <f>IFERROR(__xludf.DUMMYFUNCTION("""COMPUTED_VALUE"""),2278.0)</f>
        <v>2278</v>
      </c>
      <c r="AQ30" s="71">
        <f>IFERROR(__xludf.DUMMYFUNCTION("""COMPUTED_VALUE"""),2278.0)</f>
        <v>2278</v>
      </c>
      <c r="AR30" s="71">
        <f>IFERROR(__xludf.DUMMYFUNCTION("""COMPUTED_VALUE"""),2278.0)</f>
        <v>2278</v>
      </c>
      <c r="AS30" s="71">
        <f>IFERROR(__xludf.DUMMYFUNCTION("""COMPUTED_VALUE"""),2278.0)</f>
        <v>2278</v>
      </c>
      <c r="AT30" s="71">
        <f>IFERROR(__xludf.DUMMYFUNCTION("""COMPUTED_VALUE"""),2278.0)</f>
        <v>2278</v>
      </c>
      <c r="AU30" s="71">
        <f>IFERROR(__xludf.DUMMYFUNCTION("""COMPUTED_VALUE"""),2276.0)</f>
        <v>2276</v>
      </c>
      <c r="AV30" s="41"/>
      <c r="AW30" s="41"/>
      <c r="AX30" s="41"/>
      <c r="AY30" s="41"/>
      <c r="AZ30" s="41"/>
    </row>
    <row r="31">
      <c r="B31" s="41"/>
      <c r="C31" s="41"/>
      <c r="D31" s="41"/>
      <c r="E31" s="41"/>
      <c r="F31" s="41"/>
      <c r="G31" s="41"/>
      <c r="H31" s="41"/>
      <c r="I31" s="41">
        <f>IFERROR(__xludf.DUMMYFUNCTION("""COMPUTED_VALUE"""),27.0)</f>
        <v>27</v>
      </c>
      <c r="J31" s="41"/>
      <c r="K31" s="41" t="str">
        <f>IFERROR(__xludf.DUMMYFUNCTION("""COMPUTED_VALUE"""),"Y")</f>
        <v>Y</v>
      </c>
      <c r="L31" s="41"/>
      <c r="M31" s="41" t="str">
        <f>IFERROR(__xludf.DUMMYFUNCTION("""COMPUTED_VALUE"""),"Journal")</f>
        <v>Journal</v>
      </c>
      <c r="N31" s="66">
        <f>IFERROR(__xludf.DUMMYFUNCTION("""COMPUTED_VALUE"""),45715.0)</f>
        <v>45715</v>
      </c>
      <c r="O31" s="41">
        <f>IFERROR(__xludf.DUMMYFUNCTION("""COMPUTED_VALUE"""),16283.0)</f>
        <v>16283</v>
      </c>
      <c r="P31" s="41"/>
      <c r="Q31" s="41"/>
      <c r="R31" s="41"/>
      <c r="S31" s="41"/>
      <c r="T31" s="41"/>
      <c r="U31" s="41" t="str">
        <f>IFERROR(__xludf.DUMMYFUNCTION("""COMPUTED_VALUE"""),"資廚管理顧問股份有限公司(公司卡) 202501 Usetiful (2025/01/09-2026/01/09)")</f>
        <v>資廚管理顧問股份有限公司(公司卡) 202501 Usetiful (2025/01/09-2026/01/09)</v>
      </c>
      <c r="V31" s="41"/>
      <c r="W31" s="41"/>
      <c r="X31" s="41"/>
      <c r="Y31" s="71">
        <f>IFERROR(__xludf.DUMMYFUNCTION("""COMPUTED_VALUE"""),6880.0)</f>
        <v>6880</v>
      </c>
      <c r="Z31" s="41">
        <f>IFERROR(__xludf.DUMMYFUNCTION("""COMPUTED_VALUE"""),520001.0)</f>
        <v>520001</v>
      </c>
      <c r="AA31" s="41" t="str">
        <f>IFERROR(__xludf.DUMMYFUNCTION("""COMPUTED_VALUE"""),"研發中心")</f>
        <v>研發中心</v>
      </c>
      <c r="AB31" s="70" t="str">
        <f>IFERROR(__xludf.DUMMYFUNCTION("""COMPUTED_VALUE"""),"執行長室 : 研發中心 : 軟體工程部")</f>
        <v>執行長室 : 研發中心 : 軟體工程部</v>
      </c>
      <c r="AC31" s="70" t="str">
        <f>IFERROR(__xludf.DUMMYFUNCTION("""COMPUTED_VALUE"""),"No_Product_Line")</f>
        <v>No_Product_Line</v>
      </c>
      <c r="AD31" s="70" t="str">
        <f>IFERROR(__xludf.DUMMYFUNCTION("""COMPUTED_VALUE"""),"Baseline")</f>
        <v>Baseline</v>
      </c>
      <c r="AE31" s="70" t="str">
        <f>IFERROR(__xludf.DUMMYFUNCTION("""COMPUTED_VALUE"""),"Baseline")</f>
        <v>Baseline</v>
      </c>
      <c r="AF31" s="71">
        <f>IFERROR(__xludf.DUMMYFUNCTION("""COMPUTED_VALUE"""),27537.0)</f>
        <v>27537</v>
      </c>
      <c r="AG31" s="71">
        <f>IFERROR(__xludf.DUMMYFUNCTION("""COMPUTED_VALUE"""),12.0)</f>
        <v>12</v>
      </c>
      <c r="AH31" s="71">
        <f>IFERROR(__xludf.DUMMYFUNCTION("""COMPUTED_VALUE"""),20657.0)</f>
        <v>20657</v>
      </c>
      <c r="AI31" s="71">
        <f>IFERROR(__xludf.DUMMYFUNCTION("""COMPUTED_VALUE"""),0.0)</f>
        <v>0</v>
      </c>
      <c r="AJ31" s="41"/>
      <c r="AK31" s="71">
        <f>IFERROR(__xludf.DUMMYFUNCTION("""COMPUTED_VALUE"""),4599.0)</f>
        <v>4599</v>
      </c>
      <c r="AL31" s="71">
        <f>IFERROR(__xludf.DUMMYFUNCTION("""COMPUTED_VALUE"""),2294.0)</f>
        <v>2294</v>
      </c>
      <c r="AM31" s="71">
        <f>IFERROR(__xludf.DUMMYFUNCTION("""COMPUTED_VALUE"""),2294.0)</f>
        <v>2294</v>
      </c>
      <c r="AN31" s="71">
        <f>IFERROR(__xludf.DUMMYFUNCTION("""COMPUTED_VALUE"""),2294.0)</f>
        <v>2294</v>
      </c>
      <c r="AO31" s="71">
        <f>IFERROR(__xludf.DUMMYFUNCTION("""COMPUTED_VALUE"""),2294.0)</f>
        <v>2294</v>
      </c>
      <c r="AP31" s="71">
        <f>IFERROR(__xludf.DUMMYFUNCTION("""COMPUTED_VALUE"""),2294.0)</f>
        <v>2294</v>
      </c>
      <c r="AQ31" s="71">
        <f>IFERROR(__xludf.DUMMYFUNCTION("""COMPUTED_VALUE"""),2294.0)</f>
        <v>2294</v>
      </c>
      <c r="AR31" s="71">
        <f>IFERROR(__xludf.DUMMYFUNCTION("""COMPUTED_VALUE"""),2294.0)</f>
        <v>2294</v>
      </c>
      <c r="AS31" s="71">
        <f>IFERROR(__xludf.DUMMYFUNCTION("""COMPUTED_VALUE"""),2294.0)</f>
        <v>2294</v>
      </c>
      <c r="AT31" s="71">
        <f>IFERROR(__xludf.DUMMYFUNCTION("""COMPUTED_VALUE"""),2294.0)</f>
        <v>2294</v>
      </c>
      <c r="AU31" s="71">
        <f>IFERROR(__xludf.DUMMYFUNCTION("""COMPUTED_VALUE"""),2292.0)</f>
        <v>2292</v>
      </c>
      <c r="AV31" s="41"/>
      <c r="AW31" s="41"/>
      <c r="AX31" s="41"/>
      <c r="AY31" s="41"/>
      <c r="AZ31" s="41"/>
    </row>
    <row r="32">
      <c r="B32" s="41"/>
      <c r="C32" s="41"/>
      <c r="D32" s="41"/>
      <c r="E32" s="41"/>
      <c r="F32" s="41"/>
      <c r="G32" s="41"/>
      <c r="H32" s="41"/>
      <c r="I32" s="41">
        <f>IFERROR(__xludf.DUMMYFUNCTION("""COMPUTED_VALUE"""),28.0)</f>
        <v>28</v>
      </c>
      <c r="J32" s="41" t="str">
        <f>IFERROR(__xludf.DUMMYFUNCTION("""COMPUTED_VALUE"""),"Y")</f>
        <v>Y</v>
      </c>
      <c r="K32" s="41" t="str">
        <f>IFERROR(__xludf.DUMMYFUNCTION("""COMPUTED_VALUE"""),"Y")</f>
        <v>Y</v>
      </c>
      <c r="L32" s="41"/>
      <c r="M32" s="41" t="str">
        <f>IFERROR(__xludf.DUMMYFUNCTION("""COMPUTED_VALUE"""),"Journal")</f>
        <v>Journal</v>
      </c>
      <c r="N32" s="66">
        <f>IFERROR(__xludf.DUMMYFUNCTION("""COMPUTED_VALUE"""),45715.0)</f>
        <v>45715</v>
      </c>
      <c r="O32" s="41">
        <f>IFERROR(__xludf.DUMMYFUNCTION("""COMPUTED_VALUE"""),16289.0)</f>
        <v>16289</v>
      </c>
      <c r="P32" s="41"/>
      <c r="Q32" s="41"/>
      <c r="R32" s="41"/>
      <c r="S32" s="41"/>
      <c r="T32" s="41"/>
      <c r="U32" s="41" t="str">
        <f>IFERROR(__xludf.DUMMYFUNCTION("""COMPUTED_VALUE"""),"大綜電腦系統股份有限公司 202502 M365軟體_PCAR-2229(20250130-20260129)(沖)ER5250")</f>
        <v>大綜電腦系統股份有限公司 202502 M365軟體_PCAR-2229(20250130-20260129)(沖)ER5250</v>
      </c>
      <c r="V32" s="41"/>
      <c r="W32" s="41"/>
      <c r="X32" s="41"/>
      <c r="Y32" s="71">
        <f>IFERROR(__xludf.DUMMYFUNCTION("""COMPUTED_VALUE"""),14513.0)</f>
        <v>14513</v>
      </c>
      <c r="Z32" s="41">
        <f>IFERROR(__xludf.DUMMYFUNCTION("""COMPUTED_VALUE"""),623201.0)</f>
        <v>623201</v>
      </c>
      <c r="AA32" s="41" t="str">
        <f>IFERROR(__xludf.DUMMYFUNCTION("""COMPUTED_VALUE"""),"客戶價值中心")</f>
        <v>客戶價值中心</v>
      </c>
      <c r="AB32" s="70" t="str">
        <f>IFERROR(__xludf.DUMMYFUNCTION("""COMPUTED_VALUE"""),"執行長室 : 客戶價值中心 : 客戶價值中心")</f>
        <v>執行長室 : 客戶價值中心 : 客戶價值中心</v>
      </c>
      <c r="AC32" s="70" t="str">
        <f>IFERROR(__xludf.DUMMYFUNCTION("""COMPUTED_VALUE"""),"No_Product_Line")</f>
        <v>No_Product_Line</v>
      </c>
      <c r="AD32" s="70" t="str">
        <f>IFERROR(__xludf.DUMMYFUNCTION("""COMPUTED_VALUE"""),"Baseline")</f>
        <v>Baseline</v>
      </c>
      <c r="AE32" s="70" t="str">
        <f>IFERROR(__xludf.DUMMYFUNCTION("""COMPUTED_VALUE"""),"Baseline")</f>
        <v>Baseline</v>
      </c>
      <c r="AF32" s="71">
        <f>IFERROR(__xludf.DUMMYFUNCTION("""COMPUTED_VALUE"""),58087.0)</f>
        <v>58087</v>
      </c>
      <c r="AG32" s="71">
        <f>IFERROR(__xludf.DUMMYFUNCTION("""COMPUTED_VALUE"""),12.0)</f>
        <v>12</v>
      </c>
      <c r="AH32" s="71">
        <f>IFERROR(__xludf.DUMMYFUNCTION("""COMPUTED_VALUE"""),43574.0)</f>
        <v>43574</v>
      </c>
      <c r="AI32" s="71">
        <f>IFERROR(__xludf.DUMMYFUNCTION("""COMPUTED_VALUE"""),0.0)</f>
        <v>0</v>
      </c>
      <c r="AJ32" s="41"/>
      <c r="AK32" s="71">
        <f>IFERROR(__xludf.DUMMYFUNCTION("""COMPUTED_VALUE"""),9701.0)</f>
        <v>9701</v>
      </c>
      <c r="AL32" s="71">
        <f>IFERROR(__xludf.DUMMYFUNCTION("""COMPUTED_VALUE"""),4839.0)</f>
        <v>4839</v>
      </c>
      <c r="AM32" s="71">
        <f>IFERROR(__xludf.DUMMYFUNCTION("""COMPUTED_VALUE"""),4839.0)</f>
        <v>4839</v>
      </c>
      <c r="AN32" s="71">
        <f>IFERROR(__xludf.DUMMYFUNCTION("""COMPUTED_VALUE"""),4839.0)</f>
        <v>4839</v>
      </c>
      <c r="AO32" s="71">
        <f>IFERROR(__xludf.DUMMYFUNCTION("""COMPUTED_VALUE"""),4839.0)</f>
        <v>4839</v>
      </c>
      <c r="AP32" s="71">
        <f>IFERROR(__xludf.DUMMYFUNCTION("""COMPUTED_VALUE"""),4839.0)</f>
        <v>4839</v>
      </c>
      <c r="AQ32" s="71">
        <f>IFERROR(__xludf.DUMMYFUNCTION("""COMPUTED_VALUE"""),4839.0)</f>
        <v>4839</v>
      </c>
      <c r="AR32" s="71">
        <f>IFERROR(__xludf.DUMMYFUNCTION("""COMPUTED_VALUE"""),4839.0)</f>
        <v>4839</v>
      </c>
      <c r="AS32" s="71">
        <f>IFERROR(__xludf.DUMMYFUNCTION("""COMPUTED_VALUE"""),4839.0)</f>
        <v>4839</v>
      </c>
      <c r="AT32" s="71">
        <f>IFERROR(__xludf.DUMMYFUNCTION("""COMPUTED_VALUE"""),4839.0)</f>
        <v>4839</v>
      </c>
      <c r="AU32" s="71">
        <f>IFERROR(__xludf.DUMMYFUNCTION("""COMPUTED_VALUE"""),4835.0)</f>
        <v>4835</v>
      </c>
      <c r="AV32" s="41"/>
      <c r="AW32" s="41"/>
      <c r="AX32" s="41"/>
      <c r="AY32" s="41"/>
      <c r="AZ32" s="41"/>
    </row>
    <row r="33">
      <c r="B33" s="41"/>
      <c r="C33" s="41"/>
      <c r="D33" s="41"/>
      <c r="E33" s="41"/>
      <c r="F33" s="41"/>
      <c r="G33" s="41"/>
      <c r="H33" s="41"/>
      <c r="I33" s="41">
        <f>IFERROR(__xludf.DUMMYFUNCTION("""COMPUTED_VALUE"""),29.0)</f>
        <v>29</v>
      </c>
      <c r="J33" s="41" t="str">
        <f>IFERROR(__xludf.DUMMYFUNCTION("""COMPUTED_VALUE"""),"Y")</f>
        <v>Y</v>
      </c>
      <c r="K33" s="41" t="str">
        <f>IFERROR(__xludf.DUMMYFUNCTION("""COMPUTED_VALUE"""),"Y")</f>
        <v>Y</v>
      </c>
      <c r="L33" s="41"/>
      <c r="M33" s="41" t="str">
        <f>IFERROR(__xludf.DUMMYFUNCTION("""COMPUTED_VALUE"""),"Journal")</f>
        <v>Journal</v>
      </c>
      <c r="N33" s="66">
        <f>IFERROR(__xludf.DUMMYFUNCTION("""COMPUTED_VALUE"""),45715.0)</f>
        <v>45715</v>
      </c>
      <c r="O33" s="41">
        <f>IFERROR(__xludf.DUMMYFUNCTION("""COMPUTED_VALUE"""),16289.0)</f>
        <v>16289</v>
      </c>
      <c r="P33" s="41"/>
      <c r="Q33" s="41"/>
      <c r="R33" s="41"/>
      <c r="S33" s="41"/>
      <c r="T33" s="41"/>
      <c r="U33" s="41" t="str">
        <f>IFERROR(__xludf.DUMMYFUNCTION("""COMPUTED_VALUE"""),"大綜電腦系統股份有限公司 202502 M365軟體_PCAR-2229(20250130-20260129)(沖)ER5250")</f>
        <v>大綜電腦系統股份有限公司 202502 M365軟體_PCAR-2229(20250130-20260129)(沖)ER5250</v>
      </c>
      <c r="V33" s="41"/>
      <c r="W33" s="41"/>
      <c r="X33" s="41"/>
      <c r="Y33" s="71">
        <f>IFERROR(__xludf.DUMMYFUNCTION("""COMPUTED_VALUE"""),14513.0)</f>
        <v>14513</v>
      </c>
      <c r="Z33" s="41">
        <f>IFERROR(__xludf.DUMMYFUNCTION("""COMPUTED_VALUE"""),603201.0)</f>
        <v>603201</v>
      </c>
      <c r="AA33" s="41" t="str">
        <f>IFERROR(__xludf.DUMMYFUNCTION("""COMPUTED_VALUE"""),"行銷營運中心")</f>
        <v>行銷營運中心</v>
      </c>
      <c r="AB33" s="70" t="str">
        <f>IFERROR(__xludf.DUMMYFUNCTION("""COMPUTED_VALUE"""),"執行長室 : 行銷營運中心 : 行銷營運中心")</f>
        <v>執行長室 : 行銷營運中心 : 行銷營運中心</v>
      </c>
      <c r="AC33" s="70" t="str">
        <f>IFERROR(__xludf.DUMMYFUNCTION("""COMPUTED_VALUE"""),"No_Product_Line")</f>
        <v>No_Product_Line</v>
      </c>
      <c r="AD33" s="70" t="str">
        <f>IFERROR(__xludf.DUMMYFUNCTION("""COMPUTED_VALUE"""),"Baseline")</f>
        <v>Baseline</v>
      </c>
      <c r="AE33" s="70" t="str">
        <f>IFERROR(__xludf.DUMMYFUNCTION("""COMPUTED_VALUE"""),"Baseline")</f>
        <v>Baseline</v>
      </c>
      <c r="AF33" s="71">
        <f>IFERROR(__xludf.DUMMYFUNCTION("""COMPUTED_VALUE"""),58087.0)</f>
        <v>58087</v>
      </c>
      <c r="AG33" s="71">
        <f>IFERROR(__xludf.DUMMYFUNCTION("""COMPUTED_VALUE"""),12.0)</f>
        <v>12</v>
      </c>
      <c r="AH33" s="71">
        <f>IFERROR(__xludf.DUMMYFUNCTION("""COMPUTED_VALUE"""),43574.0)</f>
        <v>43574</v>
      </c>
      <c r="AI33" s="71">
        <f>IFERROR(__xludf.DUMMYFUNCTION("""COMPUTED_VALUE"""),0.0)</f>
        <v>0</v>
      </c>
      <c r="AJ33" s="41"/>
      <c r="AK33" s="71">
        <f>IFERROR(__xludf.DUMMYFUNCTION("""COMPUTED_VALUE"""),9701.0)</f>
        <v>9701</v>
      </c>
      <c r="AL33" s="71">
        <f>IFERROR(__xludf.DUMMYFUNCTION("""COMPUTED_VALUE"""),4839.0)</f>
        <v>4839</v>
      </c>
      <c r="AM33" s="71">
        <f>IFERROR(__xludf.DUMMYFUNCTION("""COMPUTED_VALUE"""),4839.0)</f>
        <v>4839</v>
      </c>
      <c r="AN33" s="71">
        <f>IFERROR(__xludf.DUMMYFUNCTION("""COMPUTED_VALUE"""),4839.0)</f>
        <v>4839</v>
      </c>
      <c r="AO33" s="71">
        <f>IFERROR(__xludf.DUMMYFUNCTION("""COMPUTED_VALUE"""),4839.0)</f>
        <v>4839</v>
      </c>
      <c r="AP33" s="71">
        <f>IFERROR(__xludf.DUMMYFUNCTION("""COMPUTED_VALUE"""),4839.0)</f>
        <v>4839</v>
      </c>
      <c r="AQ33" s="71">
        <f>IFERROR(__xludf.DUMMYFUNCTION("""COMPUTED_VALUE"""),4839.0)</f>
        <v>4839</v>
      </c>
      <c r="AR33" s="71">
        <f>IFERROR(__xludf.DUMMYFUNCTION("""COMPUTED_VALUE"""),4839.0)</f>
        <v>4839</v>
      </c>
      <c r="AS33" s="71">
        <f>IFERROR(__xludf.DUMMYFUNCTION("""COMPUTED_VALUE"""),4839.0)</f>
        <v>4839</v>
      </c>
      <c r="AT33" s="71">
        <f>IFERROR(__xludf.DUMMYFUNCTION("""COMPUTED_VALUE"""),4839.0)</f>
        <v>4839</v>
      </c>
      <c r="AU33" s="71">
        <f>IFERROR(__xludf.DUMMYFUNCTION("""COMPUTED_VALUE"""),4835.0)</f>
        <v>4835</v>
      </c>
      <c r="AV33" s="41"/>
      <c r="AW33" s="41"/>
      <c r="AX33" s="41"/>
      <c r="AY33" s="41"/>
      <c r="AZ33" s="41"/>
    </row>
    <row r="34">
      <c r="B34" s="41"/>
      <c r="C34" s="41"/>
      <c r="D34" s="41"/>
      <c r="E34" s="41"/>
      <c r="F34" s="41"/>
      <c r="G34" s="41"/>
      <c r="H34" s="41"/>
      <c r="I34" s="41">
        <f>IFERROR(__xludf.DUMMYFUNCTION("""COMPUTED_VALUE"""),30.0)</f>
        <v>30</v>
      </c>
      <c r="J34" s="41"/>
      <c r="K34" s="41"/>
      <c r="L34" s="41"/>
      <c r="M34" s="41" t="str">
        <f>IFERROR(__xludf.DUMMYFUNCTION("""COMPUTED_VALUE"""),"Journal")</f>
        <v>Journal</v>
      </c>
      <c r="N34" s="66">
        <f>IFERROR(__xludf.DUMMYFUNCTION("""COMPUTED_VALUE"""),45726.0)</f>
        <v>45726</v>
      </c>
      <c r="O34" s="41">
        <f>IFERROR(__xludf.DUMMYFUNCTION("""COMPUTED_VALUE"""),16556.0)</f>
        <v>16556</v>
      </c>
      <c r="P34" s="41"/>
      <c r="Q34" s="41"/>
      <c r="R34" s="41"/>
      <c r="S34" s="41"/>
      <c r="T34" s="41"/>
      <c r="U34" s="41" t="str">
        <f>IFERROR(__xludf.DUMMYFUNCTION("""COMPUTED_VALUE"""),"資廚(公司卡) 202502 Cursor AI 程式碼編輯器(20250209-20260209)")</f>
        <v>資廚(公司卡) 202502 Cursor AI 程式碼編輯器(20250209-20260209)</v>
      </c>
      <c r="V34" s="41"/>
      <c r="W34" s="41"/>
      <c r="X34" s="41"/>
      <c r="Y34" s="71">
        <f>IFERROR(__xludf.DUMMYFUNCTION("""COMPUTED_VALUE"""),4207.0)</f>
        <v>4207</v>
      </c>
      <c r="Z34" s="41">
        <f>IFERROR(__xludf.DUMMYFUNCTION("""COMPUTED_VALUE"""),520001.0)</f>
        <v>520001</v>
      </c>
      <c r="AA34" s="41" t="str">
        <f>IFERROR(__xludf.DUMMYFUNCTION("""COMPUTED_VALUE"""),"研發中心")</f>
        <v>研發中心</v>
      </c>
      <c r="AB34" s="70" t="str">
        <f>IFERROR(__xludf.DUMMYFUNCTION("""COMPUTED_VALUE"""),"執行長室 : 研發中心 : 軟體工程部")</f>
        <v>執行長室 : 研發中心 : 軟體工程部</v>
      </c>
      <c r="AC34" s="70" t="str">
        <f>IFERROR(__xludf.DUMMYFUNCTION("""COMPUTED_VALUE"""),"No_Product_Line")</f>
        <v>No_Product_Line</v>
      </c>
      <c r="AD34" s="70" t="str">
        <f>IFERROR(__xludf.DUMMYFUNCTION("""COMPUTED_VALUE"""),"Baseline")</f>
        <v>Baseline</v>
      </c>
      <c r="AE34" s="70" t="str">
        <f>IFERROR(__xludf.DUMMYFUNCTION("""COMPUTED_VALUE"""),"Baseline")</f>
        <v>Baseline</v>
      </c>
      <c r="AF34" s="71">
        <f>IFERROR(__xludf.DUMMYFUNCTION("""COMPUTED_VALUE"""),12620.0)</f>
        <v>12620</v>
      </c>
      <c r="AG34" s="71">
        <f>IFERROR(__xludf.DUMMYFUNCTION("""COMPUTED_VALUE"""),12.0)</f>
        <v>12</v>
      </c>
      <c r="AH34" s="71">
        <f>IFERROR(__xludf.DUMMYFUNCTION("""COMPUTED_VALUE"""),8413.0)</f>
        <v>8413</v>
      </c>
      <c r="AI34" s="71">
        <f>IFERROR(__xludf.DUMMYFUNCTION("""COMPUTED_VALUE"""),0.0)</f>
        <v>0</v>
      </c>
      <c r="AJ34" s="41"/>
      <c r="AK34" s="41"/>
      <c r="AL34" s="71">
        <f>IFERROR(__xludf.DUMMYFUNCTION("""COMPUTED_VALUE"""),2107.0)</f>
        <v>2107</v>
      </c>
      <c r="AM34" s="71">
        <f>IFERROR(__xludf.DUMMYFUNCTION("""COMPUTED_VALUE"""),1051.0)</f>
        <v>1051</v>
      </c>
      <c r="AN34" s="71">
        <f>IFERROR(__xludf.DUMMYFUNCTION("""COMPUTED_VALUE"""),1051.0)</f>
        <v>1051</v>
      </c>
      <c r="AO34" s="71">
        <f>IFERROR(__xludf.DUMMYFUNCTION("""COMPUTED_VALUE"""),1051.0)</f>
        <v>1051</v>
      </c>
      <c r="AP34" s="71">
        <f>IFERROR(__xludf.DUMMYFUNCTION("""COMPUTED_VALUE"""),1051.0)</f>
        <v>1051</v>
      </c>
      <c r="AQ34" s="71">
        <f>IFERROR(__xludf.DUMMYFUNCTION("""COMPUTED_VALUE"""),1051.0)</f>
        <v>1051</v>
      </c>
      <c r="AR34" s="71">
        <f>IFERROR(__xludf.DUMMYFUNCTION("""COMPUTED_VALUE"""),1051.0)</f>
        <v>1051</v>
      </c>
      <c r="AS34" s="71">
        <f>IFERROR(__xludf.DUMMYFUNCTION("""COMPUTED_VALUE"""),1051.0)</f>
        <v>1051</v>
      </c>
      <c r="AT34" s="71">
        <f>IFERROR(__xludf.DUMMYFUNCTION("""COMPUTED_VALUE"""),1051.0)</f>
        <v>1051</v>
      </c>
      <c r="AU34" s="71">
        <f>IFERROR(__xludf.DUMMYFUNCTION("""COMPUTED_VALUE"""),1051.0)</f>
        <v>1051</v>
      </c>
      <c r="AV34" s="71">
        <f>IFERROR(__xludf.DUMMYFUNCTION("""COMPUTED_VALUE"""),1054.0)</f>
        <v>1054</v>
      </c>
      <c r="AW34" s="41"/>
      <c r="AX34" s="41"/>
      <c r="AY34" s="41"/>
      <c r="AZ34" s="41"/>
    </row>
    <row r="35">
      <c r="B35" s="41"/>
      <c r="C35" s="41"/>
      <c r="D35" s="41"/>
      <c r="E35" s="41"/>
      <c r="F35" s="41"/>
      <c r="G35" s="41"/>
      <c r="H35" s="41"/>
      <c r="I35" s="41">
        <f>IFERROR(__xludf.DUMMYFUNCTION("""COMPUTED_VALUE"""),31.0)</f>
        <v>31</v>
      </c>
      <c r="J35" s="41"/>
      <c r="K35" s="41"/>
      <c r="L35" s="41"/>
      <c r="M35" s="41" t="str">
        <f>IFERROR(__xludf.DUMMYFUNCTION("""COMPUTED_VALUE"""),"Journal")</f>
        <v>Journal</v>
      </c>
      <c r="N35" s="66">
        <f>IFERROR(__xludf.DUMMYFUNCTION("""COMPUTED_VALUE"""),45726.0)</f>
        <v>45726</v>
      </c>
      <c r="O35" s="41">
        <f>IFERROR(__xludf.DUMMYFUNCTION("""COMPUTED_VALUE"""),16556.0)</f>
        <v>16556</v>
      </c>
      <c r="P35" s="41"/>
      <c r="Q35" s="41"/>
      <c r="R35" s="41"/>
      <c r="S35" s="41"/>
      <c r="T35" s="41"/>
      <c r="U35" s="41" t="str">
        <f>IFERROR(__xludf.DUMMYFUNCTION("""COMPUTED_VALUE"""),"資廚(公司卡) 202502 Cursor AI 程式碼編輯器(20250209-20260209)")</f>
        <v>資廚(公司卡) 202502 Cursor AI 程式碼編輯器(20250209-20260209)</v>
      </c>
      <c r="V35" s="41"/>
      <c r="W35" s="41"/>
      <c r="X35" s="41"/>
      <c r="Y35" s="71">
        <f>IFERROR(__xludf.DUMMYFUNCTION("""COMPUTED_VALUE"""),4207.0)</f>
        <v>4207</v>
      </c>
      <c r="Z35" s="41">
        <f>IFERROR(__xludf.DUMMYFUNCTION("""COMPUTED_VALUE"""),520001.0)</f>
        <v>520001</v>
      </c>
      <c r="AA35" s="41" t="str">
        <f>IFERROR(__xludf.DUMMYFUNCTION("""COMPUTED_VALUE"""),"研發中心")</f>
        <v>研發中心</v>
      </c>
      <c r="AB35" s="70" t="str">
        <f>IFERROR(__xludf.DUMMYFUNCTION("""COMPUTED_VALUE"""),"執行長室 : 研發中心 : 軟體工程部")</f>
        <v>執行長室 : 研發中心 : 軟體工程部</v>
      </c>
      <c r="AC35" s="70" t="str">
        <f>IFERROR(__xludf.DUMMYFUNCTION("""COMPUTED_VALUE"""),"No_Product_Line")</f>
        <v>No_Product_Line</v>
      </c>
      <c r="AD35" s="70" t="str">
        <f>IFERROR(__xludf.DUMMYFUNCTION("""COMPUTED_VALUE"""),"Baseline")</f>
        <v>Baseline</v>
      </c>
      <c r="AE35" s="70" t="str">
        <f>IFERROR(__xludf.DUMMYFUNCTION("""COMPUTED_VALUE"""),"Baseline")</f>
        <v>Baseline</v>
      </c>
      <c r="AF35" s="71">
        <f>IFERROR(__xludf.DUMMYFUNCTION("""COMPUTED_VALUE"""),12620.0)</f>
        <v>12620</v>
      </c>
      <c r="AG35" s="71">
        <f>IFERROR(__xludf.DUMMYFUNCTION("""COMPUTED_VALUE"""),12.0)</f>
        <v>12</v>
      </c>
      <c r="AH35" s="71">
        <f>IFERROR(__xludf.DUMMYFUNCTION("""COMPUTED_VALUE"""),8413.0)</f>
        <v>8413</v>
      </c>
      <c r="AI35" s="71">
        <f>IFERROR(__xludf.DUMMYFUNCTION("""COMPUTED_VALUE"""),0.0)</f>
        <v>0</v>
      </c>
      <c r="AJ35" s="41"/>
      <c r="AK35" s="41"/>
      <c r="AL35" s="71">
        <f>IFERROR(__xludf.DUMMYFUNCTION("""COMPUTED_VALUE"""),2107.0)</f>
        <v>2107</v>
      </c>
      <c r="AM35" s="71">
        <f>IFERROR(__xludf.DUMMYFUNCTION("""COMPUTED_VALUE"""),1051.0)</f>
        <v>1051</v>
      </c>
      <c r="AN35" s="71">
        <f>IFERROR(__xludf.DUMMYFUNCTION("""COMPUTED_VALUE"""),1051.0)</f>
        <v>1051</v>
      </c>
      <c r="AO35" s="71">
        <f>IFERROR(__xludf.DUMMYFUNCTION("""COMPUTED_VALUE"""),1051.0)</f>
        <v>1051</v>
      </c>
      <c r="AP35" s="71">
        <f>IFERROR(__xludf.DUMMYFUNCTION("""COMPUTED_VALUE"""),1051.0)</f>
        <v>1051</v>
      </c>
      <c r="AQ35" s="71">
        <f>IFERROR(__xludf.DUMMYFUNCTION("""COMPUTED_VALUE"""),1051.0)</f>
        <v>1051</v>
      </c>
      <c r="AR35" s="71">
        <f>IFERROR(__xludf.DUMMYFUNCTION("""COMPUTED_VALUE"""),1051.0)</f>
        <v>1051</v>
      </c>
      <c r="AS35" s="71">
        <f>IFERROR(__xludf.DUMMYFUNCTION("""COMPUTED_VALUE"""),1051.0)</f>
        <v>1051</v>
      </c>
      <c r="AT35" s="71">
        <f>IFERROR(__xludf.DUMMYFUNCTION("""COMPUTED_VALUE"""),1051.0)</f>
        <v>1051</v>
      </c>
      <c r="AU35" s="71">
        <f>IFERROR(__xludf.DUMMYFUNCTION("""COMPUTED_VALUE"""),1051.0)</f>
        <v>1051</v>
      </c>
      <c r="AV35" s="71">
        <f>IFERROR(__xludf.DUMMYFUNCTION("""COMPUTED_VALUE"""),1054.0)</f>
        <v>1054</v>
      </c>
      <c r="AW35" s="41"/>
      <c r="AX35" s="41"/>
      <c r="AY35" s="41"/>
      <c r="AZ35" s="41"/>
    </row>
    <row r="36">
      <c r="B36" s="41"/>
      <c r="C36" s="41"/>
      <c r="D36" s="41"/>
      <c r="E36" s="41"/>
      <c r="F36" s="41"/>
      <c r="G36" s="41"/>
      <c r="H36" s="41"/>
      <c r="I36" s="41">
        <f>IFERROR(__xludf.DUMMYFUNCTION("""COMPUTED_VALUE"""),32.0)</f>
        <v>32</v>
      </c>
      <c r="J36" s="41"/>
      <c r="K36" s="41"/>
      <c r="L36" s="41"/>
      <c r="M36" s="41" t="str">
        <f>IFERROR(__xludf.DUMMYFUNCTION("""COMPUTED_VALUE"""),"Journal")</f>
        <v>Journal</v>
      </c>
      <c r="N36" s="66">
        <f>IFERROR(__xludf.DUMMYFUNCTION("""COMPUTED_VALUE"""),45726.0)</f>
        <v>45726</v>
      </c>
      <c r="O36" s="41">
        <f>IFERROR(__xludf.DUMMYFUNCTION("""COMPUTED_VALUE"""),16556.0)</f>
        <v>16556</v>
      </c>
      <c r="P36" s="41"/>
      <c r="Q36" s="41"/>
      <c r="R36" s="41"/>
      <c r="S36" s="41"/>
      <c r="T36" s="41"/>
      <c r="U36" s="41" t="str">
        <f>IFERROR(__xludf.DUMMYFUNCTION("""COMPUTED_VALUE"""),"資廚(公司卡) 202502 Cursor AI 程式碼編輯器(20250209-20260209)")</f>
        <v>資廚(公司卡) 202502 Cursor AI 程式碼編輯器(20250209-20260209)</v>
      </c>
      <c r="V36" s="41"/>
      <c r="W36" s="41"/>
      <c r="X36" s="41"/>
      <c r="Y36" s="71">
        <f>IFERROR(__xludf.DUMMYFUNCTION("""COMPUTED_VALUE"""),4207.0)</f>
        <v>4207</v>
      </c>
      <c r="Z36" s="41">
        <f>IFERROR(__xludf.DUMMYFUNCTION("""COMPUTED_VALUE"""),520001.0)</f>
        <v>520001</v>
      </c>
      <c r="AA36" s="41" t="str">
        <f>IFERROR(__xludf.DUMMYFUNCTION("""COMPUTED_VALUE"""),"研發中心")</f>
        <v>研發中心</v>
      </c>
      <c r="AB36" s="70" t="str">
        <f>IFERROR(__xludf.DUMMYFUNCTION("""COMPUTED_VALUE"""),"執行長室 : 研發中心 : 軟體工程部")</f>
        <v>執行長室 : 研發中心 : 軟體工程部</v>
      </c>
      <c r="AC36" s="70" t="str">
        <f>IFERROR(__xludf.DUMMYFUNCTION("""COMPUTED_VALUE"""),"No_Product_Line")</f>
        <v>No_Product_Line</v>
      </c>
      <c r="AD36" s="70" t="str">
        <f>IFERROR(__xludf.DUMMYFUNCTION("""COMPUTED_VALUE"""),"Baseline")</f>
        <v>Baseline</v>
      </c>
      <c r="AE36" s="70" t="str">
        <f>IFERROR(__xludf.DUMMYFUNCTION("""COMPUTED_VALUE"""),"Baseline")</f>
        <v>Baseline</v>
      </c>
      <c r="AF36" s="71">
        <f>IFERROR(__xludf.DUMMYFUNCTION("""COMPUTED_VALUE"""),12620.0)</f>
        <v>12620</v>
      </c>
      <c r="AG36" s="71">
        <f>IFERROR(__xludf.DUMMYFUNCTION("""COMPUTED_VALUE"""),12.0)</f>
        <v>12</v>
      </c>
      <c r="AH36" s="71">
        <f>IFERROR(__xludf.DUMMYFUNCTION("""COMPUTED_VALUE"""),8413.0)</f>
        <v>8413</v>
      </c>
      <c r="AI36" s="71">
        <f>IFERROR(__xludf.DUMMYFUNCTION("""COMPUTED_VALUE"""),0.0)</f>
        <v>0</v>
      </c>
      <c r="AJ36" s="41"/>
      <c r="AK36" s="41"/>
      <c r="AL36" s="71">
        <f>IFERROR(__xludf.DUMMYFUNCTION("""COMPUTED_VALUE"""),2107.0)</f>
        <v>2107</v>
      </c>
      <c r="AM36" s="71">
        <f>IFERROR(__xludf.DUMMYFUNCTION("""COMPUTED_VALUE"""),1051.0)</f>
        <v>1051</v>
      </c>
      <c r="AN36" s="71">
        <f>IFERROR(__xludf.DUMMYFUNCTION("""COMPUTED_VALUE"""),1051.0)</f>
        <v>1051</v>
      </c>
      <c r="AO36" s="71">
        <f>IFERROR(__xludf.DUMMYFUNCTION("""COMPUTED_VALUE"""),1051.0)</f>
        <v>1051</v>
      </c>
      <c r="AP36" s="71">
        <f>IFERROR(__xludf.DUMMYFUNCTION("""COMPUTED_VALUE"""),1051.0)</f>
        <v>1051</v>
      </c>
      <c r="AQ36" s="71">
        <f>IFERROR(__xludf.DUMMYFUNCTION("""COMPUTED_VALUE"""),1051.0)</f>
        <v>1051</v>
      </c>
      <c r="AR36" s="71">
        <f>IFERROR(__xludf.DUMMYFUNCTION("""COMPUTED_VALUE"""),1051.0)</f>
        <v>1051</v>
      </c>
      <c r="AS36" s="71">
        <f>IFERROR(__xludf.DUMMYFUNCTION("""COMPUTED_VALUE"""),1051.0)</f>
        <v>1051</v>
      </c>
      <c r="AT36" s="71">
        <f>IFERROR(__xludf.DUMMYFUNCTION("""COMPUTED_VALUE"""),1051.0)</f>
        <v>1051</v>
      </c>
      <c r="AU36" s="71">
        <f>IFERROR(__xludf.DUMMYFUNCTION("""COMPUTED_VALUE"""),1051.0)</f>
        <v>1051</v>
      </c>
      <c r="AV36" s="71">
        <f>IFERROR(__xludf.DUMMYFUNCTION("""COMPUTED_VALUE"""),1054.0)</f>
        <v>1054</v>
      </c>
      <c r="AW36" s="41"/>
      <c r="AX36" s="41"/>
      <c r="AY36" s="41"/>
      <c r="AZ36" s="41"/>
    </row>
    <row r="37">
      <c r="B37" s="41"/>
      <c r="C37" s="41"/>
      <c r="D37" s="41"/>
      <c r="E37" s="41"/>
      <c r="F37" s="41"/>
      <c r="G37" s="41"/>
      <c r="H37" s="41"/>
      <c r="I37" s="41">
        <f>IFERROR(__xludf.DUMMYFUNCTION("""COMPUTED_VALUE"""),33.0)</f>
        <v>33</v>
      </c>
      <c r="J37" s="41"/>
      <c r="K37" s="41"/>
      <c r="L37" s="41"/>
      <c r="M37" s="41" t="str">
        <f>IFERROR(__xludf.DUMMYFUNCTION("""COMPUTED_VALUE"""),"Journal")</f>
        <v>Journal</v>
      </c>
      <c r="N37" s="66">
        <f>IFERROR(__xludf.DUMMYFUNCTION("""COMPUTED_VALUE"""),45726.0)</f>
        <v>45726</v>
      </c>
      <c r="O37" s="41">
        <f>IFERROR(__xludf.DUMMYFUNCTION("""COMPUTED_VALUE"""),16556.0)</f>
        <v>16556</v>
      </c>
      <c r="P37" s="41"/>
      <c r="Q37" s="41"/>
      <c r="R37" s="41"/>
      <c r="S37" s="41"/>
      <c r="T37" s="41"/>
      <c r="U37" s="72" t="str">
        <f>IFERROR(__xludf.DUMMYFUNCTION("""COMPUTED_VALUE"""),"資廚(公司卡) 202502 Cursor AI 程式碼編輯器(20250209-20260209)")</f>
        <v>資廚(公司卡) 202502 Cursor AI 程式碼編輯器(20250209-20260209)</v>
      </c>
      <c r="V37" s="41"/>
      <c r="W37" s="41"/>
      <c r="X37" s="41"/>
      <c r="Y37" s="71">
        <f>IFERROR(__xludf.DUMMYFUNCTION("""COMPUTED_VALUE"""),4207.0)</f>
        <v>4207</v>
      </c>
      <c r="Z37" s="41">
        <f>IFERROR(__xludf.DUMMYFUNCTION("""COMPUTED_VALUE"""),520001.0)</f>
        <v>520001</v>
      </c>
      <c r="AA37" s="41" t="str">
        <f>IFERROR(__xludf.DUMMYFUNCTION("""COMPUTED_VALUE"""),"研發中心")</f>
        <v>研發中心</v>
      </c>
      <c r="AB37" s="70" t="str">
        <f>IFERROR(__xludf.DUMMYFUNCTION("""COMPUTED_VALUE"""),"執行長室 : 研發中心 : 軟體工程部")</f>
        <v>執行長室 : 研發中心 : 軟體工程部</v>
      </c>
      <c r="AC37" s="70" t="str">
        <f>IFERROR(__xludf.DUMMYFUNCTION("""COMPUTED_VALUE"""),"No_Product_Line")</f>
        <v>No_Product_Line</v>
      </c>
      <c r="AD37" s="70" t="str">
        <f>IFERROR(__xludf.DUMMYFUNCTION("""COMPUTED_VALUE"""),"Baseline")</f>
        <v>Baseline</v>
      </c>
      <c r="AE37" s="70" t="str">
        <f>IFERROR(__xludf.DUMMYFUNCTION("""COMPUTED_VALUE"""),"Baseline")</f>
        <v>Baseline</v>
      </c>
      <c r="AF37" s="71">
        <f>IFERROR(__xludf.DUMMYFUNCTION("""COMPUTED_VALUE"""),12620.0)</f>
        <v>12620</v>
      </c>
      <c r="AG37" s="71">
        <f>IFERROR(__xludf.DUMMYFUNCTION("""COMPUTED_VALUE"""),12.0)</f>
        <v>12</v>
      </c>
      <c r="AH37" s="71">
        <f>IFERROR(__xludf.DUMMYFUNCTION("""COMPUTED_VALUE"""),8413.0)</f>
        <v>8413</v>
      </c>
      <c r="AI37" s="71">
        <f>IFERROR(__xludf.DUMMYFUNCTION("""COMPUTED_VALUE"""),0.0)</f>
        <v>0</v>
      </c>
      <c r="AJ37" s="41"/>
      <c r="AK37" s="41"/>
      <c r="AL37" s="71">
        <f>IFERROR(__xludf.DUMMYFUNCTION("""COMPUTED_VALUE"""),2107.0)</f>
        <v>2107</v>
      </c>
      <c r="AM37" s="71">
        <f>IFERROR(__xludf.DUMMYFUNCTION("""COMPUTED_VALUE"""),1051.0)</f>
        <v>1051</v>
      </c>
      <c r="AN37" s="71">
        <f>IFERROR(__xludf.DUMMYFUNCTION("""COMPUTED_VALUE"""),1051.0)</f>
        <v>1051</v>
      </c>
      <c r="AO37" s="71">
        <f>IFERROR(__xludf.DUMMYFUNCTION("""COMPUTED_VALUE"""),1051.0)</f>
        <v>1051</v>
      </c>
      <c r="AP37" s="71">
        <f>IFERROR(__xludf.DUMMYFUNCTION("""COMPUTED_VALUE"""),1051.0)</f>
        <v>1051</v>
      </c>
      <c r="AQ37" s="71">
        <f>IFERROR(__xludf.DUMMYFUNCTION("""COMPUTED_VALUE"""),1051.0)</f>
        <v>1051</v>
      </c>
      <c r="AR37" s="71">
        <f>IFERROR(__xludf.DUMMYFUNCTION("""COMPUTED_VALUE"""),1051.0)</f>
        <v>1051</v>
      </c>
      <c r="AS37" s="71">
        <f>IFERROR(__xludf.DUMMYFUNCTION("""COMPUTED_VALUE"""),1051.0)</f>
        <v>1051</v>
      </c>
      <c r="AT37" s="71">
        <f>IFERROR(__xludf.DUMMYFUNCTION("""COMPUTED_VALUE"""),1051.0)</f>
        <v>1051</v>
      </c>
      <c r="AU37" s="71">
        <f>IFERROR(__xludf.DUMMYFUNCTION("""COMPUTED_VALUE"""),1051.0)</f>
        <v>1051</v>
      </c>
      <c r="AV37" s="71">
        <f>IFERROR(__xludf.DUMMYFUNCTION("""COMPUTED_VALUE"""),1054.0)</f>
        <v>1054</v>
      </c>
      <c r="AW37" s="41"/>
      <c r="AX37" s="41"/>
      <c r="AY37" s="41"/>
      <c r="AZ37" s="41"/>
    </row>
    <row r="38">
      <c r="B38" s="41"/>
      <c r="C38" s="41"/>
      <c r="D38" s="41"/>
      <c r="E38" s="41"/>
      <c r="F38" s="41"/>
      <c r="G38" s="41"/>
      <c r="H38" s="41"/>
      <c r="I38" s="41">
        <f>IFERROR(__xludf.DUMMYFUNCTION("""COMPUTED_VALUE"""),34.0)</f>
        <v>34</v>
      </c>
      <c r="J38" s="41"/>
      <c r="K38" s="41"/>
      <c r="L38" s="41"/>
      <c r="M38" s="41" t="str">
        <f>IFERROR(__xludf.DUMMYFUNCTION("""COMPUTED_VALUE"""),"Journal")</f>
        <v>Journal</v>
      </c>
      <c r="N38" s="66">
        <f>IFERROR(__xludf.DUMMYFUNCTION("""COMPUTED_VALUE"""),45726.0)</f>
        <v>45726</v>
      </c>
      <c r="O38" s="41">
        <f>IFERROR(__xludf.DUMMYFUNCTION("""COMPUTED_VALUE"""),16556.0)</f>
        <v>16556</v>
      </c>
      <c r="P38" s="41"/>
      <c r="Q38" s="41"/>
      <c r="R38" s="41"/>
      <c r="S38" s="41"/>
      <c r="T38" s="41"/>
      <c r="U38" s="41" t="str">
        <f>IFERROR(__xludf.DUMMYFUNCTION("""COMPUTED_VALUE"""),"資廚(公司卡) 202502 Cursor AI 程式碼編輯器(20250209-20260209)")</f>
        <v>資廚(公司卡) 202502 Cursor AI 程式碼編輯器(20250209-20260209)</v>
      </c>
      <c r="V38" s="41"/>
      <c r="W38" s="41"/>
      <c r="X38" s="41"/>
      <c r="Y38" s="71">
        <f>IFERROR(__xludf.DUMMYFUNCTION("""COMPUTED_VALUE"""),4206.0)</f>
        <v>4206</v>
      </c>
      <c r="Z38" s="41">
        <f>IFERROR(__xludf.DUMMYFUNCTION("""COMPUTED_VALUE"""),520001.0)</f>
        <v>520001</v>
      </c>
      <c r="AA38" s="41" t="str">
        <f>IFERROR(__xludf.DUMMYFUNCTION("""COMPUTED_VALUE"""),"研發中心")</f>
        <v>研發中心</v>
      </c>
      <c r="AB38" s="70" t="str">
        <f>IFERROR(__xludf.DUMMYFUNCTION("""COMPUTED_VALUE"""),"執行長室 : 研發中心 : 軟體工程部")</f>
        <v>執行長室 : 研發中心 : 軟體工程部</v>
      </c>
      <c r="AC38" s="70" t="str">
        <f>IFERROR(__xludf.DUMMYFUNCTION("""COMPUTED_VALUE"""),"No_Product_Line")</f>
        <v>No_Product_Line</v>
      </c>
      <c r="AD38" s="70" t="str">
        <f>IFERROR(__xludf.DUMMYFUNCTION("""COMPUTED_VALUE"""),"Baseline")</f>
        <v>Baseline</v>
      </c>
      <c r="AE38" s="70" t="str">
        <f>IFERROR(__xludf.DUMMYFUNCTION("""COMPUTED_VALUE"""),"Baseline")</f>
        <v>Baseline</v>
      </c>
      <c r="AF38" s="71">
        <f>IFERROR(__xludf.DUMMYFUNCTION("""COMPUTED_VALUE"""),12619.0)</f>
        <v>12619</v>
      </c>
      <c r="AG38" s="71">
        <f>IFERROR(__xludf.DUMMYFUNCTION("""COMPUTED_VALUE"""),12.0)</f>
        <v>12</v>
      </c>
      <c r="AH38" s="71">
        <f>IFERROR(__xludf.DUMMYFUNCTION("""COMPUTED_VALUE"""),8413.0)</f>
        <v>8413</v>
      </c>
      <c r="AI38" s="71">
        <f>IFERROR(__xludf.DUMMYFUNCTION("""COMPUTED_VALUE"""),0.0)</f>
        <v>0</v>
      </c>
      <c r="AJ38" s="41"/>
      <c r="AK38" s="41"/>
      <c r="AL38" s="71">
        <f>IFERROR(__xludf.DUMMYFUNCTION("""COMPUTED_VALUE"""),2107.0)</f>
        <v>2107</v>
      </c>
      <c r="AM38" s="71">
        <f>IFERROR(__xludf.DUMMYFUNCTION("""COMPUTED_VALUE"""),1051.0)</f>
        <v>1051</v>
      </c>
      <c r="AN38" s="71">
        <f>IFERROR(__xludf.DUMMYFUNCTION("""COMPUTED_VALUE"""),1051.0)</f>
        <v>1051</v>
      </c>
      <c r="AO38" s="71">
        <f>IFERROR(__xludf.DUMMYFUNCTION("""COMPUTED_VALUE"""),1051.0)</f>
        <v>1051</v>
      </c>
      <c r="AP38" s="71">
        <f>IFERROR(__xludf.DUMMYFUNCTION("""COMPUTED_VALUE"""),1051.0)</f>
        <v>1051</v>
      </c>
      <c r="AQ38" s="71">
        <f>IFERROR(__xludf.DUMMYFUNCTION("""COMPUTED_VALUE"""),1051.0)</f>
        <v>1051</v>
      </c>
      <c r="AR38" s="71">
        <f>IFERROR(__xludf.DUMMYFUNCTION("""COMPUTED_VALUE"""),1051.0)</f>
        <v>1051</v>
      </c>
      <c r="AS38" s="71">
        <f>IFERROR(__xludf.DUMMYFUNCTION("""COMPUTED_VALUE"""),1051.0)</f>
        <v>1051</v>
      </c>
      <c r="AT38" s="71">
        <f>IFERROR(__xludf.DUMMYFUNCTION("""COMPUTED_VALUE"""),1051.0)</f>
        <v>1051</v>
      </c>
      <c r="AU38" s="71">
        <f>IFERROR(__xludf.DUMMYFUNCTION("""COMPUTED_VALUE"""),1051.0)</f>
        <v>1051</v>
      </c>
      <c r="AV38" s="71">
        <f>IFERROR(__xludf.DUMMYFUNCTION("""COMPUTED_VALUE"""),1053.0)</f>
        <v>1053</v>
      </c>
      <c r="AW38" s="41"/>
      <c r="AX38" s="41"/>
      <c r="AY38" s="41"/>
      <c r="AZ38" s="41"/>
    </row>
    <row r="39">
      <c r="B39" s="41"/>
      <c r="C39" s="41"/>
      <c r="D39" s="41"/>
      <c r="E39" s="41"/>
      <c r="F39" s="41"/>
      <c r="G39" s="41"/>
      <c r="H39" s="41"/>
      <c r="I39" s="41">
        <f>IFERROR(__xludf.DUMMYFUNCTION("""COMPUTED_VALUE"""),35.0)</f>
        <v>35</v>
      </c>
      <c r="J39" s="41"/>
      <c r="K39" s="41"/>
      <c r="L39" s="41"/>
      <c r="M39" s="41" t="str">
        <f>IFERROR(__xludf.DUMMYFUNCTION("""COMPUTED_VALUE"""),"Journal")</f>
        <v>Journal</v>
      </c>
      <c r="N39" s="66">
        <f>IFERROR(__xludf.DUMMYFUNCTION("""COMPUTED_VALUE"""),45726.0)</f>
        <v>45726</v>
      </c>
      <c r="O39" s="41">
        <f>IFERROR(__xludf.DUMMYFUNCTION("""COMPUTED_VALUE"""),16556.0)</f>
        <v>16556</v>
      </c>
      <c r="P39" s="41"/>
      <c r="Q39" s="41"/>
      <c r="R39" s="41"/>
      <c r="S39" s="41"/>
      <c r="T39" s="41"/>
      <c r="U39" s="41" t="str">
        <f>IFERROR(__xludf.DUMMYFUNCTION("""COMPUTED_VALUE"""),"資廚管理顧問股份有限公司(公司卡)_202502_iPinfo(20250219-20260219)")</f>
        <v>資廚管理顧問股份有限公司(公司卡)_202502_iPinfo(20250219-20260219)</v>
      </c>
      <c r="V39" s="41"/>
      <c r="W39" s="41"/>
      <c r="X39" s="41"/>
      <c r="Y39" s="71">
        <f>IFERROR(__xludf.DUMMYFUNCTION("""COMPUTED_VALUE"""),5342.0)</f>
        <v>5342</v>
      </c>
      <c r="Z39" s="41">
        <f>IFERROR(__xludf.DUMMYFUNCTION("""COMPUTED_VALUE"""),603201.0)</f>
        <v>603201</v>
      </c>
      <c r="AA39" s="41" t="str">
        <f>IFERROR(__xludf.DUMMYFUNCTION("""COMPUTED_VALUE"""),"行銷營運中心")</f>
        <v>行銷營運中心</v>
      </c>
      <c r="AB39" s="70" t="str">
        <f>IFERROR(__xludf.DUMMYFUNCTION("""COMPUTED_VALUE"""),"執行長室 : 行銷營運中心 : 產品行銷部")</f>
        <v>執行長室 : 行銷營運中心 : 產品行銷部</v>
      </c>
      <c r="AC39" s="70" t="str">
        <f>IFERROR(__xludf.DUMMYFUNCTION("""COMPUTED_VALUE"""),"No_Product_Line")</f>
        <v>No_Product_Line</v>
      </c>
      <c r="AD39" s="70" t="str">
        <f>IFERROR(__xludf.DUMMYFUNCTION("""COMPUTED_VALUE"""),"Baseline")</f>
        <v>Baseline</v>
      </c>
      <c r="AE39" s="70" t="str">
        <f>IFERROR(__xludf.DUMMYFUNCTION("""COMPUTED_VALUE"""),"Baseline")</f>
        <v>Baseline</v>
      </c>
      <c r="AF39" s="71">
        <f>IFERROR(__xludf.DUMMYFUNCTION("""COMPUTED_VALUE"""),16036.0)</f>
        <v>16036</v>
      </c>
      <c r="AG39" s="71">
        <f>IFERROR(__xludf.DUMMYFUNCTION("""COMPUTED_VALUE"""),12.0)</f>
        <v>12</v>
      </c>
      <c r="AH39" s="71">
        <f>IFERROR(__xludf.DUMMYFUNCTION("""COMPUTED_VALUE"""),10694.0)</f>
        <v>10694</v>
      </c>
      <c r="AI39" s="71">
        <f>IFERROR(__xludf.DUMMYFUNCTION("""COMPUTED_VALUE"""),0.0)</f>
        <v>0</v>
      </c>
      <c r="AJ39" s="41"/>
      <c r="AK39" s="41"/>
      <c r="AL39" s="71">
        <f>IFERROR(__xludf.DUMMYFUNCTION("""COMPUTED_VALUE"""),2678.0)</f>
        <v>2678</v>
      </c>
      <c r="AM39" s="71">
        <f>IFERROR(__xludf.DUMMYFUNCTION("""COMPUTED_VALUE"""),1336.0)</f>
        <v>1336</v>
      </c>
      <c r="AN39" s="71">
        <f>IFERROR(__xludf.DUMMYFUNCTION("""COMPUTED_VALUE"""),1336.0)</f>
        <v>1336</v>
      </c>
      <c r="AO39" s="71">
        <f>IFERROR(__xludf.DUMMYFUNCTION("""COMPUTED_VALUE"""),1336.0)</f>
        <v>1336</v>
      </c>
      <c r="AP39" s="71">
        <f>IFERROR(__xludf.DUMMYFUNCTION("""COMPUTED_VALUE"""),1336.0)</f>
        <v>1336</v>
      </c>
      <c r="AQ39" s="71">
        <f>IFERROR(__xludf.DUMMYFUNCTION("""COMPUTED_VALUE"""),1336.0)</f>
        <v>1336</v>
      </c>
      <c r="AR39" s="71">
        <f>IFERROR(__xludf.DUMMYFUNCTION("""COMPUTED_VALUE"""),1336.0)</f>
        <v>1336</v>
      </c>
      <c r="AS39" s="71">
        <f>IFERROR(__xludf.DUMMYFUNCTION("""COMPUTED_VALUE"""),1336.0)</f>
        <v>1336</v>
      </c>
      <c r="AT39" s="71">
        <f>IFERROR(__xludf.DUMMYFUNCTION("""COMPUTED_VALUE"""),1336.0)</f>
        <v>1336</v>
      </c>
      <c r="AU39" s="71">
        <f>IFERROR(__xludf.DUMMYFUNCTION("""COMPUTED_VALUE"""),1336.0)</f>
        <v>1336</v>
      </c>
      <c r="AV39" s="71">
        <f>IFERROR(__xludf.DUMMYFUNCTION("""COMPUTED_VALUE"""),1334.0)</f>
        <v>1334</v>
      </c>
      <c r="AW39" s="41"/>
      <c r="AX39" s="41"/>
      <c r="AY39" s="41"/>
      <c r="AZ39" s="41"/>
    </row>
    <row r="40">
      <c r="B40" s="41"/>
      <c r="C40" s="41"/>
      <c r="D40" s="41"/>
      <c r="E40" s="41"/>
      <c r="F40" s="41"/>
      <c r="G40" s="41"/>
      <c r="H40" s="41"/>
      <c r="I40" s="41">
        <f>IFERROR(__xludf.DUMMYFUNCTION("""COMPUTED_VALUE"""),36.0)</f>
        <v>36</v>
      </c>
      <c r="J40" s="41"/>
      <c r="K40" s="41" t="str">
        <f>IFERROR(__xludf.DUMMYFUNCTION("""COMPUTED_VALUE"""),"Y")</f>
        <v>Y</v>
      </c>
      <c r="L40" s="41"/>
      <c r="M40" s="41" t="str">
        <f>IFERROR(__xludf.DUMMYFUNCTION("""COMPUTED_VALUE"""),"Journal")</f>
        <v>Journal</v>
      </c>
      <c r="N40" s="66">
        <f>IFERROR(__xludf.DUMMYFUNCTION("""COMPUTED_VALUE"""),45726.0)</f>
        <v>45726</v>
      </c>
      <c r="O40" s="41">
        <f>IFERROR(__xludf.DUMMYFUNCTION("""COMPUTED_VALUE"""),16556.0)</f>
        <v>16556</v>
      </c>
      <c r="P40" s="41"/>
      <c r="Q40" s="41"/>
      <c r="R40" s="41"/>
      <c r="S40" s="41"/>
      <c r="T40" s="41"/>
      <c r="U40" s="72" t="str">
        <f>IFERROR(__xludf.DUMMYFUNCTION("""COMPUTED_VALUE"""),"資廚管理顧問股份有限公司(公司卡)_202502_SpeedCurve目前年繳方案升級Real_User_Monitoring(20250224-20251007)")</f>
        <v>資廚管理顧問股份有限公司(公司卡)_202502_SpeedCurve目前年繳方案升級Real_User_Monitoring(20250224-20251007)</v>
      </c>
      <c r="V40" s="41"/>
      <c r="W40" s="41"/>
      <c r="X40" s="41"/>
      <c r="Y40" s="71">
        <f>IFERROR(__xludf.DUMMYFUNCTION("""COMPUTED_VALUE"""),0.0)</f>
        <v>0</v>
      </c>
      <c r="Z40" s="41">
        <f>IFERROR(__xludf.DUMMYFUNCTION("""COMPUTED_VALUE"""),520001.0)</f>
        <v>520001</v>
      </c>
      <c r="AA40" s="41" t="str">
        <f>IFERROR(__xludf.DUMMYFUNCTION("""COMPUTED_VALUE"""),"研發中心")</f>
        <v>研發中心</v>
      </c>
      <c r="AB40" s="70" t="str">
        <f>IFERROR(__xludf.DUMMYFUNCTION("""COMPUTED_VALUE"""),"執行長室 : 研發中心 : 軟體工程部")</f>
        <v>執行長室 : 研發中心 : 軟體工程部</v>
      </c>
      <c r="AC40" s="70" t="str">
        <f>IFERROR(__xludf.DUMMYFUNCTION("""COMPUTED_VALUE"""),"No_Product_Line")</f>
        <v>No_Product_Line</v>
      </c>
      <c r="AD40" s="70" t="str">
        <f>IFERROR(__xludf.DUMMYFUNCTION("""COMPUTED_VALUE"""),"Baseline")</f>
        <v>Baseline</v>
      </c>
      <c r="AE40" s="70" t="str">
        <f>IFERROR(__xludf.DUMMYFUNCTION("""COMPUTED_VALUE"""),"Baseline")</f>
        <v>Baseline</v>
      </c>
      <c r="AF40" s="71">
        <f>IFERROR(__xludf.DUMMYFUNCTION("""COMPUTED_VALUE"""),13108.0)</f>
        <v>13108</v>
      </c>
      <c r="AG40" s="71">
        <f>IFERROR(__xludf.DUMMYFUNCTION("""COMPUTED_VALUE"""),8.0)</f>
        <v>8</v>
      </c>
      <c r="AH40" s="71">
        <f>IFERROR(__xludf.DUMMYFUNCTION("""COMPUTED_VALUE"""),13108.0)</f>
        <v>13108</v>
      </c>
      <c r="AI40" s="71">
        <f>IFERROR(__xludf.DUMMYFUNCTION("""COMPUTED_VALUE"""),0.0)</f>
        <v>0</v>
      </c>
      <c r="AJ40" s="41"/>
      <c r="AK40" s="41"/>
      <c r="AL40" s="71">
        <f>IFERROR(__xludf.DUMMYFUNCTION("""COMPUTED_VALUE"""),3278.0)</f>
        <v>3278</v>
      </c>
      <c r="AM40" s="71">
        <f>IFERROR(__xludf.DUMMYFUNCTION("""COMPUTED_VALUE"""),1639.0)</f>
        <v>1639</v>
      </c>
      <c r="AN40" s="71">
        <f>IFERROR(__xludf.DUMMYFUNCTION("""COMPUTED_VALUE"""),1639.0)</f>
        <v>1639</v>
      </c>
      <c r="AO40" s="71">
        <f>IFERROR(__xludf.DUMMYFUNCTION("""COMPUTED_VALUE"""),1639.0)</f>
        <v>1639</v>
      </c>
      <c r="AP40" s="71">
        <f>IFERROR(__xludf.DUMMYFUNCTION("""COMPUTED_VALUE"""),1639.0)</f>
        <v>1639</v>
      </c>
      <c r="AQ40" s="71">
        <f>IFERROR(__xludf.DUMMYFUNCTION("""COMPUTED_VALUE"""),1639.0)</f>
        <v>1639</v>
      </c>
      <c r="AR40" s="71">
        <f>IFERROR(__xludf.DUMMYFUNCTION("""COMPUTED_VALUE"""),1635.0)</f>
        <v>1635</v>
      </c>
      <c r="AS40" s="41"/>
      <c r="AT40" s="41"/>
      <c r="AU40" s="41"/>
      <c r="AV40" s="41"/>
      <c r="AW40" s="41"/>
      <c r="AX40" s="41"/>
      <c r="AY40" s="41"/>
      <c r="AZ40" s="41"/>
    </row>
    <row r="41">
      <c r="B41" s="41"/>
      <c r="C41" s="41"/>
      <c r="D41" s="41"/>
      <c r="E41" s="41"/>
      <c r="F41" s="41"/>
      <c r="G41" s="41"/>
      <c r="H41" s="41"/>
      <c r="I41" s="41">
        <f>IFERROR(__xludf.DUMMYFUNCTION("""COMPUTED_VALUE"""),37.0)</f>
        <v>37</v>
      </c>
      <c r="J41" s="41"/>
      <c r="K41" s="41" t="str">
        <f>IFERROR(__xludf.DUMMYFUNCTION("""COMPUTED_VALUE"""),"Y")</f>
        <v>Y</v>
      </c>
      <c r="L41" s="41"/>
      <c r="M41" s="41" t="str">
        <f>IFERROR(__xludf.DUMMYFUNCTION("""COMPUTED_VALUE"""),"Journal")</f>
        <v>Journal</v>
      </c>
      <c r="N41" s="66">
        <f>IFERROR(__xludf.DUMMYFUNCTION("""COMPUTED_VALUE"""),45726.0)</f>
        <v>45726</v>
      </c>
      <c r="O41" s="41">
        <f>IFERROR(__xludf.DUMMYFUNCTION("""COMPUTED_VALUE"""),16556.0)</f>
        <v>16556</v>
      </c>
      <c r="P41" s="41"/>
      <c r="Q41" s="41"/>
      <c r="R41" s="41"/>
      <c r="S41" s="41"/>
      <c r="T41" s="41"/>
      <c r="U41" s="41" t="str">
        <f>IFERROR(__xludf.DUMMYFUNCTION("""COMPUTED_VALUE"""),"資廚管理顧問股份有限公司(公司卡)_202502_Jetpack(20250131-20260131)")</f>
        <v>資廚管理顧問股份有限公司(公司卡)_202502_Jetpack(20250131-20260131)</v>
      </c>
      <c r="V41" s="41"/>
      <c r="W41" s="41"/>
      <c r="X41" s="41"/>
      <c r="Y41" s="71">
        <f>IFERROR(__xludf.DUMMYFUNCTION("""COMPUTED_VALUE"""),7384.0)</f>
        <v>7384</v>
      </c>
      <c r="Z41" s="41">
        <f>IFERROR(__xludf.DUMMYFUNCTION("""COMPUTED_VALUE"""),603201.0)</f>
        <v>603201</v>
      </c>
      <c r="AA41" s="41" t="str">
        <f>IFERROR(__xludf.DUMMYFUNCTION("""COMPUTED_VALUE"""),"行銷營運中心")</f>
        <v>行銷營運中心</v>
      </c>
      <c r="AB41" s="70" t="str">
        <f>IFERROR(__xludf.DUMMYFUNCTION("""COMPUTED_VALUE"""),"執行長室 : 行銷營運中心 : 產品行銷部")</f>
        <v>執行長室 : 行銷營運中心 : 產品行銷部</v>
      </c>
      <c r="AC41" s="70" t="str">
        <f>IFERROR(__xludf.DUMMYFUNCTION("""COMPUTED_VALUE"""),"No_Product_Line")</f>
        <v>No_Product_Line</v>
      </c>
      <c r="AD41" s="70" t="str">
        <f>IFERROR(__xludf.DUMMYFUNCTION("""COMPUTED_VALUE"""),"Baseline")</f>
        <v>Baseline</v>
      </c>
      <c r="AE41" s="70" t="str">
        <f>IFERROR(__xludf.DUMMYFUNCTION("""COMPUTED_VALUE"""),"Baseline")</f>
        <v>Baseline</v>
      </c>
      <c r="AF41" s="71">
        <f>IFERROR(__xludf.DUMMYFUNCTION("""COMPUTED_VALUE"""),29536.0)</f>
        <v>29536</v>
      </c>
      <c r="AG41" s="71">
        <f>IFERROR(__xludf.DUMMYFUNCTION("""COMPUTED_VALUE"""),12.0)</f>
        <v>12</v>
      </c>
      <c r="AH41" s="71">
        <f>IFERROR(__xludf.DUMMYFUNCTION("""COMPUTED_VALUE"""),22152.0)</f>
        <v>22152</v>
      </c>
      <c r="AI41" s="71">
        <f>IFERROR(__xludf.DUMMYFUNCTION("""COMPUTED_VALUE"""),0.0)</f>
        <v>0</v>
      </c>
      <c r="AJ41" s="41"/>
      <c r="AK41" s="41"/>
      <c r="AL41" s="71">
        <f>IFERROR(__xludf.DUMMYFUNCTION("""COMPUTED_VALUE"""),7392.0)</f>
        <v>7392</v>
      </c>
      <c r="AM41" s="71">
        <f>IFERROR(__xludf.DUMMYFUNCTION("""COMPUTED_VALUE"""),2460.0)</f>
        <v>2460</v>
      </c>
      <c r="AN41" s="71">
        <f>IFERROR(__xludf.DUMMYFUNCTION("""COMPUTED_VALUE"""),2460.0)</f>
        <v>2460</v>
      </c>
      <c r="AO41" s="71">
        <f>IFERROR(__xludf.DUMMYFUNCTION("""COMPUTED_VALUE"""),2460.0)</f>
        <v>2460</v>
      </c>
      <c r="AP41" s="71">
        <f>IFERROR(__xludf.DUMMYFUNCTION("""COMPUTED_VALUE"""),2460.0)</f>
        <v>2460</v>
      </c>
      <c r="AQ41" s="71">
        <f>IFERROR(__xludf.DUMMYFUNCTION("""COMPUTED_VALUE"""),2460.0)</f>
        <v>2460</v>
      </c>
      <c r="AR41" s="71">
        <f>IFERROR(__xludf.DUMMYFUNCTION("""COMPUTED_VALUE"""),2460.0)</f>
        <v>2460</v>
      </c>
      <c r="AS41" s="71">
        <f>IFERROR(__xludf.DUMMYFUNCTION("""COMPUTED_VALUE"""),2460.0)</f>
        <v>2460</v>
      </c>
      <c r="AT41" s="71">
        <f>IFERROR(__xludf.DUMMYFUNCTION("""COMPUTED_VALUE"""),2460.0)</f>
        <v>2460</v>
      </c>
      <c r="AU41" s="71">
        <f>IFERROR(__xludf.DUMMYFUNCTION("""COMPUTED_VALUE"""),2464.0)</f>
        <v>2464</v>
      </c>
      <c r="AV41" s="41"/>
      <c r="AW41" s="41"/>
      <c r="AX41" s="41"/>
      <c r="AY41" s="41"/>
      <c r="AZ41" s="41"/>
    </row>
    <row r="42">
      <c r="B42" s="41"/>
      <c r="C42" s="41"/>
      <c r="D42" s="41"/>
      <c r="E42" s="41"/>
      <c r="F42" s="41"/>
      <c r="G42" s="41"/>
      <c r="H42" s="41"/>
      <c r="I42" s="41">
        <f>IFERROR(__xludf.DUMMYFUNCTION("""COMPUTED_VALUE"""),38.0)</f>
        <v>38</v>
      </c>
      <c r="J42" s="41"/>
      <c r="K42" s="41"/>
      <c r="L42" s="41"/>
      <c r="M42" s="41" t="str">
        <f>IFERROR(__xludf.DUMMYFUNCTION("""COMPUTED_VALUE"""),"Journal")</f>
        <v>Journal</v>
      </c>
      <c r="N42" s="66">
        <f>IFERROR(__xludf.DUMMYFUNCTION("""COMPUTED_VALUE"""),45726.0)</f>
        <v>45726</v>
      </c>
      <c r="O42" s="41">
        <f>IFERROR(__xludf.DUMMYFUNCTION("""COMPUTED_VALUE"""),16556.0)</f>
        <v>16556</v>
      </c>
      <c r="P42" s="41"/>
      <c r="Q42" s="41"/>
      <c r="R42" s="41"/>
      <c r="S42" s="41"/>
      <c r="T42" s="41"/>
      <c r="U42" s="41" t="str">
        <f>IFERROR(__xludf.DUMMYFUNCTION("""COMPUTED_VALUE"""),"資廚管理顧問股份有限公司(公司卡) 202503 SURVEYSPARROW(20250324-20260324)(預估)")</f>
        <v>資廚管理顧問股份有限公司(公司卡) 202503 SURVEYSPARROW(20250324-20260324)(預估)</v>
      </c>
      <c r="V42" s="41"/>
      <c r="W42" s="41"/>
      <c r="X42" s="41"/>
      <c r="Y42" s="71">
        <f>IFERROR(__xludf.DUMMYFUNCTION("""COMPUTED_VALUE"""),16343.0)</f>
        <v>16343</v>
      </c>
      <c r="Z42" s="41">
        <f>IFERROR(__xludf.DUMMYFUNCTION("""COMPUTED_VALUE"""),520001.0)</f>
        <v>520001</v>
      </c>
      <c r="AA42" s="41" t="str">
        <f>IFERROR(__xludf.DUMMYFUNCTION("""COMPUTED_VALUE"""),"客戶價值中心")</f>
        <v>客戶價值中心</v>
      </c>
      <c r="AB42" s="70" t="str">
        <f>IFERROR(__xludf.DUMMYFUNCTION("""COMPUTED_VALUE"""),"執行長室 : 客戶價值中心 : 客戶關係管理部 : 客服團隊 POS/OMO")</f>
        <v>執行長室 : 客戶價值中心 : 客戶關係管理部 : 客服團隊 POS/OMO</v>
      </c>
      <c r="AC42" s="70" t="str">
        <f>IFERROR(__xludf.DUMMYFUNCTION("""COMPUTED_VALUE"""),"No_Product_Line")</f>
        <v>No_Product_Line</v>
      </c>
      <c r="AD42" s="70" t="str">
        <f>IFERROR(__xludf.DUMMYFUNCTION("""COMPUTED_VALUE"""),"Baseline")</f>
        <v>Baseline</v>
      </c>
      <c r="AE42" s="70" t="str">
        <f>IFERROR(__xludf.DUMMYFUNCTION("""COMPUTED_VALUE"""),"Baseline")</f>
        <v>Baseline</v>
      </c>
      <c r="AF42" s="71">
        <f>IFERROR(__xludf.DUMMYFUNCTION("""COMPUTED_VALUE"""),39242.0)</f>
        <v>39242</v>
      </c>
      <c r="AG42" s="71">
        <f>IFERROR(__xludf.DUMMYFUNCTION("""COMPUTED_VALUE"""),12.0)</f>
        <v>12</v>
      </c>
      <c r="AH42" s="71">
        <f>IFERROR(__xludf.DUMMYFUNCTION("""COMPUTED_VALUE"""),22899.0)</f>
        <v>22899</v>
      </c>
      <c r="AI42" s="71">
        <f>IFERROR(__xludf.DUMMYFUNCTION("""COMPUTED_VALUE"""),0.0)</f>
        <v>0</v>
      </c>
      <c r="AJ42" s="41"/>
      <c r="AK42" s="41"/>
      <c r="AL42" s="71">
        <f>IFERROR(__xludf.DUMMYFUNCTION("""COMPUTED_VALUE"""),3285.0)</f>
        <v>3285</v>
      </c>
      <c r="AM42" s="71">
        <f>IFERROR(__xludf.DUMMYFUNCTION("""COMPUTED_VALUE"""),3269.0)</f>
        <v>3269</v>
      </c>
      <c r="AN42" s="71">
        <f>IFERROR(__xludf.DUMMYFUNCTION("""COMPUTED_VALUE"""),3269.0)</f>
        <v>3269</v>
      </c>
      <c r="AO42" s="71">
        <f>IFERROR(__xludf.DUMMYFUNCTION("""COMPUTED_VALUE"""),3269.0)</f>
        <v>3269</v>
      </c>
      <c r="AP42" s="71">
        <f>IFERROR(__xludf.DUMMYFUNCTION("""COMPUTED_VALUE"""),3269.0)</f>
        <v>3269</v>
      </c>
      <c r="AQ42" s="71">
        <f>IFERROR(__xludf.DUMMYFUNCTION("""COMPUTED_VALUE"""),3269.0)</f>
        <v>3269</v>
      </c>
      <c r="AR42" s="71">
        <f>IFERROR(__xludf.DUMMYFUNCTION("""COMPUTED_VALUE"""),3269.0)</f>
        <v>3269</v>
      </c>
      <c r="AS42" s="71">
        <f>IFERROR(__xludf.DUMMYFUNCTION("""COMPUTED_VALUE"""),3269.0)</f>
        <v>3269</v>
      </c>
      <c r="AT42" s="71">
        <f>IFERROR(__xludf.DUMMYFUNCTION("""COMPUTED_VALUE"""),3269.0)</f>
        <v>3269</v>
      </c>
      <c r="AU42" s="71">
        <f>IFERROR(__xludf.DUMMYFUNCTION("""COMPUTED_VALUE"""),3269.0)</f>
        <v>3269</v>
      </c>
      <c r="AV42" s="71">
        <f>IFERROR(__xludf.DUMMYFUNCTION("""COMPUTED_VALUE"""),3269.0)</f>
        <v>3269</v>
      </c>
      <c r="AW42" s="71">
        <f>IFERROR(__xludf.DUMMYFUNCTION("""COMPUTED_VALUE"""),3267.0)</f>
        <v>3267</v>
      </c>
      <c r="AX42" s="41"/>
      <c r="AY42" s="41"/>
      <c r="AZ42" s="41"/>
    </row>
    <row r="43">
      <c r="B43" s="41"/>
      <c r="C43" s="41"/>
      <c r="D43" s="41"/>
      <c r="E43" s="41"/>
      <c r="F43" s="41"/>
      <c r="G43" s="41"/>
      <c r="H43" s="41"/>
      <c r="I43" s="41">
        <f>IFERROR(__xludf.DUMMYFUNCTION("""COMPUTED_VALUE"""),39.0)</f>
        <v>39</v>
      </c>
      <c r="J43" s="41"/>
      <c r="K43" s="41"/>
      <c r="L43" s="41"/>
      <c r="M43" s="41" t="str">
        <f>IFERROR(__xludf.DUMMYFUNCTION("""COMPUTED_VALUE"""),"Journal")</f>
        <v>Journal</v>
      </c>
      <c r="N43" s="66">
        <f>IFERROR(__xludf.DUMMYFUNCTION("""COMPUTED_VALUE"""),45726.0)</f>
        <v>45726</v>
      </c>
      <c r="O43" s="41">
        <f>IFERROR(__xludf.DUMMYFUNCTION("""COMPUTED_VALUE"""),16556.0)</f>
        <v>16556</v>
      </c>
      <c r="P43" s="41"/>
      <c r="Q43" s="41"/>
      <c r="R43" s="41"/>
      <c r="S43" s="41"/>
      <c r="T43" s="41"/>
      <c r="U43" s="41" t="str">
        <f>IFERROR(__xludf.DUMMYFUNCTION("""COMPUTED_VALUE"""),"資廚管理顧問股份有限公司(公司卡) 202503 1PASSWORD(20250305-20260305)(預估)(沖J16740)")</f>
        <v>資廚管理顧問股份有限公司(公司卡) 202503 1PASSWORD(20250305-20260305)(預估)(沖J16740)</v>
      </c>
      <c r="V43" s="41"/>
      <c r="W43" s="41"/>
      <c r="X43" s="41"/>
      <c r="Y43" s="71">
        <f>IFERROR(__xludf.DUMMYFUNCTION("""COMPUTED_VALUE"""),76157.0)</f>
        <v>76157</v>
      </c>
      <c r="Z43" s="41">
        <f>IFERROR(__xludf.DUMMYFUNCTION("""COMPUTED_VALUE"""),520001.0)</f>
        <v>520001</v>
      </c>
      <c r="AA43" s="41" t="str">
        <f>IFERROR(__xludf.DUMMYFUNCTION("""COMPUTED_VALUE"""),"研發中心")</f>
        <v>研發中心</v>
      </c>
      <c r="AB43" s="70" t="str">
        <f>IFERROR(__xludf.DUMMYFUNCTION("""COMPUTED_VALUE"""),"執行長室 : 研發中心 : 軟體工程部")</f>
        <v>執行長室 : 研發中心 : 軟體工程部</v>
      </c>
      <c r="AC43" s="70" t="str">
        <f>IFERROR(__xludf.DUMMYFUNCTION("""COMPUTED_VALUE"""),"No_Product_Line")</f>
        <v>No_Product_Line</v>
      </c>
      <c r="AD43" s="70" t="str">
        <f>IFERROR(__xludf.DUMMYFUNCTION("""COMPUTED_VALUE"""),"Baseline")</f>
        <v>Baseline</v>
      </c>
      <c r="AE43" s="70" t="str">
        <f>IFERROR(__xludf.DUMMYFUNCTION("""COMPUTED_VALUE"""),"Baseline")</f>
        <v>Baseline</v>
      </c>
      <c r="AF43" s="71">
        <f>IFERROR(__xludf.DUMMYFUNCTION("""COMPUTED_VALUE"""),182847.0)</f>
        <v>182847</v>
      </c>
      <c r="AG43" s="71">
        <f>IFERROR(__xludf.DUMMYFUNCTION("""COMPUTED_VALUE"""),12.0)</f>
        <v>12</v>
      </c>
      <c r="AH43" s="71">
        <f>IFERROR(__xludf.DUMMYFUNCTION("""COMPUTED_VALUE"""),106690.0)</f>
        <v>106690</v>
      </c>
      <c r="AI43" s="71">
        <f>IFERROR(__xludf.DUMMYFUNCTION("""COMPUTED_VALUE"""),0.0)</f>
        <v>0</v>
      </c>
      <c r="AJ43" s="41"/>
      <c r="AK43" s="41"/>
      <c r="AL43" s="71">
        <f>IFERROR(__xludf.DUMMYFUNCTION("""COMPUTED_VALUE"""),15304.0)</f>
        <v>15304</v>
      </c>
      <c r="AM43" s="71">
        <f>IFERROR(__xludf.DUMMYFUNCTION("""COMPUTED_VALUE"""),15231.0)</f>
        <v>15231</v>
      </c>
      <c r="AN43" s="71">
        <f>IFERROR(__xludf.DUMMYFUNCTION("""COMPUTED_VALUE"""),15231.0)</f>
        <v>15231</v>
      </c>
      <c r="AO43" s="71">
        <f>IFERROR(__xludf.DUMMYFUNCTION("""COMPUTED_VALUE"""),15231.0)</f>
        <v>15231</v>
      </c>
      <c r="AP43" s="71">
        <f>IFERROR(__xludf.DUMMYFUNCTION("""COMPUTED_VALUE"""),15231.0)</f>
        <v>15231</v>
      </c>
      <c r="AQ43" s="71">
        <f>IFERROR(__xludf.DUMMYFUNCTION("""COMPUTED_VALUE"""),15231.0)</f>
        <v>15231</v>
      </c>
      <c r="AR43" s="71">
        <f>IFERROR(__xludf.DUMMYFUNCTION("""COMPUTED_VALUE"""),15231.0)</f>
        <v>15231</v>
      </c>
      <c r="AS43" s="71">
        <f>IFERROR(__xludf.DUMMYFUNCTION("""COMPUTED_VALUE"""),15231.0)</f>
        <v>15231</v>
      </c>
      <c r="AT43" s="71">
        <f>IFERROR(__xludf.DUMMYFUNCTION("""COMPUTED_VALUE"""),15231.0)</f>
        <v>15231</v>
      </c>
      <c r="AU43" s="71">
        <f>IFERROR(__xludf.DUMMYFUNCTION("""COMPUTED_VALUE"""),15231.0)</f>
        <v>15231</v>
      </c>
      <c r="AV43" s="71">
        <f>IFERROR(__xludf.DUMMYFUNCTION("""COMPUTED_VALUE"""),15231.0)</f>
        <v>15231</v>
      </c>
      <c r="AW43" s="71">
        <f>IFERROR(__xludf.DUMMYFUNCTION("""COMPUTED_VALUE"""),15233.0)</f>
        <v>15233</v>
      </c>
      <c r="AX43" s="41"/>
      <c r="AY43" s="41"/>
      <c r="AZ43" s="41"/>
    </row>
    <row r="44">
      <c r="B44" s="41"/>
      <c r="C44" s="41"/>
      <c r="D44" s="41"/>
      <c r="E44" s="41"/>
      <c r="F44" s="41"/>
      <c r="G44" s="41"/>
      <c r="H44" s="41"/>
      <c r="I44" s="41">
        <f>IFERROR(__xludf.DUMMYFUNCTION("""COMPUTED_VALUE"""),40.0)</f>
        <v>40</v>
      </c>
      <c r="J44" s="41" t="str">
        <f>IFERROR(__xludf.DUMMYFUNCTION("""COMPUTED_VALUE"""),"Y")</f>
        <v>Y</v>
      </c>
      <c r="K44" s="41"/>
      <c r="L44" s="41"/>
      <c r="M44" s="41" t="str">
        <f>IFERROR(__xludf.DUMMYFUNCTION("""COMPUTED_VALUE"""),"Bill")</f>
        <v>Bill</v>
      </c>
      <c r="N44" s="66">
        <f>IFERROR(__xludf.DUMMYFUNCTION("""COMPUTED_VALUE"""),45733.0)</f>
        <v>45733</v>
      </c>
      <c r="O44" s="41">
        <f>IFERROR(__xludf.DUMMYFUNCTION("""COMPUTED_VALUE"""),5898.0)</f>
        <v>5898</v>
      </c>
      <c r="P44" s="41"/>
      <c r="Q44" s="41"/>
      <c r="R44" s="41"/>
      <c r="S44" s="41"/>
      <c r="T44" s="41"/>
      <c r="U44" s="41" t="str">
        <f>IFERROR(__xludf.DUMMYFUNCTION("""COMPUTED_VALUE"""),"Salesforce 202502 資訊系統導入帳號軟體費(20250215-20250815)[憑證在ER5300]")</f>
        <v>Salesforce 202502 資訊系統導入帳號軟體費(20250215-20250815)[憑證在ER5300]</v>
      </c>
      <c r="V44" s="41"/>
      <c r="W44" s="41"/>
      <c r="X44" s="41"/>
      <c r="Y44" s="71">
        <f>IFERROR(__xludf.DUMMYFUNCTION("""COMPUTED_VALUE"""),3232.0)</f>
        <v>3232</v>
      </c>
      <c r="Z44" s="41">
        <f>IFERROR(__xludf.DUMMYFUNCTION("""COMPUTED_VALUE"""),613201.0)</f>
        <v>613201</v>
      </c>
      <c r="AA44" s="41" t="str">
        <f>IFERROR(__xludf.DUMMYFUNCTION("""COMPUTED_VALUE"""),"執行長室")</f>
        <v>執行長室</v>
      </c>
      <c r="AB44" s="70" t="str">
        <f>IFERROR(__xludf.DUMMYFUNCTION("""COMPUTED_VALUE"""),"執行長室")</f>
        <v>執行長室</v>
      </c>
      <c r="AC44" s="70" t="str">
        <f>IFERROR(__xludf.DUMMYFUNCTION("""COMPUTED_VALUE"""),"No_Product_Line")</f>
        <v>No_Product_Line</v>
      </c>
      <c r="AD44" s="70" t="str">
        <f>IFERROR(__xludf.DUMMYFUNCTION("""COMPUTED_VALUE"""),"Baseline")</f>
        <v>Baseline</v>
      </c>
      <c r="AE44" s="70" t="str">
        <f>IFERROR(__xludf.DUMMYFUNCTION("""COMPUTED_VALUE"""),"Baseline")</f>
        <v>Baseline</v>
      </c>
      <c r="AF44" s="71">
        <f>IFERROR(__xludf.DUMMYFUNCTION("""COMPUTED_VALUE"""),9700.0)</f>
        <v>9700</v>
      </c>
      <c r="AG44" s="71">
        <f>IFERROR(__xludf.DUMMYFUNCTION("""COMPUTED_VALUE"""),12.0)</f>
        <v>12</v>
      </c>
      <c r="AH44" s="71">
        <f>IFERROR(__xludf.DUMMYFUNCTION("""COMPUTED_VALUE"""),6468.0)</f>
        <v>6468</v>
      </c>
      <c r="AI44" s="71">
        <f>IFERROR(__xludf.DUMMYFUNCTION("""COMPUTED_VALUE"""),0.0)</f>
        <v>0</v>
      </c>
      <c r="AJ44" s="41"/>
      <c r="AK44" s="41"/>
      <c r="AL44" s="71">
        <f>IFERROR(__xludf.DUMMYFUNCTION("""COMPUTED_VALUE"""),1620.0)</f>
        <v>1620</v>
      </c>
      <c r="AM44" s="71">
        <f>IFERROR(__xludf.DUMMYFUNCTION("""COMPUTED_VALUE"""),808.0)</f>
        <v>808</v>
      </c>
      <c r="AN44" s="71">
        <f>IFERROR(__xludf.DUMMYFUNCTION("""COMPUTED_VALUE"""),808.0)</f>
        <v>808</v>
      </c>
      <c r="AO44" s="71">
        <f>IFERROR(__xludf.DUMMYFUNCTION("""COMPUTED_VALUE"""),808.0)</f>
        <v>808</v>
      </c>
      <c r="AP44" s="71">
        <f>IFERROR(__xludf.DUMMYFUNCTION("""COMPUTED_VALUE"""),808.0)</f>
        <v>808</v>
      </c>
      <c r="AQ44" s="71">
        <f>IFERROR(__xludf.DUMMYFUNCTION("""COMPUTED_VALUE"""),808.0)</f>
        <v>808</v>
      </c>
      <c r="AR44" s="71">
        <f>IFERROR(__xludf.DUMMYFUNCTION("""COMPUTED_VALUE"""),808.0)</f>
        <v>808</v>
      </c>
      <c r="AS44" s="71">
        <f>IFERROR(__xludf.DUMMYFUNCTION("""COMPUTED_VALUE"""),808.0)</f>
        <v>808</v>
      </c>
      <c r="AT44" s="71">
        <f>IFERROR(__xludf.DUMMYFUNCTION("""COMPUTED_VALUE"""),808.0)</f>
        <v>808</v>
      </c>
      <c r="AU44" s="71">
        <f>IFERROR(__xludf.DUMMYFUNCTION("""COMPUTED_VALUE"""),808.0)</f>
        <v>808</v>
      </c>
      <c r="AV44" s="71">
        <f>IFERROR(__xludf.DUMMYFUNCTION("""COMPUTED_VALUE"""),808.0)</f>
        <v>808</v>
      </c>
      <c r="AW44" s="41"/>
      <c r="AX44" s="41"/>
      <c r="AY44" s="41"/>
      <c r="AZ44" s="41"/>
    </row>
    <row r="45">
      <c r="B45" s="41"/>
      <c r="C45" s="41"/>
      <c r="D45" s="41"/>
      <c r="E45" s="41"/>
      <c r="F45" s="41"/>
      <c r="G45" s="41"/>
      <c r="H45" s="41"/>
      <c r="I45" s="41">
        <f>IFERROR(__xludf.DUMMYFUNCTION("""COMPUTED_VALUE"""),41.0)</f>
        <v>41</v>
      </c>
      <c r="J45" s="41" t="str">
        <f>IFERROR(__xludf.DUMMYFUNCTION("""COMPUTED_VALUE"""),"Y")</f>
        <v>Y</v>
      </c>
      <c r="K45" s="41"/>
      <c r="L45" s="41"/>
      <c r="M45" s="41" t="str">
        <f>IFERROR(__xludf.DUMMYFUNCTION("""COMPUTED_VALUE"""),"Bill")</f>
        <v>Bill</v>
      </c>
      <c r="N45" s="66">
        <f>IFERROR(__xludf.DUMMYFUNCTION("""COMPUTED_VALUE"""),45733.0)</f>
        <v>45733</v>
      </c>
      <c r="O45" s="41">
        <f>IFERROR(__xludf.DUMMYFUNCTION("""COMPUTED_VALUE"""),5898.0)</f>
        <v>5898</v>
      </c>
      <c r="P45" s="41"/>
      <c r="Q45" s="41"/>
      <c r="R45" s="41"/>
      <c r="S45" s="41"/>
      <c r="T45" s="41"/>
      <c r="U45" s="41" t="str">
        <f>IFERROR(__xludf.DUMMYFUNCTION("""COMPUTED_VALUE"""),"Salesforce 202502 資訊系統導入帳號軟體費(20250215-20250815)[憑證在ER5300]")</f>
        <v>Salesforce 202502 資訊系統導入帳號軟體費(20250215-20250815)[憑證在ER5300]</v>
      </c>
      <c r="V45" s="41"/>
      <c r="W45" s="41"/>
      <c r="X45" s="41"/>
      <c r="Y45" s="71">
        <f>IFERROR(__xludf.DUMMYFUNCTION("""COMPUTED_VALUE"""),5092.0)</f>
        <v>5092</v>
      </c>
      <c r="Z45" s="41">
        <f>IFERROR(__xludf.DUMMYFUNCTION("""COMPUTED_VALUE"""),623201.0)</f>
        <v>623201</v>
      </c>
      <c r="AA45" s="41" t="str">
        <f>IFERROR(__xludf.DUMMYFUNCTION("""COMPUTED_VALUE"""),"研發中心")</f>
        <v>研發中心</v>
      </c>
      <c r="AB45" s="70" t="str">
        <f>IFERROR(__xludf.DUMMYFUNCTION("""COMPUTED_VALUE"""),"執行長室 : 研發中心 : 研發中心")</f>
        <v>執行長室 : 研發中心 : 研發中心</v>
      </c>
      <c r="AC45" s="70" t="str">
        <f>IFERROR(__xludf.DUMMYFUNCTION("""COMPUTED_VALUE"""),"No_Product_Line")</f>
        <v>No_Product_Line</v>
      </c>
      <c r="AD45" s="70" t="str">
        <f>IFERROR(__xludf.DUMMYFUNCTION("""COMPUTED_VALUE"""),"Baseline")</f>
        <v>Baseline</v>
      </c>
      <c r="AE45" s="70" t="str">
        <f>IFERROR(__xludf.DUMMYFUNCTION("""COMPUTED_VALUE"""),"Baseline")</f>
        <v>Baseline</v>
      </c>
      <c r="AF45" s="71">
        <f>IFERROR(__xludf.DUMMYFUNCTION("""COMPUTED_VALUE"""),15274.0)</f>
        <v>15274</v>
      </c>
      <c r="AG45" s="71">
        <f>IFERROR(__xludf.DUMMYFUNCTION("""COMPUTED_VALUE"""),12.0)</f>
        <v>12</v>
      </c>
      <c r="AH45" s="71">
        <f>IFERROR(__xludf.DUMMYFUNCTION("""COMPUTED_VALUE"""),10182.0)</f>
        <v>10182</v>
      </c>
      <c r="AI45" s="71">
        <f>IFERROR(__xludf.DUMMYFUNCTION("""COMPUTED_VALUE"""),0.0)</f>
        <v>0</v>
      </c>
      <c r="AJ45" s="41"/>
      <c r="AK45" s="41"/>
      <c r="AL45" s="71">
        <f>IFERROR(__xludf.DUMMYFUNCTION("""COMPUTED_VALUE"""),2550.0)</f>
        <v>2550</v>
      </c>
      <c r="AM45" s="71">
        <f>IFERROR(__xludf.DUMMYFUNCTION("""COMPUTED_VALUE"""),1272.0)</f>
        <v>1272</v>
      </c>
      <c r="AN45" s="71">
        <f>IFERROR(__xludf.DUMMYFUNCTION("""COMPUTED_VALUE"""),1272.0)</f>
        <v>1272</v>
      </c>
      <c r="AO45" s="71">
        <f>IFERROR(__xludf.DUMMYFUNCTION("""COMPUTED_VALUE"""),1272.0)</f>
        <v>1272</v>
      </c>
      <c r="AP45" s="71">
        <f>IFERROR(__xludf.DUMMYFUNCTION("""COMPUTED_VALUE"""),1272.0)</f>
        <v>1272</v>
      </c>
      <c r="AQ45" s="71">
        <f>IFERROR(__xludf.DUMMYFUNCTION("""COMPUTED_VALUE"""),1272.0)</f>
        <v>1272</v>
      </c>
      <c r="AR45" s="71">
        <f>IFERROR(__xludf.DUMMYFUNCTION("""COMPUTED_VALUE"""),1272.0)</f>
        <v>1272</v>
      </c>
      <c r="AS45" s="71">
        <f>IFERROR(__xludf.DUMMYFUNCTION("""COMPUTED_VALUE"""),1272.0)</f>
        <v>1272</v>
      </c>
      <c r="AT45" s="71">
        <f>IFERROR(__xludf.DUMMYFUNCTION("""COMPUTED_VALUE"""),1272.0)</f>
        <v>1272</v>
      </c>
      <c r="AU45" s="71">
        <f>IFERROR(__xludf.DUMMYFUNCTION("""COMPUTED_VALUE"""),1272.0)</f>
        <v>1272</v>
      </c>
      <c r="AV45" s="71">
        <f>IFERROR(__xludf.DUMMYFUNCTION("""COMPUTED_VALUE"""),1276.0)</f>
        <v>1276</v>
      </c>
      <c r="AW45" s="41"/>
      <c r="AX45" s="41"/>
      <c r="AY45" s="41"/>
      <c r="AZ45" s="41"/>
    </row>
    <row r="46">
      <c r="B46" s="41"/>
      <c r="C46" s="41"/>
      <c r="D46" s="41"/>
      <c r="E46" s="41"/>
      <c r="F46" s="41"/>
      <c r="G46" s="41"/>
      <c r="H46" s="41"/>
      <c r="I46" s="41">
        <f>IFERROR(__xludf.DUMMYFUNCTION("""COMPUTED_VALUE"""),42.0)</f>
        <v>42</v>
      </c>
      <c r="J46" s="41" t="str">
        <f>IFERROR(__xludf.DUMMYFUNCTION("""COMPUTED_VALUE"""),"Y")</f>
        <v>Y</v>
      </c>
      <c r="K46" s="41"/>
      <c r="L46" s="41"/>
      <c r="M46" s="41" t="str">
        <f>IFERROR(__xludf.DUMMYFUNCTION("""COMPUTED_VALUE"""),"Bill")</f>
        <v>Bill</v>
      </c>
      <c r="N46" s="66">
        <f>IFERROR(__xludf.DUMMYFUNCTION("""COMPUTED_VALUE"""),45733.0)</f>
        <v>45733</v>
      </c>
      <c r="O46" s="41">
        <f>IFERROR(__xludf.DUMMYFUNCTION("""COMPUTED_VALUE"""),5898.0)</f>
        <v>5898</v>
      </c>
      <c r="P46" s="41"/>
      <c r="Q46" s="41"/>
      <c r="R46" s="41"/>
      <c r="S46" s="41"/>
      <c r="T46" s="41"/>
      <c r="U46" s="41" t="str">
        <f>IFERROR(__xludf.DUMMYFUNCTION("""COMPUTED_VALUE"""),"Salesforce 202502 資訊系統導入帳號軟體費(20250215-20250815)[憑證在ER5300]")</f>
        <v>Salesforce 202502 資訊系統導入帳號軟體費(20250215-20250815)[憑證在ER5300]</v>
      </c>
      <c r="V46" s="41"/>
      <c r="W46" s="41"/>
      <c r="X46" s="41"/>
      <c r="Y46" s="71">
        <f>IFERROR(__xludf.DUMMYFUNCTION("""COMPUTED_VALUE"""),12750.0)</f>
        <v>12750</v>
      </c>
      <c r="Z46" s="41">
        <f>IFERROR(__xludf.DUMMYFUNCTION("""COMPUTED_VALUE"""),613201.0)</f>
        <v>613201</v>
      </c>
      <c r="AA46" s="41" t="str">
        <f>IFERROR(__xludf.DUMMYFUNCTION("""COMPUTED_VALUE"""),"策略資料中心")</f>
        <v>策略資料中心</v>
      </c>
      <c r="AB46" s="70" t="str">
        <f>IFERROR(__xludf.DUMMYFUNCTION("""COMPUTED_VALUE"""),"執行長室 : 策略資料中心 : 策略資料中心")</f>
        <v>執行長室 : 策略資料中心 : 策略資料中心</v>
      </c>
      <c r="AC46" s="70" t="str">
        <f>IFERROR(__xludf.DUMMYFUNCTION("""COMPUTED_VALUE"""),"No_Product_Line")</f>
        <v>No_Product_Line</v>
      </c>
      <c r="AD46" s="70" t="str">
        <f>IFERROR(__xludf.DUMMYFUNCTION("""COMPUTED_VALUE"""),"Baseline")</f>
        <v>Baseline</v>
      </c>
      <c r="AE46" s="70" t="str">
        <f>IFERROR(__xludf.DUMMYFUNCTION("""COMPUTED_VALUE"""),"Baseline")</f>
        <v>Baseline</v>
      </c>
      <c r="AF46" s="71">
        <f>IFERROR(__xludf.DUMMYFUNCTION("""COMPUTED_VALUE"""),38261.0)</f>
        <v>38261</v>
      </c>
      <c r="AG46" s="71">
        <f>IFERROR(__xludf.DUMMYFUNCTION("""COMPUTED_VALUE"""),12.0)</f>
        <v>12</v>
      </c>
      <c r="AH46" s="71">
        <f>IFERROR(__xludf.DUMMYFUNCTION("""COMPUTED_VALUE"""),25511.0)</f>
        <v>25511</v>
      </c>
      <c r="AI46" s="71">
        <f>IFERROR(__xludf.DUMMYFUNCTION("""COMPUTED_VALUE"""),0.0)</f>
        <v>0</v>
      </c>
      <c r="AJ46" s="41"/>
      <c r="AK46" s="41"/>
      <c r="AL46" s="71">
        <f>IFERROR(__xludf.DUMMYFUNCTION("""COMPUTED_VALUE"""),6389.0)</f>
        <v>6389</v>
      </c>
      <c r="AM46" s="71">
        <f>IFERROR(__xludf.DUMMYFUNCTION("""COMPUTED_VALUE"""),3187.0)</f>
        <v>3187</v>
      </c>
      <c r="AN46" s="71">
        <f>IFERROR(__xludf.DUMMYFUNCTION("""COMPUTED_VALUE"""),3187.0)</f>
        <v>3187</v>
      </c>
      <c r="AO46" s="71">
        <f>IFERROR(__xludf.DUMMYFUNCTION("""COMPUTED_VALUE"""),3187.0)</f>
        <v>3187</v>
      </c>
      <c r="AP46" s="71">
        <f>IFERROR(__xludf.DUMMYFUNCTION("""COMPUTED_VALUE"""),3187.0)</f>
        <v>3187</v>
      </c>
      <c r="AQ46" s="71">
        <f>IFERROR(__xludf.DUMMYFUNCTION("""COMPUTED_VALUE"""),3187.0)</f>
        <v>3187</v>
      </c>
      <c r="AR46" s="71">
        <f>IFERROR(__xludf.DUMMYFUNCTION("""COMPUTED_VALUE"""),3187.0)</f>
        <v>3187</v>
      </c>
      <c r="AS46" s="71">
        <f>IFERROR(__xludf.DUMMYFUNCTION("""COMPUTED_VALUE"""),3187.0)</f>
        <v>3187</v>
      </c>
      <c r="AT46" s="71">
        <f>IFERROR(__xludf.DUMMYFUNCTION("""COMPUTED_VALUE"""),3187.0)</f>
        <v>3187</v>
      </c>
      <c r="AU46" s="71">
        <f>IFERROR(__xludf.DUMMYFUNCTION("""COMPUTED_VALUE"""),3187.0)</f>
        <v>3187</v>
      </c>
      <c r="AV46" s="71">
        <f>IFERROR(__xludf.DUMMYFUNCTION("""COMPUTED_VALUE"""),3189.0)</f>
        <v>3189</v>
      </c>
      <c r="AW46" s="41"/>
      <c r="AX46" s="41"/>
      <c r="AY46" s="41"/>
      <c r="AZ46" s="41"/>
    </row>
    <row r="47">
      <c r="B47" s="41"/>
      <c r="C47" s="41"/>
      <c r="D47" s="41"/>
      <c r="E47" s="41"/>
      <c r="F47" s="41"/>
      <c r="G47" s="41"/>
      <c r="H47" s="41"/>
      <c r="I47" s="41">
        <f>IFERROR(__xludf.DUMMYFUNCTION("""COMPUTED_VALUE"""),43.0)</f>
        <v>43</v>
      </c>
      <c r="J47" s="41" t="str">
        <f>IFERROR(__xludf.DUMMYFUNCTION("""COMPUTED_VALUE"""),"Y")</f>
        <v>Y</v>
      </c>
      <c r="K47" s="41"/>
      <c r="L47" s="41"/>
      <c r="M47" s="41" t="str">
        <f>IFERROR(__xludf.DUMMYFUNCTION("""COMPUTED_VALUE"""),"Bill")</f>
        <v>Bill</v>
      </c>
      <c r="N47" s="66">
        <f>IFERROR(__xludf.DUMMYFUNCTION("""COMPUTED_VALUE"""),45733.0)</f>
        <v>45733</v>
      </c>
      <c r="O47" s="41">
        <f>IFERROR(__xludf.DUMMYFUNCTION("""COMPUTED_VALUE"""),5898.0)</f>
        <v>5898</v>
      </c>
      <c r="P47" s="41"/>
      <c r="Q47" s="41"/>
      <c r="R47" s="41"/>
      <c r="S47" s="41"/>
      <c r="T47" s="41"/>
      <c r="U47" s="41" t="str">
        <f>IFERROR(__xludf.DUMMYFUNCTION("""COMPUTED_VALUE"""),"Salesforce 202502 資訊系統導入帳號軟體費(20250215-20250815)[憑證在ER5300]")</f>
        <v>Salesforce 202502 資訊系統導入帳號軟體費(20250215-20250815)[憑證在ER5300]</v>
      </c>
      <c r="V47" s="41"/>
      <c r="W47" s="41"/>
      <c r="X47" s="41"/>
      <c r="Y47" s="71">
        <f>IFERROR(__xludf.DUMMYFUNCTION("""COMPUTED_VALUE"""),12926.0)</f>
        <v>12926</v>
      </c>
      <c r="Z47" s="41">
        <f>IFERROR(__xludf.DUMMYFUNCTION("""COMPUTED_VALUE"""),613201.0)</f>
        <v>613201</v>
      </c>
      <c r="AA47" s="41" t="str">
        <f>IFERROR(__xludf.DUMMYFUNCTION("""COMPUTED_VALUE"""),"管理中心")</f>
        <v>管理中心</v>
      </c>
      <c r="AB47" s="70" t="str">
        <f>IFERROR(__xludf.DUMMYFUNCTION("""COMPUTED_VALUE"""),"執行長室 : 管理中心 : 管理中心")</f>
        <v>執行長室 : 管理中心 : 管理中心</v>
      </c>
      <c r="AC47" s="70" t="str">
        <f>IFERROR(__xludf.DUMMYFUNCTION("""COMPUTED_VALUE"""),"No_Product_Line")</f>
        <v>No_Product_Line</v>
      </c>
      <c r="AD47" s="70" t="str">
        <f>IFERROR(__xludf.DUMMYFUNCTION("""COMPUTED_VALUE"""),"Baseline")</f>
        <v>Baseline</v>
      </c>
      <c r="AE47" s="70" t="str">
        <f>IFERROR(__xludf.DUMMYFUNCTION("""COMPUTED_VALUE"""),"Baseline")</f>
        <v>Baseline</v>
      </c>
      <c r="AF47" s="71">
        <f>IFERROR(__xludf.DUMMYFUNCTION("""COMPUTED_VALUE"""),38797.0)</f>
        <v>38797</v>
      </c>
      <c r="AG47" s="71">
        <f>IFERROR(__xludf.DUMMYFUNCTION("""COMPUTED_VALUE"""),12.0)</f>
        <v>12</v>
      </c>
      <c r="AH47" s="71">
        <f>IFERROR(__xludf.DUMMYFUNCTION("""COMPUTED_VALUE"""),25871.0)</f>
        <v>25871</v>
      </c>
      <c r="AI47" s="71">
        <f>IFERROR(__xludf.DUMMYFUNCTION("""COMPUTED_VALUE"""),0.0)</f>
        <v>0</v>
      </c>
      <c r="AJ47" s="41"/>
      <c r="AK47" s="41"/>
      <c r="AL47" s="71">
        <f>IFERROR(__xludf.DUMMYFUNCTION("""COMPUTED_VALUE"""),6479.0)</f>
        <v>6479</v>
      </c>
      <c r="AM47" s="71">
        <f>IFERROR(__xludf.DUMMYFUNCTION("""COMPUTED_VALUE"""),3232.0)</f>
        <v>3232</v>
      </c>
      <c r="AN47" s="71">
        <f>IFERROR(__xludf.DUMMYFUNCTION("""COMPUTED_VALUE"""),3232.0)</f>
        <v>3232</v>
      </c>
      <c r="AO47" s="71">
        <f>IFERROR(__xludf.DUMMYFUNCTION("""COMPUTED_VALUE"""),3232.0)</f>
        <v>3232</v>
      </c>
      <c r="AP47" s="71">
        <f>IFERROR(__xludf.DUMMYFUNCTION("""COMPUTED_VALUE"""),3232.0)</f>
        <v>3232</v>
      </c>
      <c r="AQ47" s="71">
        <f>IFERROR(__xludf.DUMMYFUNCTION("""COMPUTED_VALUE"""),3232.0)</f>
        <v>3232</v>
      </c>
      <c r="AR47" s="71">
        <f>IFERROR(__xludf.DUMMYFUNCTION("""COMPUTED_VALUE"""),3232.0)</f>
        <v>3232</v>
      </c>
      <c r="AS47" s="71">
        <f>IFERROR(__xludf.DUMMYFUNCTION("""COMPUTED_VALUE"""),3232.0)</f>
        <v>3232</v>
      </c>
      <c r="AT47" s="71">
        <f>IFERROR(__xludf.DUMMYFUNCTION("""COMPUTED_VALUE"""),3232.0)</f>
        <v>3232</v>
      </c>
      <c r="AU47" s="71">
        <f>IFERROR(__xludf.DUMMYFUNCTION("""COMPUTED_VALUE"""),3232.0)</f>
        <v>3232</v>
      </c>
      <c r="AV47" s="71">
        <f>IFERROR(__xludf.DUMMYFUNCTION("""COMPUTED_VALUE"""),3230.0)</f>
        <v>3230</v>
      </c>
      <c r="AW47" s="41"/>
      <c r="AX47" s="41"/>
      <c r="AY47" s="41"/>
      <c r="AZ47" s="41"/>
    </row>
    <row r="48">
      <c r="B48" s="41"/>
      <c r="C48" s="41"/>
      <c r="D48" s="41"/>
      <c r="E48" s="41"/>
      <c r="F48" s="41"/>
      <c r="G48" s="41"/>
      <c r="H48" s="41"/>
      <c r="I48" s="41">
        <f>IFERROR(__xludf.DUMMYFUNCTION("""COMPUTED_VALUE"""),44.0)</f>
        <v>44</v>
      </c>
      <c r="J48" s="41" t="str">
        <f>IFERROR(__xludf.DUMMYFUNCTION("""COMPUTED_VALUE"""),"Y")</f>
        <v>Y</v>
      </c>
      <c r="K48" s="41"/>
      <c r="L48" s="41"/>
      <c r="M48" s="41" t="str">
        <f>IFERROR(__xludf.DUMMYFUNCTION("""COMPUTED_VALUE"""),"Bill")</f>
        <v>Bill</v>
      </c>
      <c r="N48" s="66">
        <f>IFERROR(__xludf.DUMMYFUNCTION("""COMPUTED_VALUE"""),45733.0)</f>
        <v>45733</v>
      </c>
      <c r="O48" s="41">
        <f>IFERROR(__xludf.DUMMYFUNCTION("""COMPUTED_VALUE"""),5898.0)</f>
        <v>5898</v>
      </c>
      <c r="P48" s="41"/>
      <c r="Q48" s="41"/>
      <c r="R48" s="41"/>
      <c r="S48" s="41"/>
      <c r="T48" s="41"/>
      <c r="U48" s="41" t="str">
        <f>IFERROR(__xludf.DUMMYFUNCTION("""COMPUTED_VALUE"""),"Salesforce 202502 資訊系統導入帳號軟體費(20250215-20250815)[憑證在ER5300]")</f>
        <v>Salesforce 202502 資訊系統導入帳號軟體費(20250215-20250815)[憑證在ER5300]</v>
      </c>
      <c r="V48" s="41"/>
      <c r="W48" s="41"/>
      <c r="X48" s="41"/>
      <c r="Y48" s="71">
        <f>IFERROR(__xludf.DUMMYFUNCTION("""COMPUTED_VALUE"""),94252.0)</f>
        <v>94252</v>
      </c>
      <c r="Z48" s="41">
        <f>IFERROR(__xludf.DUMMYFUNCTION("""COMPUTED_VALUE"""),623201.0)</f>
        <v>623201</v>
      </c>
      <c r="AA48" s="41" t="str">
        <f>IFERROR(__xludf.DUMMYFUNCTION("""COMPUTED_VALUE"""),"客戶價值中心")</f>
        <v>客戶價值中心</v>
      </c>
      <c r="AB48" s="70" t="str">
        <f>IFERROR(__xludf.DUMMYFUNCTION("""COMPUTED_VALUE"""),"執行長室 : 客戶價值中心 : 客戶價值中心")</f>
        <v>執行長室 : 客戶價值中心 : 客戶價值中心</v>
      </c>
      <c r="AC48" s="70" t="str">
        <f>IFERROR(__xludf.DUMMYFUNCTION("""COMPUTED_VALUE"""),"No_Product_Line")</f>
        <v>No_Product_Line</v>
      </c>
      <c r="AD48" s="70" t="str">
        <f>IFERROR(__xludf.DUMMYFUNCTION("""COMPUTED_VALUE"""),"Baseline")</f>
        <v>Baseline</v>
      </c>
      <c r="AE48" s="70" t="str">
        <f>IFERROR(__xludf.DUMMYFUNCTION("""COMPUTED_VALUE"""),"Baseline")</f>
        <v>Baseline</v>
      </c>
      <c r="AF48" s="71">
        <f>IFERROR(__xludf.DUMMYFUNCTION("""COMPUTED_VALUE"""),282877.0)</f>
        <v>282877</v>
      </c>
      <c r="AG48" s="71">
        <f>IFERROR(__xludf.DUMMYFUNCTION("""COMPUTED_VALUE"""),12.0)</f>
        <v>12</v>
      </c>
      <c r="AH48" s="71">
        <f>IFERROR(__xludf.DUMMYFUNCTION("""COMPUTED_VALUE"""),188625.0)</f>
        <v>188625</v>
      </c>
      <c r="AI48" s="71">
        <f>IFERROR(__xludf.DUMMYFUNCTION("""COMPUTED_VALUE"""),0.0)</f>
        <v>0</v>
      </c>
      <c r="AJ48" s="41"/>
      <c r="AK48" s="41"/>
      <c r="AL48" s="71">
        <f>IFERROR(__xludf.DUMMYFUNCTION("""COMPUTED_VALUE"""),47241.0)</f>
        <v>47241</v>
      </c>
      <c r="AM48" s="71">
        <f>IFERROR(__xludf.DUMMYFUNCTION("""COMPUTED_VALUE"""),23564.0)</f>
        <v>23564</v>
      </c>
      <c r="AN48" s="71">
        <f>IFERROR(__xludf.DUMMYFUNCTION("""COMPUTED_VALUE"""),23564.0)</f>
        <v>23564</v>
      </c>
      <c r="AO48" s="71">
        <f>IFERROR(__xludf.DUMMYFUNCTION("""COMPUTED_VALUE"""),23564.0)</f>
        <v>23564</v>
      </c>
      <c r="AP48" s="71">
        <f>IFERROR(__xludf.DUMMYFUNCTION("""COMPUTED_VALUE"""),23564.0)</f>
        <v>23564</v>
      </c>
      <c r="AQ48" s="71">
        <f>IFERROR(__xludf.DUMMYFUNCTION("""COMPUTED_VALUE"""),23564.0)</f>
        <v>23564</v>
      </c>
      <c r="AR48" s="71">
        <f>IFERROR(__xludf.DUMMYFUNCTION("""COMPUTED_VALUE"""),23564.0)</f>
        <v>23564</v>
      </c>
      <c r="AS48" s="71">
        <f>IFERROR(__xludf.DUMMYFUNCTION("""COMPUTED_VALUE"""),23564.0)</f>
        <v>23564</v>
      </c>
      <c r="AT48" s="71">
        <f>IFERROR(__xludf.DUMMYFUNCTION("""COMPUTED_VALUE"""),23564.0)</f>
        <v>23564</v>
      </c>
      <c r="AU48" s="71">
        <f>IFERROR(__xludf.DUMMYFUNCTION("""COMPUTED_VALUE"""),23564.0)</f>
        <v>23564</v>
      </c>
      <c r="AV48" s="71">
        <f>IFERROR(__xludf.DUMMYFUNCTION("""COMPUTED_VALUE"""),23560.0)</f>
        <v>23560</v>
      </c>
      <c r="AW48" s="41"/>
      <c r="AX48" s="41"/>
      <c r="AY48" s="41"/>
      <c r="AZ48" s="41"/>
    </row>
    <row r="49">
      <c r="B49" s="41"/>
      <c r="C49" s="41"/>
      <c r="D49" s="41"/>
      <c r="E49" s="41"/>
      <c r="F49" s="41"/>
      <c r="G49" s="41"/>
      <c r="H49" s="41"/>
      <c r="I49" s="41">
        <f>IFERROR(__xludf.DUMMYFUNCTION("""COMPUTED_VALUE"""),45.0)</f>
        <v>45</v>
      </c>
      <c r="J49" s="41" t="str">
        <f>IFERROR(__xludf.DUMMYFUNCTION("""COMPUTED_VALUE"""),"Y")</f>
        <v>Y</v>
      </c>
      <c r="K49" s="41"/>
      <c r="L49" s="41"/>
      <c r="M49" s="41" t="str">
        <f>IFERROR(__xludf.DUMMYFUNCTION("""COMPUTED_VALUE"""),"Bill")</f>
        <v>Bill</v>
      </c>
      <c r="N49" s="66">
        <f>IFERROR(__xludf.DUMMYFUNCTION("""COMPUTED_VALUE"""),45733.0)</f>
        <v>45733</v>
      </c>
      <c r="O49" s="41">
        <f>IFERROR(__xludf.DUMMYFUNCTION("""COMPUTED_VALUE"""),5898.0)</f>
        <v>5898</v>
      </c>
      <c r="P49" s="41"/>
      <c r="Q49" s="41"/>
      <c r="R49" s="41"/>
      <c r="S49" s="41"/>
      <c r="T49" s="41"/>
      <c r="U49" s="41" t="str">
        <f>IFERROR(__xludf.DUMMYFUNCTION("""COMPUTED_VALUE"""),"Salesforce 202502 資訊系統導入帳號軟體費(20250215-20250815)[憑證在ER5300]")</f>
        <v>Salesforce 202502 資訊系統導入帳號軟體費(20250215-20250815)[憑證在ER5300]</v>
      </c>
      <c r="V49" s="41"/>
      <c r="W49" s="41"/>
      <c r="X49" s="41"/>
      <c r="Y49" s="71">
        <f>IFERROR(__xludf.DUMMYFUNCTION("""COMPUTED_VALUE"""),113466.0)</f>
        <v>113466</v>
      </c>
      <c r="Z49" s="41">
        <f>IFERROR(__xludf.DUMMYFUNCTION("""COMPUTED_VALUE"""),603201.0)</f>
        <v>603201</v>
      </c>
      <c r="AA49" s="41" t="str">
        <f>IFERROR(__xludf.DUMMYFUNCTION("""COMPUTED_VALUE"""),"行銷營運中心")</f>
        <v>行銷營運中心</v>
      </c>
      <c r="AB49" s="70" t="str">
        <f>IFERROR(__xludf.DUMMYFUNCTION("""COMPUTED_VALUE"""),"執行長室 : 行銷營運中心 : 行銷營運中心")</f>
        <v>執行長室 : 行銷營運中心 : 行銷營運中心</v>
      </c>
      <c r="AC49" s="70" t="str">
        <f>IFERROR(__xludf.DUMMYFUNCTION("""COMPUTED_VALUE"""),"No_Product_Line")</f>
        <v>No_Product_Line</v>
      </c>
      <c r="AD49" s="70" t="str">
        <f>IFERROR(__xludf.DUMMYFUNCTION("""COMPUTED_VALUE"""),"Baseline")</f>
        <v>Baseline</v>
      </c>
      <c r="AE49" s="70" t="str">
        <f>IFERROR(__xludf.DUMMYFUNCTION("""COMPUTED_VALUE"""),"Baseline")</f>
        <v>Baseline</v>
      </c>
      <c r="AF49" s="71">
        <f>IFERROR(__xludf.DUMMYFUNCTION("""COMPUTED_VALUE"""),340538.0)</f>
        <v>340538</v>
      </c>
      <c r="AG49" s="71">
        <f>IFERROR(__xludf.DUMMYFUNCTION("""COMPUTED_VALUE"""),12.0)</f>
        <v>12</v>
      </c>
      <c r="AH49" s="71">
        <f>IFERROR(__xludf.DUMMYFUNCTION("""COMPUTED_VALUE"""),227072.0)</f>
        <v>227072</v>
      </c>
      <c r="AI49" s="71">
        <f>IFERROR(__xludf.DUMMYFUNCTION("""COMPUTED_VALUE"""),0.0)</f>
        <v>0</v>
      </c>
      <c r="AJ49" s="41"/>
      <c r="AK49" s="41"/>
      <c r="AL49" s="71">
        <f>IFERROR(__xludf.DUMMYFUNCTION("""COMPUTED_VALUE"""),56870.0)</f>
        <v>56870</v>
      </c>
      <c r="AM49" s="71">
        <f>IFERROR(__xludf.DUMMYFUNCTION("""COMPUTED_VALUE"""),28367.0)</f>
        <v>28367</v>
      </c>
      <c r="AN49" s="71">
        <f>IFERROR(__xludf.DUMMYFUNCTION("""COMPUTED_VALUE"""),28367.0)</f>
        <v>28367</v>
      </c>
      <c r="AO49" s="71">
        <f>IFERROR(__xludf.DUMMYFUNCTION("""COMPUTED_VALUE"""),28367.0)</f>
        <v>28367</v>
      </c>
      <c r="AP49" s="71">
        <f>IFERROR(__xludf.DUMMYFUNCTION("""COMPUTED_VALUE"""),28367.0)</f>
        <v>28367</v>
      </c>
      <c r="AQ49" s="71">
        <f>IFERROR(__xludf.DUMMYFUNCTION("""COMPUTED_VALUE"""),28367.0)</f>
        <v>28367</v>
      </c>
      <c r="AR49" s="71">
        <f>IFERROR(__xludf.DUMMYFUNCTION("""COMPUTED_VALUE"""),28367.0)</f>
        <v>28367</v>
      </c>
      <c r="AS49" s="71">
        <f>IFERROR(__xludf.DUMMYFUNCTION("""COMPUTED_VALUE"""),28367.0)</f>
        <v>28367</v>
      </c>
      <c r="AT49" s="71">
        <f>IFERROR(__xludf.DUMMYFUNCTION("""COMPUTED_VALUE"""),28367.0)</f>
        <v>28367</v>
      </c>
      <c r="AU49" s="71">
        <f>IFERROR(__xludf.DUMMYFUNCTION("""COMPUTED_VALUE"""),28367.0)</f>
        <v>28367</v>
      </c>
      <c r="AV49" s="71">
        <f>IFERROR(__xludf.DUMMYFUNCTION("""COMPUTED_VALUE"""),28365.0)</f>
        <v>28365</v>
      </c>
      <c r="AW49" s="41"/>
      <c r="AX49" s="41"/>
      <c r="AY49" s="41"/>
      <c r="AZ49" s="41"/>
    </row>
    <row r="50">
      <c r="B50" s="41"/>
      <c r="C50" s="41"/>
      <c r="D50" s="41"/>
      <c r="E50" s="41"/>
      <c r="F50" s="41"/>
      <c r="G50" s="41"/>
      <c r="H50" s="41"/>
      <c r="I50" s="41">
        <f>IFERROR(__xludf.DUMMYFUNCTION("""COMPUTED_VALUE"""),46.0)</f>
        <v>46</v>
      </c>
      <c r="J50" s="41" t="str">
        <f>IFERROR(__xludf.DUMMYFUNCTION("""COMPUTED_VALUE"""),"Y")</f>
        <v>Y</v>
      </c>
      <c r="K50" s="41"/>
      <c r="L50" s="41"/>
      <c r="M50" s="41" t="str">
        <f>IFERROR(__xludf.DUMMYFUNCTION("""COMPUTED_VALUE"""),"Bill")</f>
        <v>Bill</v>
      </c>
      <c r="N50" s="66">
        <f>IFERROR(__xludf.DUMMYFUNCTION("""COMPUTED_VALUE"""),45747.0)</f>
        <v>45747</v>
      </c>
      <c r="O50" s="41">
        <f>IFERROR(__xludf.DUMMYFUNCTION("""COMPUTED_VALUE"""),5916.0)</f>
        <v>5916</v>
      </c>
      <c r="P50" s="41"/>
      <c r="Q50" s="41"/>
      <c r="R50" s="41"/>
      <c r="S50" s="41"/>
      <c r="T50" s="41"/>
      <c r="U50" s="41" t="str">
        <f>IFERROR(__xludf.DUMMYFUNCTION("""COMPUTED_VALUE"""),"Salesforce.com Singapore Pte. Ltd 202503 Tableau年度續約(20250321-20260320)PCAR-2650[憑證在ER5526")</f>
        <v>Salesforce.com Singapore Pte. Ltd 202503 Tableau年度續約(20250321-20260320)PCAR-2650[憑證在ER5526</v>
      </c>
      <c r="V50" s="41"/>
      <c r="W50" s="41"/>
      <c r="X50" s="41"/>
      <c r="Y50" s="71">
        <f>IFERROR(__xludf.DUMMYFUNCTION("""COMPUTED_VALUE"""),3853.0)</f>
        <v>3853</v>
      </c>
      <c r="Z50" s="41">
        <f>IFERROR(__xludf.DUMMYFUNCTION("""COMPUTED_VALUE"""),613201.0)</f>
        <v>613201</v>
      </c>
      <c r="AA50" s="41" t="str">
        <f>IFERROR(__xludf.DUMMYFUNCTION("""COMPUTED_VALUE"""),"執行長室")</f>
        <v>執行長室</v>
      </c>
      <c r="AB50" s="70" t="str">
        <f>IFERROR(__xludf.DUMMYFUNCTION("""COMPUTED_VALUE"""),"執行長室")</f>
        <v>執行長室</v>
      </c>
      <c r="AC50" s="70" t="str">
        <f>IFERROR(__xludf.DUMMYFUNCTION("""COMPUTED_VALUE"""),"No_Product_Line")</f>
        <v>No_Product_Line</v>
      </c>
      <c r="AD50" s="70" t="str">
        <f>IFERROR(__xludf.DUMMYFUNCTION("""COMPUTED_VALUE"""),"Baseline")</f>
        <v>Baseline</v>
      </c>
      <c r="AE50" s="70" t="str">
        <f>IFERROR(__xludf.DUMMYFUNCTION("""COMPUTED_VALUE"""),"Baseline")</f>
        <v>Baseline</v>
      </c>
      <c r="AF50" s="71">
        <f>IFERROR(__xludf.DUMMYFUNCTION("""COMPUTED_VALUE"""),9247.0)</f>
        <v>9247</v>
      </c>
      <c r="AG50" s="71">
        <f>IFERROR(__xludf.DUMMYFUNCTION("""COMPUTED_VALUE"""),12.0)</f>
        <v>12</v>
      </c>
      <c r="AH50" s="71">
        <f>IFERROR(__xludf.DUMMYFUNCTION("""COMPUTED_VALUE"""),5394.0)</f>
        <v>5394</v>
      </c>
      <c r="AI50" s="71">
        <f>IFERROR(__xludf.DUMMYFUNCTION("""COMPUTED_VALUE"""),0.0)</f>
        <v>0</v>
      </c>
      <c r="AJ50" s="41"/>
      <c r="AK50" s="41"/>
      <c r="AL50" s="71">
        <f>IFERROR(__xludf.DUMMYFUNCTION("""COMPUTED_VALUE"""),774.0)</f>
        <v>774</v>
      </c>
      <c r="AM50" s="71">
        <f>IFERROR(__xludf.DUMMYFUNCTION("""COMPUTED_VALUE"""),770.0)</f>
        <v>770</v>
      </c>
      <c r="AN50" s="71">
        <f>IFERROR(__xludf.DUMMYFUNCTION("""COMPUTED_VALUE"""),770.0)</f>
        <v>770</v>
      </c>
      <c r="AO50" s="71">
        <f>IFERROR(__xludf.DUMMYFUNCTION("""COMPUTED_VALUE"""),770.0)</f>
        <v>770</v>
      </c>
      <c r="AP50" s="71">
        <f>IFERROR(__xludf.DUMMYFUNCTION("""COMPUTED_VALUE"""),770.0)</f>
        <v>770</v>
      </c>
      <c r="AQ50" s="71">
        <f>IFERROR(__xludf.DUMMYFUNCTION("""COMPUTED_VALUE"""),770.0)</f>
        <v>770</v>
      </c>
      <c r="AR50" s="71">
        <f>IFERROR(__xludf.DUMMYFUNCTION("""COMPUTED_VALUE"""),770.0)</f>
        <v>770</v>
      </c>
      <c r="AS50" s="71">
        <f>IFERROR(__xludf.DUMMYFUNCTION("""COMPUTED_VALUE"""),770.0)</f>
        <v>770</v>
      </c>
      <c r="AT50" s="71">
        <f>IFERROR(__xludf.DUMMYFUNCTION("""COMPUTED_VALUE"""),770.0)</f>
        <v>770</v>
      </c>
      <c r="AU50" s="71">
        <f>IFERROR(__xludf.DUMMYFUNCTION("""COMPUTED_VALUE"""),770.0)</f>
        <v>770</v>
      </c>
      <c r="AV50" s="71">
        <f>IFERROR(__xludf.DUMMYFUNCTION("""COMPUTED_VALUE"""),770.0)</f>
        <v>770</v>
      </c>
      <c r="AW50" s="71">
        <f>IFERROR(__xludf.DUMMYFUNCTION("""COMPUTED_VALUE"""),773.0)</f>
        <v>773</v>
      </c>
      <c r="AX50" s="41"/>
      <c r="AY50" s="41"/>
      <c r="AZ50" s="41"/>
    </row>
    <row r="51">
      <c r="B51" s="41"/>
      <c r="C51" s="41"/>
      <c r="D51" s="41"/>
      <c r="E51" s="41"/>
      <c r="F51" s="41"/>
      <c r="G51" s="41"/>
      <c r="H51" s="41"/>
      <c r="I51" s="41">
        <f>IFERROR(__xludf.DUMMYFUNCTION("""COMPUTED_VALUE"""),47.0)</f>
        <v>47</v>
      </c>
      <c r="J51" s="41" t="str">
        <f>IFERROR(__xludf.DUMMYFUNCTION("""COMPUTED_VALUE"""),"Y")</f>
        <v>Y</v>
      </c>
      <c r="K51" s="41"/>
      <c r="L51" s="41"/>
      <c r="M51" s="41" t="str">
        <f>IFERROR(__xludf.DUMMYFUNCTION("""COMPUTED_VALUE"""),"Bill")</f>
        <v>Bill</v>
      </c>
      <c r="N51" s="66">
        <f>IFERROR(__xludf.DUMMYFUNCTION("""COMPUTED_VALUE"""),45747.0)</f>
        <v>45747</v>
      </c>
      <c r="O51" s="41">
        <f>IFERROR(__xludf.DUMMYFUNCTION("""COMPUTED_VALUE"""),5916.0)</f>
        <v>5916</v>
      </c>
      <c r="P51" s="41"/>
      <c r="Q51" s="41"/>
      <c r="R51" s="41"/>
      <c r="S51" s="41"/>
      <c r="T51" s="41"/>
      <c r="U51" s="41" t="str">
        <f>IFERROR(__xludf.DUMMYFUNCTION("""COMPUTED_VALUE"""),"Salesforce.com Singapore Pte. Ltd 202503 Tableau年度續約(20250321-20260320)PCAR-2650[憑證在ER5526")</f>
        <v>Salesforce.com Singapore Pte. Ltd 202503 Tableau年度續約(20250321-20260320)PCAR-2650[憑證在ER5526</v>
      </c>
      <c r="V51" s="41"/>
      <c r="W51" s="41"/>
      <c r="X51" s="41"/>
      <c r="Y51" s="71">
        <f>IFERROR(__xludf.DUMMYFUNCTION("""COMPUTED_VALUE"""),7679.0)</f>
        <v>7679</v>
      </c>
      <c r="Z51" s="41">
        <f>IFERROR(__xludf.DUMMYFUNCTION("""COMPUTED_VALUE"""),613201.0)</f>
        <v>613201</v>
      </c>
      <c r="AA51" s="41" t="str">
        <f>IFERROR(__xludf.DUMMYFUNCTION("""COMPUTED_VALUE"""),"財務中心")</f>
        <v>財務中心</v>
      </c>
      <c r="AB51" s="70" t="str">
        <f>IFERROR(__xludf.DUMMYFUNCTION("""COMPUTED_VALUE"""),"執行長室 : 財務中心 : 財務中心")</f>
        <v>執行長室 : 財務中心 : 財務中心</v>
      </c>
      <c r="AC51" s="70" t="str">
        <f>IFERROR(__xludf.DUMMYFUNCTION("""COMPUTED_VALUE"""),"No_Product_Line")</f>
        <v>No_Product_Line</v>
      </c>
      <c r="AD51" s="70" t="str">
        <f>IFERROR(__xludf.DUMMYFUNCTION("""COMPUTED_VALUE"""),"Baseline")</f>
        <v>Baseline</v>
      </c>
      <c r="AE51" s="70" t="str">
        <f>IFERROR(__xludf.DUMMYFUNCTION("""COMPUTED_VALUE"""),"Baseline")</f>
        <v>Baseline</v>
      </c>
      <c r="AF51" s="71">
        <f>IFERROR(__xludf.DUMMYFUNCTION("""COMPUTED_VALUE"""),18438.0)</f>
        <v>18438</v>
      </c>
      <c r="AG51" s="71">
        <f>IFERROR(__xludf.DUMMYFUNCTION("""COMPUTED_VALUE"""),12.0)</f>
        <v>12</v>
      </c>
      <c r="AH51" s="71">
        <f>IFERROR(__xludf.DUMMYFUNCTION("""COMPUTED_VALUE"""),10759.0)</f>
        <v>10759</v>
      </c>
      <c r="AI51" s="71">
        <f>IFERROR(__xludf.DUMMYFUNCTION("""COMPUTED_VALUE"""),0.0)</f>
        <v>0</v>
      </c>
      <c r="AJ51" s="41"/>
      <c r="AK51" s="41"/>
      <c r="AL51" s="71">
        <f>IFERROR(__xludf.DUMMYFUNCTION("""COMPUTED_VALUE"""),1543.0)</f>
        <v>1543</v>
      </c>
      <c r="AM51" s="71">
        <f>IFERROR(__xludf.DUMMYFUNCTION("""COMPUTED_VALUE"""),1536.0)</f>
        <v>1536</v>
      </c>
      <c r="AN51" s="71">
        <f>IFERROR(__xludf.DUMMYFUNCTION("""COMPUTED_VALUE"""),1536.0)</f>
        <v>1536</v>
      </c>
      <c r="AO51" s="71">
        <f>IFERROR(__xludf.DUMMYFUNCTION("""COMPUTED_VALUE"""),1536.0)</f>
        <v>1536</v>
      </c>
      <c r="AP51" s="71">
        <f>IFERROR(__xludf.DUMMYFUNCTION("""COMPUTED_VALUE"""),1536.0)</f>
        <v>1536</v>
      </c>
      <c r="AQ51" s="71">
        <f>IFERROR(__xludf.DUMMYFUNCTION("""COMPUTED_VALUE"""),1536.0)</f>
        <v>1536</v>
      </c>
      <c r="AR51" s="71">
        <f>IFERROR(__xludf.DUMMYFUNCTION("""COMPUTED_VALUE"""),1536.0)</f>
        <v>1536</v>
      </c>
      <c r="AS51" s="71">
        <f>IFERROR(__xludf.DUMMYFUNCTION("""COMPUTED_VALUE"""),1536.0)</f>
        <v>1536</v>
      </c>
      <c r="AT51" s="71">
        <f>IFERROR(__xludf.DUMMYFUNCTION("""COMPUTED_VALUE"""),1536.0)</f>
        <v>1536</v>
      </c>
      <c r="AU51" s="71">
        <f>IFERROR(__xludf.DUMMYFUNCTION("""COMPUTED_VALUE"""),1536.0)</f>
        <v>1536</v>
      </c>
      <c r="AV51" s="71">
        <f>IFERROR(__xludf.DUMMYFUNCTION("""COMPUTED_VALUE"""),1536.0)</f>
        <v>1536</v>
      </c>
      <c r="AW51" s="71">
        <f>IFERROR(__xludf.DUMMYFUNCTION("""COMPUTED_VALUE"""),1535.0)</f>
        <v>1535</v>
      </c>
      <c r="AX51" s="41"/>
      <c r="AY51" s="41"/>
      <c r="AZ51" s="41"/>
    </row>
    <row r="52">
      <c r="B52" s="41"/>
      <c r="C52" s="41"/>
      <c r="D52" s="41"/>
      <c r="E52" s="41"/>
      <c r="F52" s="41"/>
      <c r="G52" s="41"/>
      <c r="H52" s="41"/>
      <c r="I52" s="41">
        <f>IFERROR(__xludf.DUMMYFUNCTION("""COMPUTED_VALUE"""),48.0)</f>
        <v>48</v>
      </c>
      <c r="J52" s="41" t="str">
        <f>IFERROR(__xludf.DUMMYFUNCTION("""COMPUTED_VALUE"""),"Y")</f>
        <v>Y</v>
      </c>
      <c r="K52" s="41"/>
      <c r="L52" s="41"/>
      <c r="M52" s="41" t="str">
        <f>IFERROR(__xludf.DUMMYFUNCTION("""COMPUTED_VALUE"""),"Bill")</f>
        <v>Bill</v>
      </c>
      <c r="N52" s="66">
        <f>IFERROR(__xludf.DUMMYFUNCTION("""COMPUTED_VALUE"""),45747.0)</f>
        <v>45747</v>
      </c>
      <c r="O52" s="41">
        <f>IFERROR(__xludf.DUMMYFUNCTION("""COMPUTED_VALUE"""),5916.0)</f>
        <v>5916</v>
      </c>
      <c r="P52" s="41"/>
      <c r="Q52" s="41"/>
      <c r="R52" s="41"/>
      <c r="S52" s="41"/>
      <c r="T52" s="41"/>
      <c r="U52" s="41" t="str">
        <f>IFERROR(__xludf.DUMMYFUNCTION("""COMPUTED_VALUE"""),"Salesforce.com Singapore Pte. Ltd 202503 Tableau年度續約(20250321-20260320)PCAR-2650[憑證在ER5526")</f>
        <v>Salesforce.com Singapore Pte. Ltd 202503 Tableau年度續約(20250321-20260320)PCAR-2650[憑證在ER5526</v>
      </c>
      <c r="V52" s="41"/>
      <c r="W52" s="41"/>
      <c r="X52" s="41"/>
      <c r="Y52" s="71">
        <f>IFERROR(__xludf.DUMMYFUNCTION("""COMPUTED_VALUE"""),17249.0)</f>
        <v>17249</v>
      </c>
      <c r="Z52" s="41">
        <f>IFERROR(__xludf.DUMMYFUNCTION("""COMPUTED_VALUE"""),623201.0)</f>
        <v>623201</v>
      </c>
      <c r="AA52" s="41" t="str">
        <f>IFERROR(__xludf.DUMMYFUNCTION("""COMPUTED_VALUE"""),"客戶價值中心")</f>
        <v>客戶價值中心</v>
      </c>
      <c r="AB52" s="70" t="str">
        <f>IFERROR(__xludf.DUMMYFUNCTION("""COMPUTED_VALUE"""),"執行長室 : 客戶價值中心 : 客戶價值中心")</f>
        <v>執行長室 : 客戶價值中心 : 客戶價值中心</v>
      </c>
      <c r="AC52" s="70" t="str">
        <f>IFERROR(__xludf.DUMMYFUNCTION("""COMPUTED_VALUE"""),"No_Product_Line")</f>
        <v>No_Product_Line</v>
      </c>
      <c r="AD52" s="70" t="str">
        <f>IFERROR(__xludf.DUMMYFUNCTION("""COMPUTED_VALUE"""),"Baseline")</f>
        <v>Baseline</v>
      </c>
      <c r="AE52" s="70" t="str">
        <f>IFERROR(__xludf.DUMMYFUNCTION("""COMPUTED_VALUE"""),"Baseline")</f>
        <v>Baseline</v>
      </c>
      <c r="AF52" s="71">
        <f>IFERROR(__xludf.DUMMYFUNCTION("""COMPUTED_VALUE"""),41409.0)</f>
        <v>41409</v>
      </c>
      <c r="AG52" s="71">
        <f>IFERROR(__xludf.DUMMYFUNCTION("""COMPUTED_VALUE"""),12.0)</f>
        <v>12</v>
      </c>
      <c r="AH52" s="71">
        <f>IFERROR(__xludf.DUMMYFUNCTION("""COMPUTED_VALUE"""),24160.0)</f>
        <v>24160</v>
      </c>
      <c r="AI52" s="71">
        <f>IFERROR(__xludf.DUMMYFUNCTION("""COMPUTED_VALUE"""),0.0)</f>
        <v>0</v>
      </c>
      <c r="AJ52" s="41"/>
      <c r="AK52" s="41"/>
      <c r="AL52" s="71">
        <f>IFERROR(__xludf.DUMMYFUNCTION("""COMPUTED_VALUE"""),3466.0)</f>
        <v>3466</v>
      </c>
      <c r="AM52" s="71">
        <f>IFERROR(__xludf.DUMMYFUNCTION("""COMPUTED_VALUE"""),3449.0)</f>
        <v>3449</v>
      </c>
      <c r="AN52" s="71">
        <f>IFERROR(__xludf.DUMMYFUNCTION("""COMPUTED_VALUE"""),3449.0)</f>
        <v>3449</v>
      </c>
      <c r="AO52" s="71">
        <f>IFERROR(__xludf.DUMMYFUNCTION("""COMPUTED_VALUE"""),3449.0)</f>
        <v>3449</v>
      </c>
      <c r="AP52" s="71">
        <f>IFERROR(__xludf.DUMMYFUNCTION("""COMPUTED_VALUE"""),3449.0)</f>
        <v>3449</v>
      </c>
      <c r="AQ52" s="71">
        <f>IFERROR(__xludf.DUMMYFUNCTION("""COMPUTED_VALUE"""),3449.0)</f>
        <v>3449</v>
      </c>
      <c r="AR52" s="71">
        <f>IFERROR(__xludf.DUMMYFUNCTION("""COMPUTED_VALUE"""),3449.0)</f>
        <v>3449</v>
      </c>
      <c r="AS52" s="71">
        <f>IFERROR(__xludf.DUMMYFUNCTION("""COMPUTED_VALUE"""),3449.0)</f>
        <v>3449</v>
      </c>
      <c r="AT52" s="71">
        <f>IFERROR(__xludf.DUMMYFUNCTION("""COMPUTED_VALUE"""),3449.0)</f>
        <v>3449</v>
      </c>
      <c r="AU52" s="71">
        <f>IFERROR(__xludf.DUMMYFUNCTION("""COMPUTED_VALUE"""),3449.0)</f>
        <v>3449</v>
      </c>
      <c r="AV52" s="71">
        <f>IFERROR(__xludf.DUMMYFUNCTION("""COMPUTED_VALUE"""),3449.0)</f>
        <v>3449</v>
      </c>
      <c r="AW52" s="71">
        <f>IFERROR(__xludf.DUMMYFUNCTION("""COMPUTED_VALUE"""),3453.0)</f>
        <v>3453</v>
      </c>
      <c r="AX52" s="41"/>
      <c r="AY52" s="41"/>
      <c r="AZ52" s="41"/>
    </row>
    <row r="53">
      <c r="B53" s="41"/>
      <c r="C53" s="41"/>
      <c r="D53" s="41"/>
      <c r="E53" s="41"/>
      <c r="F53" s="41"/>
      <c r="G53" s="41"/>
      <c r="H53" s="41"/>
      <c r="I53" s="41">
        <f>IFERROR(__xludf.DUMMYFUNCTION("""COMPUTED_VALUE"""),49.0)</f>
        <v>49</v>
      </c>
      <c r="J53" s="41" t="str">
        <f>IFERROR(__xludf.DUMMYFUNCTION("""COMPUTED_VALUE"""),"Y")</f>
        <v>Y</v>
      </c>
      <c r="K53" s="41"/>
      <c r="L53" s="41"/>
      <c r="M53" s="41" t="str">
        <f>IFERROR(__xludf.DUMMYFUNCTION("""COMPUTED_VALUE"""),"Bill")</f>
        <v>Bill</v>
      </c>
      <c r="N53" s="66">
        <f>IFERROR(__xludf.DUMMYFUNCTION("""COMPUTED_VALUE"""),45747.0)</f>
        <v>45747</v>
      </c>
      <c r="O53" s="41">
        <f>IFERROR(__xludf.DUMMYFUNCTION("""COMPUTED_VALUE"""),5916.0)</f>
        <v>5916</v>
      </c>
      <c r="P53" s="41"/>
      <c r="Q53" s="41"/>
      <c r="R53" s="41"/>
      <c r="S53" s="41"/>
      <c r="T53" s="41"/>
      <c r="U53" s="41" t="str">
        <f>IFERROR(__xludf.DUMMYFUNCTION("""COMPUTED_VALUE"""),"Salesforce.com Singapore Pte. Ltd 202503 Tableau年度續約(20250321-20260320)PCAR-2650[憑證在ER5526")</f>
        <v>Salesforce.com Singapore Pte. Ltd 202503 Tableau年度續約(20250321-20260320)PCAR-2650[憑證在ER5526</v>
      </c>
      <c r="V53" s="41"/>
      <c r="W53" s="41"/>
      <c r="X53" s="41"/>
      <c r="Y53" s="71">
        <f>IFERROR(__xludf.DUMMYFUNCTION("""COMPUTED_VALUE"""),42146.0)</f>
        <v>42146</v>
      </c>
      <c r="Z53" s="41">
        <f>IFERROR(__xludf.DUMMYFUNCTION("""COMPUTED_VALUE"""),613201.0)</f>
        <v>613201</v>
      </c>
      <c r="AA53" s="41" t="str">
        <f>IFERROR(__xludf.DUMMYFUNCTION("""COMPUTED_VALUE"""),"策略資料中心")</f>
        <v>策略資料中心</v>
      </c>
      <c r="AB53" s="70" t="str">
        <f>IFERROR(__xludf.DUMMYFUNCTION("""COMPUTED_VALUE"""),"執行長室 : 策略資料中心 : 策略資料中心")</f>
        <v>執行長室 : 策略資料中心 : 策略資料中心</v>
      </c>
      <c r="AC53" s="70" t="str">
        <f>IFERROR(__xludf.DUMMYFUNCTION("""COMPUTED_VALUE"""),"No_Product_Line")</f>
        <v>No_Product_Line</v>
      </c>
      <c r="AD53" s="70" t="str">
        <f>IFERROR(__xludf.DUMMYFUNCTION("""COMPUTED_VALUE"""),"Baseline")</f>
        <v>Baseline</v>
      </c>
      <c r="AE53" s="70" t="str">
        <f>IFERROR(__xludf.DUMMYFUNCTION("""COMPUTED_VALUE"""),"Baseline")</f>
        <v>Baseline</v>
      </c>
      <c r="AF53" s="71">
        <f>IFERROR(__xludf.DUMMYFUNCTION("""COMPUTED_VALUE"""),101196.0)</f>
        <v>101196</v>
      </c>
      <c r="AG53" s="71">
        <f>IFERROR(__xludf.DUMMYFUNCTION("""COMPUTED_VALUE"""),12.0)</f>
        <v>12</v>
      </c>
      <c r="AH53" s="71">
        <f>IFERROR(__xludf.DUMMYFUNCTION("""COMPUTED_VALUE"""),59050.0)</f>
        <v>59050</v>
      </c>
      <c r="AI53" s="71">
        <f>IFERROR(__xludf.DUMMYFUNCTION("""COMPUTED_VALUE"""),0.0)</f>
        <v>0</v>
      </c>
      <c r="AJ53" s="41"/>
      <c r="AK53" s="41"/>
      <c r="AL53" s="71">
        <f>IFERROR(__xludf.DUMMYFUNCTION("""COMPUTED_VALUE"""),8470.0)</f>
        <v>8470</v>
      </c>
      <c r="AM53" s="71">
        <f>IFERROR(__xludf.DUMMYFUNCTION("""COMPUTED_VALUE"""),8430.0)</f>
        <v>8430</v>
      </c>
      <c r="AN53" s="71">
        <f>IFERROR(__xludf.DUMMYFUNCTION("""COMPUTED_VALUE"""),8430.0)</f>
        <v>8430</v>
      </c>
      <c r="AO53" s="71">
        <f>IFERROR(__xludf.DUMMYFUNCTION("""COMPUTED_VALUE"""),8430.0)</f>
        <v>8430</v>
      </c>
      <c r="AP53" s="71">
        <f>IFERROR(__xludf.DUMMYFUNCTION("""COMPUTED_VALUE"""),8430.0)</f>
        <v>8430</v>
      </c>
      <c r="AQ53" s="71">
        <f>IFERROR(__xludf.DUMMYFUNCTION("""COMPUTED_VALUE"""),8430.0)</f>
        <v>8430</v>
      </c>
      <c r="AR53" s="71">
        <f>IFERROR(__xludf.DUMMYFUNCTION("""COMPUTED_VALUE"""),8430.0)</f>
        <v>8430</v>
      </c>
      <c r="AS53" s="71">
        <f>IFERROR(__xludf.DUMMYFUNCTION("""COMPUTED_VALUE"""),8430.0)</f>
        <v>8430</v>
      </c>
      <c r="AT53" s="71">
        <f>IFERROR(__xludf.DUMMYFUNCTION("""COMPUTED_VALUE"""),8430.0)</f>
        <v>8430</v>
      </c>
      <c r="AU53" s="71">
        <f>IFERROR(__xludf.DUMMYFUNCTION("""COMPUTED_VALUE"""),8430.0)</f>
        <v>8430</v>
      </c>
      <c r="AV53" s="71">
        <f>IFERROR(__xludf.DUMMYFUNCTION("""COMPUTED_VALUE"""),8430.0)</f>
        <v>8430</v>
      </c>
      <c r="AW53" s="71">
        <f>IFERROR(__xludf.DUMMYFUNCTION("""COMPUTED_VALUE"""),8426.0)</f>
        <v>8426</v>
      </c>
      <c r="AX53" s="41"/>
      <c r="AY53" s="41"/>
      <c r="AZ53" s="41"/>
    </row>
    <row r="54">
      <c r="B54" s="41"/>
      <c r="C54" s="41"/>
      <c r="D54" s="41"/>
      <c r="E54" s="41"/>
      <c r="F54" s="41"/>
      <c r="G54" s="41"/>
      <c r="H54" s="41"/>
      <c r="I54" s="41">
        <f>IFERROR(__xludf.DUMMYFUNCTION("""COMPUTED_VALUE"""),50.0)</f>
        <v>50</v>
      </c>
      <c r="J54" s="41" t="str">
        <f>IFERROR(__xludf.DUMMYFUNCTION("""COMPUTED_VALUE"""),"Y")</f>
        <v>Y</v>
      </c>
      <c r="K54" s="41"/>
      <c r="L54" s="41"/>
      <c r="M54" s="41" t="str">
        <f>IFERROR(__xludf.DUMMYFUNCTION("""COMPUTED_VALUE"""),"Bill")</f>
        <v>Bill</v>
      </c>
      <c r="N54" s="66">
        <f>IFERROR(__xludf.DUMMYFUNCTION("""COMPUTED_VALUE"""),45747.0)</f>
        <v>45747</v>
      </c>
      <c r="O54" s="41">
        <f>IFERROR(__xludf.DUMMYFUNCTION("""COMPUTED_VALUE"""),5916.0)</f>
        <v>5916</v>
      </c>
      <c r="P54" s="41"/>
      <c r="Q54" s="41"/>
      <c r="R54" s="41"/>
      <c r="S54" s="41"/>
      <c r="T54" s="41"/>
      <c r="U54" s="41" t="str">
        <f>IFERROR(__xludf.DUMMYFUNCTION("""COMPUTED_VALUE"""),"Salesforce.com Singapore Pte. Ltd 202503 Tableau年度續約(20250321-20260320)PCAR-2650[憑證在ER5526")</f>
        <v>Salesforce.com Singapore Pte. Ltd 202503 Tableau年度續約(20250321-20260320)PCAR-2650[憑證在ER5526</v>
      </c>
      <c r="V54" s="41"/>
      <c r="W54" s="41"/>
      <c r="X54" s="41"/>
      <c r="Y54" s="71">
        <f>IFERROR(__xludf.DUMMYFUNCTION("""COMPUTED_VALUE"""),78603.0)</f>
        <v>78603</v>
      </c>
      <c r="Z54" s="41">
        <f>IFERROR(__xludf.DUMMYFUNCTION("""COMPUTED_VALUE"""),603201.0)</f>
        <v>603201</v>
      </c>
      <c r="AA54" s="41" t="str">
        <f>IFERROR(__xludf.DUMMYFUNCTION("""COMPUTED_VALUE"""),"行銷營運中心")</f>
        <v>行銷營運中心</v>
      </c>
      <c r="AB54" s="70" t="str">
        <f>IFERROR(__xludf.DUMMYFUNCTION("""COMPUTED_VALUE"""),"執行長室 : 行銷營運中心 : 行銷營運中心")</f>
        <v>執行長室 : 行銷營運中心 : 行銷營運中心</v>
      </c>
      <c r="AC54" s="70" t="str">
        <f>IFERROR(__xludf.DUMMYFUNCTION("""COMPUTED_VALUE"""),"No_Product_Line")</f>
        <v>No_Product_Line</v>
      </c>
      <c r="AD54" s="70" t="str">
        <f>IFERROR(__xludf.DUMMYFUNCTION("""COMPUTED_VALUE"""),"Baseline")</f>
        <v>Baseline</v>
      </c>
      <c r="AE54" s="70" t="str">
        <f>IFERROR(__xludf.DUMMYFUNCTION("""COMPUTED_VALUE"""),"Baseline")</f>
        <v>Baseline</v>
      </c>
      <c r="AF54" s="71">
        <f>IFERROR(__xludf.DUMMYFUNCTION("""COMPUTED_VALUE"""),188725.0)</f>
        <v>188725</v>
      </c>
      <c r="AG54" s="71">
        <f>IFERROR(__xludf.DUMMYFUNCTION("""COMPUTED_VALUE"""),12.0)</f>
        <v>12</v>
      </c>
      <c r="AH54" s="71">
        <f>IFERROR(__xludf.DUMMYFUNCTION("""COMPUTED_VALUE"""),110122.0)</f>
        <v>110122</v>
      </c>
      <c r="AI54" s="71">
        <f>IFERROR(__xludf.DUMMYFUNCTION("""COMPUTED_VALUE"""),0.0)</f>
        <v>0</v>
      </c>
      <c r="AJ54" s="41"/>
      <c r="AK54" s="41"/>
      <c r="AL54" s="71">
        <f>IFERROR(__xludf.DUMMYFUNCTION("""COMPUTED_VALUE"""),15796.0)</f>
        <v>15796</v>
      </c>
      <c r="AM54" s="71">
        <f>IFERROR(__xludf.DUMMYFUNCTION("""COMPUTED_VALUE"""),15721.0)</f>
        <v>15721</v>
      </c>
      <c r="AN54" s="71">
        <f>IFERROR(__xludf.DUMMYFUNCTION("""COMPUTED_VALUE"""),15721.0)</f>
        <v>15721</v>
      </c>
      <c r="AO54" s="71">
        <f>IFERROR(__xludf.DUMMYFUNCTION("""COMPUTED_VALUE"""),15721.0)</f>
        <v>15721</v>
      </c>
      <c r="AP54" s="71">
        <f>IFERROR(__xludf.DUMMYFUNCTION("""COMPUTED_VALUE"""),15721.0)</f>
        <v>15721</v>
      </c>
      <c r="AQ54" s="71">
        <f>IFERROR(__xludf.DUMMYFUNCTION("""COMPUTED_VALUE"""),15721.0)</f>
        <v>15721</v>
      </c>
      <c r="AR54" s="71">
        <f>IFERROR(__xludf.DUMMYFUNCTION("""COMPUTED_VALUE"""),15721.0)</f>
        <v>15721</v>
      </c>
      <c r="AS54" s="71">
        <f>IFERROR(__xludf.DUMMYFUNCTION("""COMPUTED_VALUE"""),15721.0)</f>
        <v>15721</v>
      </c>
      <c r="AT54" s="71">
        <f>IFERROR(__xludf.DUMMYFUNCTION("""COMPUTED_VALUE"""),15721.0)</f>
        <v>15721</v>
      </c>
      <c r="AU54" s="71">
        <f>IFERROR(__xludf.DUMMYFUNCTION("""COMPUTED_VALUE"""),15721.0)</f>
        <v>15721</v>
      </c>
      <c r="AV54" s="71">
        <f>IFERROR(__xludf.DUMMYFUNCTION("""COMPUTED_VALUE"""),15721.0)</f>
        <v>15721</v>
      </c>
      <c r="AW54" s="71">
        <f>IFERROR(__xludf.DUMMYFUNCTION("""COMPUTED_VALUE"""),15719.0)</f>
        <v>15719</v>
      </c>
      <c r="AX54" s="41"/>
      <c r="AY54" s="41"/>
      <c r="AZ54" s="41"/>
    </row>
    <row r="55">
      <c r="B55" s="41"/>
      <c r="C55" s="41"/>
      <c r="D55" s="41"/>
      <c r="E55" s="41"/>
      <c r="F55" s="41"/>
      <c r="G55" s="41"/>
      <c r="H55" s="41"/>
      <c r="I55" s="41">
        <f>IFERROR(__xludf.DUMMYFUNCTION("""COMPUTED_VALUE"""),51.0)</f>
        <v>51</v>
      </c>
      <c r="J55" s="41" t="str">
        <f>IFERROR(__xludf.DUMMYFUNCTION("""COMPUTED_VALUE"""),"Y")</f>
        <v>Y</v>
      </c>
      <c r="K55" s="41"/>
      <c r="L55" s="41"/>
      <c r="M55" s="41" t="str">
        <f>IFERROR(__xludf.DUMMYFUNCTION("""COMPUTED_VALUE"""),"Bill")</f>
        <v>Bill</v>
      </c>
      <c r="N55" s="66">
        <f>IFERROR(__xludf.DUMMYFUNCTION("""COMPUTED_VALUE"""),45747.0)</f>
        <v>45747</v>
      </c>
      <c r="O55" s="41">
        <f>IFERROR(__xludf.DUMMYFUNCTION("""COMPUTED_VALUE"""),5916.0)</f>
        <v>5916</v>
      </c>
      <c r="P55" s="41"/>
      <c r="Q55" s="41"/>
      <c r="R55" s="41"/>
      <c r="S55" s="41"/>
      <c r="T55" s="41"/>
      <c r="U55" s="41" t="str">
        <f>IFERROR(__xludf.DUMMYFUNCTION("""COMPUTED_VALUE"""),"Salesforce.com Singapore Pte. Ltd 202503 Tableau年度續約(20250321-20260320)PCAR-2650[憑證在ER5526")</f>
        <v>Salesforce.com Singapore Pte. Ltd 202503 Tableau年度續約(20250321-20260320)PCAR-2650[憑證在ER5526</v>
      </c>
      <c r="V55" s="41"/>
      <c r="W55" s="41"/>
      <c r="X55" s="41"/>
      <c r="Y55" s="71">
        <f>IFERROR(__xludf.DUMMYFUNCTION("""COMPUTED_VALUE"""),93890.0)</f>
        <v>93890</v>
      </c>
      <c r="Z55" s="41">
        <f>IFERROR(__xludf.DUMMYFUNCTION("""COMPUTED_VALUE"""),623201.0)</f>
        <v>623201</v>
      </c>
      <c r="AA55" s="41" t="str">
        <f>IFERROR(__xludf.DUMMYFUNCTION("""COMPUTED_VALUE"""),"研發中心")</f>
        <v>研發中心</v>
      </c>
      <c r="AB55" s="70" t="str">
        <f>IFERROR(__xludf.DUMMYFUNCTION("""COMPUTED_VALUE"""),"執行長室 : 研發中心 : 研發中心")</f>
        <v>執行長室 : 研發中心 : 研發中心</v>
      </c>
      <c r="AC55" s="70" t="str">
        <f>IFERROR(__xludf.DUMMYFUNCTION("""COMPUTED_VALUE"""),"No_Product_Line")</f>
        <v>No_Product_Line</v>
      </c>
      <c r="AD55" s="70" t="str">
        <f>IFERROR(__xludf.DUMMYFUNCTION("""COMPUTED_VALUE"""),"Baseline")</f>
        <v>Baseline</v>
      </c>
      <c r="AE55" s="70" t="str">
        <f>IFERROR(__xludf.DUMMYFUNCTION("""COMPUTED_VALUE"""),"Baseline")</f>
        <v>Baseline</v>
      </c>
      <c r="AF55" s="71">
        <f>IFERROR(__xludf.DUMMYFUNCTION("""COMPUTED_VALUE"""),225420.0)</f>
        <v>225420</v>
      </c>
      <c r="AG55" s="71">
        <f>IFERROR(__xludf.DUMMYFUNCTION("""COMPUTED_VALUE"""),12.0)</f>
        <v>12</v>
      </c>
      <c r="AH55" s="71">
        <f>IFERROR(__xludf.DUMMYFUNCTION("""COMPUTED_VALUE"""),131530.0)</f>
        <v>131530</v>
      </c>
      <c r="AI55" s="71">
        <f>IFERROR(__xludf.DUMMYFUNCTION("""COMPUTED_VALUE"""),0.0)</f>
        <v>0</v>
      </c>
      <c r="AJ55" s="41"/>
      <c r="AK55" s="41"/>
      <c r="AL55" s="71">
        <f>IFERROR(__xludf.DUMMYFUNCTION("""COMPUTED_VALUE"""),18868.0)</f>
        <v>18868</v>
      </c>
      <c r="AM55" s="71">
        <f>IFERROR(__xludf.DUMMYFUNCTION("""COMPUTED_VALUE"""),18777.0)</f>
        <v>18777</v>
      </c>
      <c r="AN55" s="71">
        <f>IFERROR(__xludf.DUMMYFUNCTION("""COMPUTED_VALUE"""),18777.0)</f>
        <v>18777</v>
      </c>
      <c r="AO55" s="71">
        <f>IFERROR(__xludf.DUMMYFUNCTION("""COMPUTED_VALUE"""),18777.0)</f>
        <v>18777</v>
      </c>
      <c r="AP55" s="71">
        <f>IFERROR(__xludf.DUMMYFUNCTION("""COMPUTED_VALUE"""),18777.0)</f>
        <v>18777</v>
      </c>
      <c r="AQ55" s="71">
        <f>IFERROR(__xludf.DUMMYFUNCTION("""COMPUTED_VALUE"""),18777.0)</f>
        <v>18777</v>
      </c>
      <c r="AR55" s="71">
        <f>IFERROR(__xludf.DUMMYFUNCTION("""COMPUTED_VALUE"""),18777.0)</f>
        <v>18777</v>
      </c>
      <c r="AS55" s="71">
        <f>IFERROR(__xludf.DUMMYFUNCTION("""COMPUTED_VALUE"""),18777.0)</f>
        <v>18777</v>
      </c>
      <c r="AT55" s="71">
        <f>IFERROR(__xludf.DUMMYFUNCTION("""COMPUTED_VALUE"""),18777.0)</f>
        <v>18777</v>
      </c>
      <c r="AU55" s="71">
        <f>IFERROR(__xludf.DUMMYFUNCTION("""COMPUTED_VALUE"""),18777.0)</f>
        <v>18777</v>
      </c>
      <c r="AV55" s="71">
        <f>IFERROR(__xludf.DUMMYFUNCTION("""COMPUTED_VALUE"""),18777.0)</f>
        <v>18777</v>
      </c>
      <c r="AW55" s="71">
        <f>IFERROR(__xludf.DUMMYFUNCTION("""COMPUTED_VALUE"""),18782.0)</f>
        <v>18782</v>
      </c>
      <c r="AX55" s="41"/>
      <c r="AY55" s="41"/>
      <c r="AZ55" s="41"/>
    </row>
    <row r="56">
      <c r="B56" s="41"/>
      <c r="C56" s="41"/>
      <c r="D56" s="41"/>
      <c r="E56" s="41"/>
      <c r="F56" s="41"/>
      <c r="G56" s="41"/>
      <c r="H56" s="41"/>
      <c r="I56" s="41">
        <f>IFERROR(__xludf.DUMMYFUNCTION("""COMPUTED_VALUE"""),52.0)</f>
        <v>52</v>
      </c>
      <c r="J56" s="41"/>
      <c r="K56" s="41" t="str">
        <f>IFERROR(__xludf.DUMMYFUNCTION("""COMPUTED_VALUE"""),"Y")</f>
        <v>Y</v>
      </c>
      <c r="L56" s="41"/>
      <c r="M56" s="41" t="str">
        <f>IFERROR(__xludf.DUMMYFUNCTION("""COMPUTED_VALUE"""),"Journal")</f>
        <v>Journal</v>
      </c>
      <c r="N56" s="66">
        <f>IFERROR(__xludf.DUMMYFUNCTION("""COMPUTED_VALUE"""),45765.0)</f>
        <v>45765</v>
      </c>
      <c r="O56" s="41">
        <f>IFERROR(__xludf.DUMMYFUNCTION("""COMPUTED_VALUE"""),16966.0)</f>
        <v>16966</v>
      </c>
      <c r="P56" s="41"/>
      <c r="Q56" s="41"/>
      <c r="R56" s="41"/>
      <c r="S56" s="41"/>
      <c r="T56" s="41"/>
      <c r="U56" s="41" t="str">
        <f>IFERROR(__xludf.DUMMYFUNCTION("""COMPUTED_VALUE"""),"林于庭_20250409_ Yourator 2025-04-10 到 2025-10-09 刊登費")</f>
        <v>林于庭_20250409_ Yourator 2025-04-10 到 2025-10-09 刊登費</v>
      </c>
      <c r="V56" s="41"/>
      <c r="W56" s="41"/>
      <c r="X56" s="41"/>
      <c r="Y56" s="71">
        <f>IFERROR(__xludf.DUMMYFUNCTION("""COMPUTED_VALUE"""),0.0)</f>
        <v>0</v>
      </c>
      <c r="Z56" s="41">
        <f>IFERROR(__xludf.DUMMYFUNCTION("""COMPUTED_VALUE"""),6117.0)</f>
        <v>6117</v>
      </c>
      <c r="AA56" s="41" t="str">
        <f>IFERROR(__xludf.DUMMYFUNCTION("""COMPUTED_VALUE"""),"管理中心")</f>
        <v>管理中心</v>
      </c>
      <c r="AB56" s="70" t="str">
        <f>IFERROR(__xludf.DUMMYFUNCTION("""COMPUTED_VALUE"""),"執行長室 : 管理中心 : 人力資源部 : 人力資源團隊")</f>
        <v>執行長室 : 管理中心 : 人力資源部 : 人力資源團隊</v>
      </c>
      <c r="AC56" s="70" t="str">
        <f>IFERROR(__xludf.DUMMYFUNCTION("""COMPUTED_VALUE"""),"No_Product_Line")</f>
        <v>No_Product_Line</v>
      </c>
      <c r="AD56" s="70" t="str">
        <f>IFERROR(__xludf.DUMMYFUNCTION("""COMPUTED_VALUE"""),"Baseline")</f>
        <v>Baseline</v>
      </c>
      <c r="AE56" s="70" t="str">
        <f>IFERROR(__xludf.DUMMYFUNCTION("""COMPUTED_VALUE"""),"Baseline")</f>
        <v>Baseline</v>
      </c>
      <c r="AF56" s="71">
        <f>IFERROR(__xludf.DUMMYFUNCTION("""COMPUTED_VALUE"""),16000.0)</f>
        <v>16000</v>
      </c>
      <c r="AG56" s="71">
        <f>IFERROR(__xludf.DUMMYFUNCTION("""COMPUTED_VALUE"""),6.0)</f>
        <v>6</v>
      </c>
      <c r="AH56" s="71">
        <f>IFERROR(__xludf.DUMMYFUNCTION("""COMPUTED_VALUE"""),16000.0)</f>
        <v>16000</v>
      </c>
      <c r="AI56" s="71">
        <f>IFERROR(__xludf.DUMMYFUNCTION("""COMPUTED_VALUE"""),0.0)</f>
        <v>0</v>
      </c>
      <c r="AJ56" s="41"/>
      <c r="AK56" s="41"/>
      <c r="AL56" s="41"/>
      <c r="AM56" s="71">
        <f>IFERROR(__xludf.DUMMYFUNCTION("""COMPUTED_VALUE"""),2666.0)</f>
        <v>2666</v>
      </c>
      <c r="AN56" s="71">
        <f>IFERROR(__xludf.DUMMYFUNCTION("""COMPUTED_VALUE"""),2666.0)</f>
        <v>2666</v>
      </c>
      <c r="AO56" s="71">
        <f>IFERROR(__xludf.DUMMYFUNCTION("""COMPUTED_VALUE"""),2666.0)</f>
        <v>2666</v>
      </c>
      <c r="AP56" s="71">
        <f>IFERROR(__xludf.DUMMYFUNCTION("""COMPUTED_VALUE"""),2666.0)</f>
        <v>2666</v>
      </c>
      <c r="AQ56" s="71">
        <f>IFERROR(__xludf.DUMMYFUNCTION("""COMPUTED_VALUE"""),2666.0)</f>
        <v>2666</v>
      </c>
      <c r="AR56" s="71">
        <f>IFERROR(__xludf.DUMMYFUNCTION("""COMPUTED_VALUE"""),2670.0)</f>
        <v>2670</v>
      </c>
      <c r="AS56" s="41"/>
      <c r="AT56" s="41"/>
      <c r="AU56" s="41"/>
      <c r="AV56" s="41"/>
      <c r="AW56" s="41"/>
      <c r="AX56" s="41"/>
      <c r="AY56" s="41"/>
      <c r="AZ56" s="41"/>
    </row>
    <row r="57">
      <c r="B57" s="41"/>
      <c r="C57" s="41"/>
      <c r="D57" s="41"/>
      <c r="E57" s="41"/>
      <c r="F57" s="41"/>
      <c r="G57" s="41"/>
      <c r="H57" s="41"/>
      <c r="I57" s="41">
        <f>IFERROR(__xludf.DUMMYFUNCTION("""COMPUTED_VALUE"""),53.0)</f>
        <v>53</v>
      </c>
      <c r="J57" s="41"/>
      <c r="K57" s="41"/>
      <c r="L57" s="41"/>
      <c r="M57" s="41" t="str">
        <f>IFERROR(__xludf.DUMMYFUNCTION("""COMPUTED_VALUE"""),"Journal")</f>
        <v>Journal</v>
      </c>
      <c r="N57" s="66">
        <f>IFERROR(__xludf.DUMMYFUNCTION("""COMPUTED_VALUE"""),45777.0)</f>
        <v>45777</v>
      </c>
      <c r="O57" s="41">
        <f>IFERROR(__xludf.DUMMYFUNCTION("""COMPUTED_VALUE"""),17141.0)</f>
        <v>17141</v>
      </c>
      <c r="P57" s="41"/>
      <c r="Q57" s="41"/>
      <c r="R57" s="41"/>
      <c r="S57" s="41"/>
      <c r="T57" s="41"/>
      <c r="U57" s="41" t="str">
        <f>IFERROR(__xludf.DUMMYFUNCTION("""COMPUTED_VALUE"""),"資廚管理顧問股份有限公司(公司卡)_Cursor 年費_202503 (5/16扣款)(20250330-20260209)(沖)ER5637")</f>
        <v>資廚管理顧問股份有限公司(公司卡)_Cursor 年費_202503 (5/16扣款)(20250330-20260209)(沖)ER5637</v>
      </c>
      <c r="V57" s="41"/>
      <c r="W57" s="41"/>
      <c r="X57" s="41"/>
      <c r="Y57" s="71">
        <f>IFERROR(__xludf.DUMMYFUNCTION("""COMPUTED_VALUE"""),3998.0)</f>
        <v>3998</v>
      </c>
      <c r="Z57" s="41">
        <f>IFERROR(__xludf.DUMMYFUNCTION("""COMPUTED_VALUE"""),520001.0)</f>
        <v>520001</v>
      </c>
      <c r="AA57" s="41" t="str">
        <f>IFERROR(__xludf.DUMMYFUNCTION("""COMPUTED_VALUE"""),"研發中心")</f>
        <v>研發中心</v>
      </c>
      <c r="AB57" s="70" t="str">
        <f>IFERROR(__xludf.DUMMYFUNCTION("""COMPUTED_VALUE"""),"執行長室 : 研發中心 : 軟體工程部")</f>
        <v>執行長室 : 研發中心 : 軟體工程部</v>
      </c>
      <c r="AC57" s="70" t="str">
        <f>IFERROR(__xludf.DUMMYFUNCTION("""COMPUTED_VALUE"""),"No_Product_Line")</f>
        <v>No_Product_Line</v>
      </c>
      <c r="AD57" s="70" t="str">
        <f>IFERROR(__xludf.DUMMYFUNCTION("""COMPUTED_VALUE"""),"Baseline")</f>
        <v>Baseline</v>
      </c>
      <c r="AE57" s="70" t="str">
        <f>IFERROR(__xludf.DUMMYFUNCTION("""COMPUTED_VALUE"""),"Baseline")</f>
        <v>Baseline</v>
      </c>
      <c r="AF57" s="71">
        <f>IFERROR(__xludf.DUMMYFUNCTION("""COMPUTED_VALUE"""),9998.0)</f>
        <v>9998</v>
      </c>
      <c r="AG57" s="71">
        <f>IFERROR(__xludf.DUMMYFUNCTION("""COMPUTED_VALUE"""),12.0)</f>
        <v>12</v>
      </c>
      <c r="AH57" s="71">
        <f>IFERROR(__xludf.DUMMYFUNCTION("""COMPUTED_VALUE"""),6000.0)</f>
        <v>6000</v>
      </c>
      <c r="AI57" s="71">
        <f>IFERROR(__xludf.DUMMYFUNCTION("""COMPUTED_VALUE"""),0.0)</f>
        <v>0</v>
      </c>
      <c r="AJ57" s="41"/>
      <c r="AK57" s="41"/>
      <c r="AL57" s="41"/>
      <c r="AM57" s="71">
        <f>IFERROR(__xludf.DUMMYFUNCTION("""COMPUTED_VALUE"""),1000.0)</f>
        <v>1000</v>
      </c>
      <c r="AN57" s="71">
        <f>IFERROR(__xludf.DUMMYFUNCTION("""COMPUTED_VALUE"""),1000.0)</f>
        <v>1000</v>
      </c>
      <c r="AO57" s="71">
        <f>IFERROR(__xludf.DUMMYFUNCTION("""COMPUTED_VALUE"""),1000.0)</f>
        <v>1000</v>
      </c>
      <c r="AP57" s="71">
        <f>IFERROR(__xludf.DUMMYFUNCTION("""COMPUTED_VALUE"""),1000.0)</f>
        <v>1000</v>
      </c>
      <c r="AQ57" s="71">
        <f>IFERROR(__xludf.DUMMYFUNCTION("""COMPUTED_VALUE"""),1000.0)</f>
        <v>1000</v>
      </c>
      <c r="AR57" s="71">
        <f>IFERROR(__xludf.DUMMYFUNCTION("""COMPUTED_VALUE"""),1000.0)</f>
        <v>1000</v>
      </c>
      <c r="AS57" s="71">
        <f>IFERROR(__xludf.DUMMYFUNCTION("""COMPUTED_VALUE"""),1000.0)</f>
        <v>1000</v>
      </c>
      <c r="AT57" s="71">
        <f>IFERROR(__xludf.DUMMYFUNCTION("""COMPUTED_VALUE"""),1000.0)</f>
        <v>1000</v>
      </c>
      <c r="AU57" s="71">
        <f>IFERROR(__xludf.DUMMYFUNCTION("""COMPUTED_VALUE"""),1000.0)</f>
        <v>1000</v>
      </c>
      <c r="AV57" s="71">
        <f>IFERROR(__xludf.DUMMYFUNCTION("""COMPUTED_VALUE"""),998.0)</f>
        <v>998</v>
      </c>
      <c r="AW57" s="41"/>
      <c r="AX57" s="41"/>
      <c r="AY57" s="41"/>
      <c r="AZ57" s="41"/>
    </row>
    <row r="58">
      <c r="B58" s="41"/>
      <c r="C58" s="41"/>
      <c r="D58" s="41"/>
      <c r="E58" s="41"/>
      <c r="F58" s="41"/>
      <c r="G58" s="41"/>
      <c r="H58" s="41"/>
      <c r="I58" s="41">
        <f>IFERROR(__xludf.DUMMYFUNCTION("""COMPUTED_VALUE"""),54.0)</f>
        <v>54</v>
      </c>
      <c r="J58" s="41"/>
      <c r="K58" s="41"/>
      <c r="L58" s="41"/>
      <c r="M58" s="41" t="str">
        <f>IFERROR(__xludf.DUMMYFUNCTION("""COMPUTED_VALUE"""),"Journal")</f>
        <v>Journal</v>
      </c>
      <c r="N58" s="66">
        <f>IFERROR(__xludf.DUMMYFUNCTION("""COMPUTED_VALUE"""),45777.0)</f>
        <v>45777</v>
      </c>
      <c r="O58" s="41">
        <f>IFERROR(__xludf.DUMMYFUNCTION("""COMPUTED_VALUE"""),17141.0)</f>
        <v>17141</v>
      </c>
      <c r="P58" s="41"/>
      <c r="Q58" s="41"/>
      <c r="R58" s="41"/>
      <c r="S58" s="41"/>
      <c r="T58" s="41"/>
      <c r="U58" s="41" t="str">
        <f>IFERROR(__xludf.DUMMYFUNCTION("""COMPUTED_VALUE"""),"資廚(公司卡) 202502 Cursor AI 程式碼編輯器(20250209-20260209)(沖)ER5384")</f>
        <v>資廚(公司卡) 202502 Cursor AI 程式碼編輯器(20250209-20260209)(沖)ER5384</v>
      </c>
      <c r="V58" s="41"/>
      <c r="W58" s="41"/>
      <c r="X58" s="41"/>
      <c r="Y58" s="71">
        <f>IFERROR(__xludf.DUMMYFUNCTION("""COMPUTED_VALUE"""),4011.0)</f>
        <v>4011</v>
      </c>
      <c r="Z58" s="41">
        <f>IFERROR(__xludf.DUMMYFUNCTION("""COMPUTED_VALUE"""),520001.0)</f>
        <v>520001</v>
      </c>
      <c r="AA58" s="41" t="str">
        <f>IFERROR(__xludf.DUMMYFUNCTION("""COMPUTED_VALUE"""),"研發中心")</f>
        <v>研發中心</v>
      </c>
      <c r="AB58" s="70" t="str">
        <f>IFERROR(__xludf.DUMMYFUNCTION("""COMPUTED_VALUE"""),"執行長室 : 研發中心 : 軟體工程部")</f>
        <v>執行長室 : 研發中心 : 軟體工程部</v>
      </c>
      <c r="AC58" s="70" t="str">
        <f>IFERROR(__xludf.DUMMYFUNCTION("""COMPUTED_VALUE"""),"No_Product_Line")</f>
        <v>No_Product_Line</v>
      </c>
      <c r="AD58" s="70" t="str">
        <f>IFERROR(__xludf.DUMMYFUNCTION("""COMPUTED_VALUE"""),"Baseline")</f>
        <v>Baseline</v>
      </c>
      <c r="AE58" s="70" t="str">
        <f>IFERROR(__xludf.DUMMYFUNCTION("""COMPUTED_VALUE"""),"Baseline")</f>
        <v>Baseline</v>
      </c>
      <c r="AF58" s="71">
        <f>IFERROR(__xludf.DUMMYFUNCTION("""COMPUTED_VALUE"""),11026.0)</f>
        <v>11026</v>
      </c>
      <c r="AG58" s="71">
        <f>IFERROR(__xludf.DUMMYFUNCTION("""COMPUTED_VALUE"""),12.0)</f>
        <v>12</v>
      </c>
      <c r="AH58" s="71">
        <f>IFERROR(__xludf.DUMMYFUNCTION("""COMPUTED_VALUE"""),7015.0)</f>
        <v>7015</v>
      </c>
      <c r="AI58" s="71">
        <f>IFERROR(__xludf.DUMMYFUNCTION("""COMPUTED_VALUE"""),0.0)</f>
        <v>0</v>
      </c>
      <c r="AJ58" s="41"/>
      <c r="AK58" s="41"/>
      <c r="AL58" s="41"/>
      <c r="AM58" s="71">
        <f>IFERROR(__xludf.DUMMYFUNCTION("""COMPUTED_VALUE"""),2005.0)</f>
        <v>2005</v>
      </c>
      <c r="AN58" s="71">
        <f>IFERROR(__xludf.DUMMYFUNCTION("""COMPUTED_VALUE"""),1002.0)</f>
        <v>1002</v>
      </c>
      <c r="AO58" s="71">
        <f>IFERROR(__xludf.DUMMYFUNCTION("""COMPUTED_VALUE"""),1002.0)</f>
        <v>1002</v>
      </c>
      <c r="AP58" s="71">
        <f>IFERROR(__xludf.DUMMYFUNCTION("""COMPUTED_VALUE"""),1002.0)</f>
        <v>1002</v>
      </c>
      <c r="AQ58" s="71">
        <f>IFERROR(__xludf.DUMMYFUNCTION("""COMPUTED_VALUE"""),1002.0)</f>
        <v>1002</v>
      </c>
      <c r="AR58" s="71">
        <f>IFERROR(__xludf.DUMMYFUNCTION("""COMPUTED_VALUE"""),1002.0)</f>
        <v>1002</v>
      </c>
      <c r="AS58" s="71">
        <f>IFERROR(__xludf.DUMMYFUNCTION("""COMPUTED_VALUE"""),1002.0)</f>
        <v>1002</v>
      </c>
      <c r="AT58" s="71">
        <f>IFERROR(__xludf.DUMMYFUNCTION("""COMPUTED_VALUE"""),1002.0)</f>
        <v>1002</v>
      </c>
      <c r="AU58" s="71">
        <f>IFERROR(__xludf.DUMMYFUNCTION("""COMPUTED_VALUE"""),1002.0)</f>
        <v>1002</v>
      </c>
      <c r="AV58" s="71">
        <f>IFERROR(__xludf.DUMMYFUNCTION("""COMPUTED_VALUE"""),1005.0)</f>
        <v>1005</v>
      </c>
      <c r="AW58" s="41"/>
      <c r="AX58" s="41"/>
      <c r="AY58" s="41"/>
      <c r="AZ58" s="41"/>
    </row>
    <row r="59">
      <c r="B59" s="41"/>
      <c r="C59" s="41"/>
      <c r="D59" s="41"/>
      <c r="E59" s="41"/>
      <c r="F59" s="41"/>
      <c r="G59" s="41"/>
      <c r="H59" s="41"/>
      <c r="I59" s="41">
        <f>IFERROR(__xludf.DUMMYFUNCTION("""COMPUTED_VALUE"""),55.0)</f>
        <v>55</v>
      </c>
      <c r="J59" s="41"/>
      <c r="K59" s="41"/>
      <c r="L59" s="41"/>
      <c r="M59" s="41" t="str">
        <f>IFERROR(__xludf.DUMMYFUNCTION("""COMPUTED_VALUE"""),"Journal")</f>
        <v>Journal</v>
      </c>
      <c r="N59" s="66">
        <f>IFERROR(__xludf.DUMMYFUNCTION("""COMPUTED_VALUE"""),45777.0)</f>
        <v>45777</v>
      </c>
      <c r="O59" s="41">
        <f>IFERROR(__xludf.DUMMYFUNCTION("""COMPUTED_VALUE"""),17141.0)</f>
        <v>17141</v>
      </c>
      <c r="P59" s="41"/>
      <c r="Q59" s="41"/>
      <c r="R59" s="41"/>
      <c r="S59" s="41"/>
      <c r="T59" s="41"/>
      <c r="U59" s="41" t="str">
        <f>IFERROR(__xludf.DUMMYFUNCTION("""COMPUTED_VALUE"""),"資廚管理顧問股份有限公司(公司卡)_Cursor 年費_202503 (5/16扣款)(20250330-20260209)(沖)ER5637")</f>
        <v>資廚管理顧問股份有限公司(公司卡)_Cursor 年費_202503 (5/16扣款)(20250330-20260209)(沖)ER5637</v>
      </c>
      <c r="V59" s="41"/>
      <c r="W59" s="41"/>
      <c r="X59" s="41"/>
      <c r="Y59" s="71">
        <f>IFERROR(__xludf.DUMMYFUNCTION("""COMPUTED_VALUE"""),4007.0)</f>
        <v>4007</v>
      </c>
      <c r="Z59" s="41">
        <f>IFERROR(__xludf.DUMMYFUNCTION("""COMPUTED_VALUE"""),520001.0)</f>
        <v>520001</v>
      </c>
      <c r="AA59" s="41" t="str">
        <f>IFERROR(__xludf.DUMMYFUNCTION("""COMPUTED_VALUE"""),"研發中心")</f>
        <v>研發中心</v>
      </c>
      <c r="AB59" s="70" t="str">
        <f>IFERROR(__xludf.DUMMYFUNCTION("""COMPUTED_VALUE"""),"執行長室 : 研發中心 : 軟體工程部")</f>
        <v>執行長室 : 研發中心 : 軟體工程部</v>
      </c>
      <c r="AC59" s="70" t="str">
        <f>IFERROR(__xludf.DUMMYFUNCTION("""COMPUTED_VALUE"""),"No_Product_Line")</f>
        <v>No_Product_Line</v>
      </c>
      <c r="AD59" s="70" t="str">
        <f>IFERROR(__xludf.DUMMYFUNCTION("""COMPUTED_VALUE"""),"Baseline")</f>
        <v>Baseline</v>
      </c>
      <c r="AE59" s="70" t="str">
        <f>IFERROR(__xludf.DUMMYFUNCTION("""COMPUTED_VALUE"""),"Baseline")</f>
        <v>Baseline</v>
      </c>
      <c r="AF59" s="71">
        <f>IFERROR(__xludf.DUMMYFUNCTION("""COMPUTED_VALUE"""),11022.0)</f>
        <v>11022</v>
      </c>
      <c r="AG59" s="71">
        <f>IFERROR(__xludf.DUMMYFUNCTION("""COMPUTED_VALUE"""),11.0)</f>
        <v>11</v>
      </c>
      <c r="AH59" s="71">
        <f>IFERROR(__xludf.DUMMYFUNCTION("""COMPUTED_VALUE"""),7015.0)</f>
        <v>7015</v>
      </c>
      <c r="AI59" s="71">
        <f>IFERROR(__xludf.DUMMYFUNCTION("""COMPUTED_VALUE"""),0.0)</f>
        <v>0</v>
      </c>
      <c r="AJ59" s="41"/>
      <c r="AK59" s="41"/>
      <c r="AL59" s="41"/>
      <c r="AM59" s="71">
        <f>IFERROR(__xludf.DUMMYFUNCTION("""COMPUTED_VALUE"""),2005.0)</f>
        <v>2005</v>
      </c>
      <c r="AN59" s="71">
        <f>IFERROR(__xludf.DUMMYFUNCTION("""COMPUTED_VALUE"""),1002.0)</f>
        <v>1002</v>
      </c>
      <c r="AO59" s="71">
        <f>IFERROR(__xludf.DUMMYFUNCTION("""COMPUTED_VALUE"""),1002.0)</f>
        <v>1002</v>
      </c>
      <c r="AP59" s="71">
        <f>IFERROR(__xludf.DUMMYFUNCTION("""COMPUTED_VALUE"""),1002.0)</f>
        <v>1002</v>
      </c>
      <c r="AQ59" s="71">
        <f>IFERROR(__xludf.DUMMYFUNCTION("""COMPUTED_VALUE"""),1002.0)</f>
        <v>1002</v>
      </c>
      <c r="AR59" s="71">
        <f>IFERROR(__xludf.DUMMYFUNCTION("""COMPUTED_VALUE"""),1002.0)</f>
        <v>1002</v>
      </c>
      <c r="AS59" s="71">
        <f>IFERROR(__xludf.DUMMYFUNCTION("""COMPUTED_VALUE"""),1002.0)</f>
        <v>1002</v>
      </c>
      <c r="AT59" s="71">
        <f>IFERROR(__xludf.DUMMYFUNCTION("""COMPUTED_VALUE"""),1002.0)</f>
        <v>1002</v>
      </c>
      <c r="AU59" s="71">
        <f>IFERROR(__xludf.DUMMYFUNCTION("""COMPUTED_VALUE"""),1002.0)</f>
        <v>1002</v>
      </c>
      <c r="AV59" s="71">
        <f>IFERROR(__xludf.DUMMYFUNCTION("""COMPUTED_VALUE"""),1001.0)</f>
        <v>1001</v>
      </c>
      <c r="AW59" s="41"/>
      <c r="AX59" s="41"/>
      <c r="AY59" s="41"/>
      <c r="AZ59" s="41"/>
    </row>
    <row r="60">
      <c r="B60" s="41"/>
      <c r="C60" s="41"/>
      <c r="D60" s="41"/>
      <c r="E60" s="41"/>
      <c r="F60" s="41"/>
      <c r="G60" s="41"/>
      <c r="H60" s="41"/>
      <c r="I60" s="41">
        <f>IFERROR(__xludf.DUMMYFUNCTION("""COMPUTED_VALUE"""),56.0)</f>
        <v>56</v>
      </c>
      <c r="J60" s="41"/>
      <c r="K60" s="41"/>
      <c r="L60" s="41"/>
      <c r="M60" s="41" t="str">
        <f>IFERROR(__xludf.DUMMYFUNCTION("""COMPUTED_VALUE"""),"Journal")</f>
        <v>Journal</v>
      </c>
      <c r="N60" s="66">
        <f>IFERROR(__xludf.DUMMYFUNCTION("""COMPUTED_VALUE"""),45777.0)</f>
        <v>45777</v>
      </c>
      <c r="O60" s="41">
        <f>IFERROR(__xludf.DUMMYFUNCTION("""COMPUTED_VALUE"""),17141.0)</f>
        <v>17141</v>
      </c>
      <c r="P60" s="41"/>
      <c r="Q60" s="41"/>
      <c r="R60" s="41"/>
      <c r="S60" s="41"/>
      <c r="T60" s="41"/>
      <c r="U60" s="41" t="str">
        <f>IFERROR(__xludf.DUMMYFUNCTION("""COMPUTED_VALUE"""),"資廚管理顧問股份有限公司(公司卡) 202504 Cursor 年費(20250413-20260209)(預估)(沖)J17135")</f>
        <v>資廚管理顧問股份有限公司(公司卡) 202504 Cursor 年費(20250413-20260209)(預估)(沖)J17135</v>
      </c>
      <c r="V60" s="41"/>
      <c r="W60" s="41"/>
      <c r="X60" s="41"/>
      <c r="Y60" s="71">
        <f>IFERROR(__xludf.DUMMYFUNCTION("""COMPUTED_VALUE"""),4108.0)</f>
        <v>4108</v>
      </c>
      <c r="Z60" s="41">
        <f>IFERROR(__xludf.DUMMYFUNCTION("""COMPUTED_VALUE"""),520001.0)</f>
        <v>520001</v>
      </c>
      <c r="AA60" s="41" t="str">
        <f>IFERROR(__xludf.DUMMYFUNCTION("""COMPUTED_VALUE"""),"研發中心")</f>
        <v>研發中心</v>
      </c>
      <c r="AB60" s="70" t="str">
        <f>IFERROR(__xludf.DUMMYFUNCTION("""COMPUTED_VALUE"""),"執行長室 : 研發中心 : 軟體工程部")</f>
        <v>執行長室 : 研發中心 : 軟體工程部</v>
      </c>
      <c r="AC60" s="70" t="str">
        <f>IFERROR(__xludf.DUMMYFUNCTION("""COMPUTED_VALUE"""),"No_Product_Line")</f>
        <v>No_Product_Line</v>
      </c>
      <c r="AD60" s="70" t="str">
        <f>IFERROR(__xludf.DUMMYFUNCTION("""COMPUTED_VALUE"""),"Baseline")</f>
        <v>Baseline</v>
      </c>
      <c r="AE60" s="70" t="str">
        <f>IFERROR(__xludf.DUMMYFUNCTION("""COMPUTED_VALUE"""),"Baseline")</f>
        <v>Baseline</v>
      </c>
      <c r="AF60" s="71">
        <f>IFERROR(__xludf.DUMMYFUNCTION("""COMPUTED_VALUE"""),10270.0)</f>
        <v>10270</v>
      </c>
      <c r="AG60" s="71">
        <f>IFERROR(__xludf.DUMMYFUNCTION("""COMPUTED_VALUE"""),10.0)</f>
        <v>10</v>
      </c>
      <c r="AH60" s="71">
        <f>IFERROR(__xludf.DUMMYFUNCTION("""COMPUTED_VALUE"""),6162.0)</f>
        <v>6162</v>
      </c>
      <c r="AI60" s="71">
        <f>IFERROR(__xludf.DUMMYFUNCTION("""COMPUTED_VALUE"""),0.0)</f>
        <v>0</v>
      </c>
      <c r="AJ60" s="41"/>
      <c r="AK60" s="41"/>
      <c r="AL60" s="41"/>
      <c r="AM60" s="71">
        <f>IFERROR(__xludf.DUMMYFUNCTION("""COMPUTED_VALUE"""),1027.0)</f>
        <v>1027</v>
      </c>
      <c r="AN60" s="71">
        <f>IFERROR(__xludf.DUMMYFUNCTION("""COMPUTED_VALUE"""),1027.0)</f>
        <v>1027</v>
      </c>
      <c r="AO60" s="71">
        <f>IFERROR(__xludf.DUMMYFUNCTION("""COMPUTED_VALUE"""),1027.0)</f>
        <v>1027</v>
      </c>
      <c r="AP60" s="71">
        <f>IFERROR(__xludf.DUMMYFUNCTION("""COMPUTED_VALUE"""),1027.0)</f>
        <v>1027</v>
      </c>
      <c r="AQ60" s="71">
        <f>IFERROR(__xludf.DUMMYFUNCTION("""COMPUTED_VALUE"""),1027.0)</f>
        <v>1027</v>
      </c>
      <c r="AR60" s="71">
        <f>IFERROR(__xludf.DUMMYFUNCTION("""COMPUTED_VALUE"""),1027.0)</f>
        <v>1027</v>
      </c>
      <c r="AS60" s="71">
        <f>IFERROR(__xludf.DUMMYFUNCTION("""COMPUTED_VALUE"""),1027.0)</f>
        <v>1027</v>
      </c>
      <c r="AT60" s="71">
        <f>IFERROR(__xludf.DUMMYFUNCTION("""COMPUTED_VALUE"""),1027.0)</f>
        <v>1027</v>
      </c>
      <c r="AU60" s="71">
        <f>IFERROR(__xludf.DUMMYFUNCTION("""COMPUTED_VALUE"""),1027.0)</f>
        <v>1027</v>
      </c>
      <c r="AV60" s="71">
        <f>IFERROR(__xludf.DUMMYFUNCTION("""COMPUTED_VALUE"""),1027.0)</f>
        <v>1027</v>
      </c>
      <c r="AW60" s="41"/>
      <c r="AX60" s="41"/>
      <c r="AY60" s="41"/>
      <c r="AZ60" s="41"/>
    </row>
    <row r="61">
      <c r="B61" s="41"/>
      <c r="C61" s="41"/>
      <c r="D61" s="41"/>
      <c r="E61" s="41"/>
      <c r="F61" s="41"/>
      <c r="G61" s="41"/>
      <c r="H61" s="41"/>
      <c r="I61" s="41">
        <f>IFERROR(__xludf.DUMMYFUNCTION("""COMPUTED_VALUE"""),57.0)</f>
        <v>57</v>
      </c>
      <c r="J61" s="41"/>
      <c r="K61" s="41"/>
      <c r="L61" s="41"/>
      <c r="M61" s="41" t="str">
        <f>IFERROR(__xludf.DUMMYFUNCTION("""COMPUTED_VALUE"""),"Journal")</f>
        <v>Journal</v>
      </c>
      <c r="N61" s="66">
        <f>IFERROR(__xludf.DUMMYFUNCTION("""COMPUTED_VALUE"""),45777.0)</f>
        <v>45777</v>
      </c>
      <c r="O61" s="41">
        <f>IFERROR(__xludf.DUMMYFUNCTION("""COMPUTED_VALUE"""),17141.0)</f>
        <v>17141</v>
      </c>
      <c r="P61" s="41"/>
      <c r="Q61" s="41"/>
      <c r="R61" s="41"/>
      <c r="S61" s="41"/>
      <c r="T61" s="41"/>
      <c r="U61" s="41" t="str">
        <f>IFERROR(__xludf.DUMMYFUNCTION("""COMPUTED_VALUE"""),"資廚管理顧問股份有限公司(公司卡) 202504 Cursor 年費(20250414-20260209(預估)(沖)J17135")</f>
        <v>資廚管理顧問股份有限公司(公司卡) 202504 Cursor 年費(20250414-20260209(預估)(沖)J17135</v>
      </c>
      <c r="V61" s="41"/>
      <c r="W61" s="41"/>
      <c r="X61" s="41"/>
      <c r="Y61" s="71">
        <f>IFERROR(__xludf.DUMMYFUNCTION("""COMPUTED_VALUE"""),4103.0)</f>
        <v>4103</v>
      </c>
      <c r="Z61" s="41">
        <f>IFERROR(__xludf.DUMMYFUNCTION("""COMPUTED_VALUE"""),520001.0)</f>
        <v>520001</v>
      </c>
      <c r="AA61" s="41" t="str">
        <f>IFERROR(__xludf.DUMMYFUNCTION("""COMPUTED_VALUE"""),"研發中心")</f>
        <v>研發中心</v>
      </c>
      <c r="AB61" s="70" t="str">
        <f>IFERROR(__xludf.DUMMYFUNCTION("""COMPUTED_VALUE"""),"執行長室 : 研發中心 : 軟體工程部")</f>
        <v>執行長室 : 研發中心 : 軟體工程部</v>
      </c>
      <c r="AC61" s="70" t="str">
        <f>IFERROR(__xludf.DUMMYFUNCTION("""COMPUTED_VALUE"""),"No_Product_Line")</f>
        <v>No_Product_Line</v>
      </c>
      <c r="AD61" s="70" t="str">
        <f>IFERROR(__xludf.DUMMYFUNCTION("""COMPUTED_VALUE"""),"Baseline")</f>
        <v>Baseline</v>
      </c>
      <c r="AE61" s="70" t="str">
        <f>IFERROR(__xludf.DUMMYFUNCTION("""COMPUTED_VALUE"""),"Baseline")</f>
        <v>Baseline</v>
      </c>
      <c r="AF61" s="71">
        <f>IFERROR(__xludf.DUMMYFUNCTION("""COMPUTED_VALUE"""),10265.0)</f>
        <v>10265</v>
      </c>
      <c r="AG61" s="71">
        <f>IFERROR(__xludf.DUMMYFUNCTION("""COMPUTED_VALUE"""),10.0)</f>
        <v>10</v>
      </c>
      <c r="AH61" s="71">
        <f>IFERROR(__xludf.DUMMYFUNCTION("""COMPUTED_VALUE"""),6162.0)</f>
        <v>6162</v>
      </c>
      <c r="AI61" s="71">
        <f>IFERROR(__xludf.DUMMYFUNCTION("""COMPUTED_VALUE"""),0.0)</f>
        <v>0</v>
      </c>
      <c r="AJ61" s="41"/>
      <c r="AK61" s="41"/>
      <c r="AL61" s="41"/>
      <c r="AM61" s="71">
        <f>IFERROR(__xludf.DUMMYFUNCTION("""COMPUTED_VALUE"""),1027.0)</f>
        <v>1027</v>
      </c>
      <c r="AN61" s="71">
        <f>IFERROR(__xludf.DUMMYFUNCTION("""COMPUTED_VALUE"""),1027.0)</f>
        <v>1027</v>
      </c>
      <c r="AO61" s="71">
        <f>IFERROR(__xludf.DUMMYFUNCTION("""COMPUTED_VALUE"""),1027.0)</f>
        <v>1027</v>
      </c>
      <c r="AP61" s="71">
        <f>IFERROR(__xludf.DUMMYFUNCTION("""COMPUTED_VALUE"""),1027.0)</f>
        <v>1027</v>
      </c>
      <c r="AQ61" s="71">
        <f>IFERROR(__xludf.DUMMYFUNCTION("""COMPUTED_VALUE"""),1027.0)</f>
        <v>1027</v>
      </c>
      <c r="AR61" s="71">
        <f>IFERROR(__xludf.DUMMYFUNCTION("""COMPUTED_VALUE"""),1027.0)</f>
        <v>1027</v>
      </c>
      <c r="AS61" s="71">
        <f>IFERROR(__xludf.DUMMYFUNCTION("""COMPUTED_VALUE"""),1027.0)</f>
        <v>1027</v>
      </c>
      <c r="AT61" s="71">
        <f>IFERROR(__xludf.DUMMYFUNCTION("""COMPUTED_VALUE"""),1027.0)</f>
        <v>1027</v>
      </c>
      <c r="AU61" s="71">
        <f>IFERROR(__xludf.DUMMYFUNCTION("""COMPUTED_VALUE"""),1027.0)</f>
        <v>1027</v>
      </c>
      <c r="AV61" s="71">
        <f>IFERROR(__xludf.DUMMYFUNCTION("""COMPUTED_VALUE"""),1022.0)</f>
        <v>1022</v>
      </c>
      <c r="AW61" s="41"/>
      <c r="AX61" s="41"/>
      <c r="AY61" s="41"/>
      <c r="AZ61" s="41"/>
    </row>
    <row r="62">
      <c r="B62" s="41"/>
      <c r="C62" s="41"/>
      <c r="D62" s="41"/>
      <c r="E62" s="41"/>
      <c r="F62" s="41"/>
      <c r="G62" s="41"/>
      <c r="H62" s="41"/>
      <c r="I62" s="41">
        <f>IFERROR(__xludf.DUMMYFUNCTION("""COMPUTED_VALUE"""),58.0)</f>
        <v>58</v>
      </c>
      <c r="J62" s="41"/>
      <c r="K62" s="41"/>
      <c r="L62" s="41"/>
      <c r="M62" s="41" t="str">
        <f>IFERROR(__xludf.DUMMYFUNCTION("""COMPUTED_VALUE"""),"Journal")</f>
        <v>Journal</v>
      </c>
      <c r="N62" s="66">
        <f>IFERROR(__xludf.DUMMYFUNCTION("""COMPUTED_VALUE"""),45790.0)</f>
        <v>45790</v>
      </c>
      <c r="O62" s="41">
        <f>IFERROR(__xludf.DUMMYFUNCTION("""COMPUTED_VALUE"""),17308.0)</f>
        <v>17308</v>
      </c>
      <c r="P62" s="41"/>
      <c r="Q62" s="41"/>
      <c r="R62" s="41"/>
      <c r="S62" s="41"/>
      <c r="T62" s="41"/>
      <c r="U62" s="41" t="str">
        <f>IFERROR(__xludf.DUMMYFUNCTION("""COMPUTED_VALUE"""),"資廚管理顧問股份有限公司(公司卡)_202505_客服群發信件工具YET ANOTHER MAIL (20250507-20260507)")</f>
        <v>資廚管理顧問股份有限公司(公司卡)_202505_客服群發信件工具YET ANOTHER MAIL (20250507-20260507)</v>
      </c>
      <c r="V62" s="41"/>
      <c r="W62" s="41"/>
      <c r="X62" s="41"/>
      <c r="Y62" s="71">
        <f>IFERROR(__xludf.DUMMYFUNCTION("""COMPUTED_VALUE"""),697.0)</f>
        <v>697</v>
      </c>
      <c r="Z62" s="41">
        <f>IFERROR(__xludf.DUMMYFUNCTION("""COMPUTED_VALUE"""),520001.0)</f>
        <v>520001</v>
      </c>
      <c r="AA62" s="41" t="str">
        <f>IFERROR(__xludf.DUMMYFUNCTION("""COMPUTED_VALUE"""),"客戶價值中心")</f>
        <v>客戶價值中心</v>
      </c>
      <c r="AB62" s="70" t="str">
        <f>IFERROR(__xludf.DUMMYFUNCTION("""COMPUTED_VALUE"""),"執行長室 : 客戶價值中心 : 客戶關係管理部 : 客服團隊 POS/OMO")</f>
        <v>執行長室 : 客戶價值中心 : 客戶關係管理部 : 客服團隊 POS/OMO</v>
      </c>
      <c r="AC62" s="70" t="str">
        <f>IFERROR(__xludf.DUMMYFUNCTION("""COMPUTED_VALUE"""),"No_Product_Line")</f>
        <v>No_Product_Line</v>
      </c>
      <c r="AD62" s="70" t="str">
        <f>IFERROR(__xludf.DUMMYFUNCTION("""COMPUTED_VALUE"""),"Baseline")</f>
        <v>Baseline</v>
      </c>
      <c r="AE62" s="70" t="str">
        <f>IFERROR(__xludf.DUMMYFUNCTION("""COMPUTED_VALUE"""),"Baseline")</f>
        <v>Baseline</v>
      </c>
      <c r="AF62" s="71">
        <f>IFERROR(__xludf.DUMMYFUNCTION("""COMPUTED_VALUE"""),1197.0)</f>
        <v>1197</v>
      </c>
      <c r="AG62" s="71">
        <f>IFERROR(__xludf.DUMMYFUNCTION("""COMPUTED_VALUE"""),12.0)</f>
        <v>12</v>
      </c>
      <c r="AH62" s="71">
        <f>IFERROR(__xludf.DUMMYFUNCTION("""COMPUTED_VALUE"""),500.0)</f>
        <v>500</v>
      </c>
      <c r="AI62" s="71">
        <f>IFERROR(__xludf.DUMMYFUNCTION("""COMPUTED_VALUE"""),0.0)</f>
        <v>0</v>
      </c>
      <c r="AJ62" s="41"/>
      <c r="AK62" s="41"/>
      <c r="AL62" s="41"/>
      <c r="AM62" s="41"/>
      <c r="AN62" s="71">
        <f>IFERROR(__xludf.DUMMYFUNCTION("""COMPUTED_VALUE"""),100.0)</f>
        <v>100</v>
      </c>
      <c r="AO62" s="71">
        <f>IFERROR(__xludf.DUMMYFUNCTION("""COMPUTED_VALUE"""),100.0)</f>
        <v>100</v>
      </c>
      <c r="AP62" s="71">
        <f>IFERROR(__xludf.DUMMYFUNCTION("""COMPUTED_VALUE"""),100.0)</f>
        <v>100</v>
      </c>
      <c r="AQ62" s="71">
        <f>IFERROR(__xludf.DUMMYFUNCTION("""COMPUTED_VALUE"""),100.0)</f>
        <v>100</v>
      </c>
      <c r="AR62" s="71">
        <f>IFERROR(__xludf.DUMMYFUNCTION("""COMPUTED_VALUE"""),100.0)</f>
        <v>100</v>
      </c>
      <c r="AS62" s="71">
        <f>IFERROR(__xludf.DUMMYFUNCTION("""COMPUTED_VALUE"""),100.0)</f>
        <v>100</v>
      </c>
      <c r="AT62" s="71">
        <f>IFERROR(__xludf.DUMMYFUNCTION("""COMPUTED_VALUE"""),100.0)</f>
        <v>100</v>
      </c>
      <c r="AU62" s="71">
        <f>IFERROR(__xludf.DUMMYFUNCTION("""COMPUTED_VALUE"""),100.0)</f>
        <v>100</v>
      </c>
      <c r="AV62" s="71">
        <f>IFERROR(__xludf.DUMMYFUNCTION("""COMPUTED_VALUE"""),100.0)</f>
        <v>100</v>
      </c>
      <c r="AW62" s="71">
        <f>IFERROR(__xludf.DUMMYFUNCTION("""COMPUTED_VALUE"""),100.0)</f>
        <v>100</v>
      </c>
      <c r="AX62" s="71">
        <f>IFERROR(__xludf.DUMMYFUNCTION("""COMPUTED_VALUE"""),100.0)</f>
        <v>100</v>
      </c>
      <c r="AY62" s="71">
        <f>IFERROR(__xludf.DUMMYFUNCTION("""COMPUTED_VALUE"""),97.0)</f>
        <v>97</v>
      </c>
      <c r="AZ62" s="41"/>
    </row>
    <row r="63">
      <c r="B63" s="41"/>
      <c r="C63" s="41"/>
      <c r="D63" s="41"/>
      <c r="E63" s="41"/>
      <c r="F63" s="41"/>
      <c r="G63" s="41"/>
      <c r="H63" s="41"/>
      <c r="I63" s="41">
        <f>IFERROR(__xludf.DUMMYFUNCTION("""COMPUTED_VALUE"""),59.0)</f>
        <v>59</v>
      </c>
      <c r="J63" s="41" t="str">
        <f>IFERROR(__xludf.DUMMYFUNCTION("""COMPUTED_VALUE"""),"Y")</f>
        <v>Y</v>
      </c>
      <c r="K63" s="41" t="str">
        <f>IFERROR(__xludf.DUMMYFUNCTION("""COMPUTED_VALUE"""),"Y")</f>
        <v>Y</v>
      </c>
      <c r="L63" s="41"/>
      <c r="M63" s="41" t="str">
        <f>IFERROR(__xludf.DUMMYFUNCTION("""COMPUTED_VALUE"""),"Journal")</f>
        <v>Journal</v>
      </c>
      <c r="N63" s="66">
        <f>IFERROR(__xludf.DUMMYFUNCTION("""COMPUTED_VALUE"""),45790.0)</f>
        <v>45790</v>
      </c>
      <c r="O63" s="41">
        <f>IFERROR(__xludf.DUMMYFUNCTION("""COMPUTED_VALUE"""),17308.0)</f>
        <v>17308</v>
      </c>
      <c r="P63" s="41"/>
      <c r="Q63" s="41"/>
      <c r="R63" s="41"/>
      <c r="S63" s="41"/>
      <c r="T63" s="41"/>
      <c r="U63" s="41" t="str">
        <f>IFERROR(__xludf.DUMMYFUNCTION("""COMPUTED_VALUE"""),"資廚管理顧問股份有限公司(公司卡)_202505_稽核採購Adobe Standard DC (20250506- 20251123)")</f>
        <v>資廚管理顧問股份有限公司(公司卡)_202505_稽核採購Adobe Standard DC (20250506- 20251123)</v>
      </c>
      <c r="V63" s="41"/>
      <c r="W63" s="41"/>
      <c r="X63" s="41"/>
      <c r="Y63" s="71">
        <f>IFERROR(__xludf.DUMMYFUNCTION("""COMPUTED_VALUE"""),567.0)</f>
        <v>567</v>
      </c>
      <c r="Z63" s="41">
        <f>IFERROR(__xludf.DUMMYFUNCTION("""COMPUTED_VALUE"""),613201.0)</f>
        <v>613201</v>
      </c>
      <c r="AA63" s="41" t="str">
        <f>IFERROR(__xludf.DUMMYFUNCTION("""COMPUTED_VALUE"""),"執行長室")</f>
        <v>執行長室</v>
      </c>
      <c r="AB63" s="70" t="str">
        <f>IFERROR(__xludf.DUMMYFUNCTION("""COMPUTED_VALUE"""),"執行長室 : 稽核部")</f>
        <v>執行長室 : 稽核部</v>
      </c>
      <c r="AC63" s="70" t="str">
        <f>IFERROR(__xludf.DUMMYFUNCTION("""COMPUTED_VALUE"""),"No_Product_Line")</f>
        <v>No_Product_Line</v>
      </c>
      <c r="AD63" s="70" t="str">
        <f>IFERROR(__xludf.DUMMYFUNCTION("""COMPUTED_VALUE"""),"Baseline")</f>
        <v>Baseline</v>
      </c>
      <c r="AE63" s="70" t="str">
        <f>IFERROR(__xludf.DUMMYFUNCTION("""COMPUTED_VALUE"""),"Baseline")</f>
        <v>Baseline</v>
      </c>
      <c r="AF63" s="71">
        <f>IFERROR(__xludf.DUMMYFUNCTION("""COMPUTED_VALUE"""),3387.0)</f>
        <v>3387</v>
      </c>
      <c r="AG63" s="71">
        <f>IFERROR(__xludf.DUMMYFUNCTION("""COMPUTED_VALUE"""),7.0)</f>
        <v>7</v>
      </c>
      <c r="AH63" s="71">
        <f>IFERROR(__xludf.DUMMYFUNCTION("""COMPUTED_VALUE"""),2820.0)</f>
        <v>2820</v>
      </c>
      <c r="AI63" s="71">
        <f>IFERROR(__xludf.DUMMYFUNCTION("""COMPUTED_VALUE"""),0.0)</f>
        <v>0</v>
      </c>
      <c r="AJ63" s="41"/>
      <c r="AK63" s="41"/>
      <c r="AL63" s="41"/>
      <c r="AM63" s="41"/>
      <c r="AN63" s="71">
        <f>IFERROR(__xludf.DUMMYFUNCTION("""COMPUTED_VALUE"""),564.0)</f>
        <v>564</v>
      </c>
      <c r="AO63" s="71">
        <f>IFERROR(__xludf.DUMMYFUNCTION("""COMPUTED_VALUE"""),564.0)</f>
        <v>564</v>
      </c>
      <c r="AP63" s="71">
        <f>IFERROR(__xludf.DUMMYFUNCTION("""COMPUTED_VALUE"""),564.0)</f>
        <v>564</v>
      </c>
      <c r="AQ63" s="71">
        <f>IFERROR(__xludf.DUMMYFUNCTION("""COMPUTED_VALUE"""),564.0)</f>
        <v>564</v>
      </c>
      <c r="AR63" s="71">
        <f>IFERROR(__xludf.DUMMYFUNCTION("""COMPUTED_VALUE"""),564.0)</f>
        <v>564</v>
      </c>
      <c r="AS63" s="71">
        <f>IFERROR(__xludf.DUMMYFUNCTION("""COMPUTED_VALUE"""),567.0)</f>
        <v>567</v>
      </c>
      <c r="AT63" s="41"/>
      <c r="AU63" s="41"/>
      <c r="AV63" s="41"/>
      <c r="AW63" s="41"/>
      <c r="AX63" s="41"/>
      <c r="AY63" s="41"/>
      <c r="AZ63" s="41"/>
    </row>
    <row r="64">
      <c r="B64" s="41"/>
      <c r="C64" s="41"/>
      <c r="D64" s="41"/>
      <c r="E64" s="41"/>
      <c r="F64" s="41"/>
      <c r="G64" s="41"/>
      <c r="H64" s="41"/>
      <c r="I64" s="41">
        <f>IFERROR(__xludf.DUMMYFUNCTION("""COMPUTED_VALUE"""),60.0)</f>
        <v>60</v>
      </c>
      <c r="J64" s="41"/>
      <c r="K64" s="41"/>
      <c r="L64" s="41"/>
      <c r="M64" s="41" t="str">
        <f>IFERROR(__xludf.DUMMYFUNCTION("""COMPUTED_VALUE"""),"Journal")</f>
        <v>Journal</v>
      </c>
      <c r="N64" s="66">
        <f>IFERROR(__xludf.DUMMYFUNCTION("""COMPUTED_VALUE"""),45790.0)</f>
        <v>45790</v>
      </c>
      <c r="O64" s="41">
        <f>IFERROR(__xludf.DUMMYFUNCTION("""COMPUTED_VALUE"""),17308.0)</f>
        <v>17308</v>
      </c>
      <c r="P64" s="41"/>
      <c r="Q64" s="41"/>
      <c r="R64" s="41"/>
      <c r="S64" s="41"/>
      <c r="T64" s="41"/>
      <c r="U64" s="41" t="str">
        <f>IFERROR(__xludf.DUMMYFUNCTION("""COMPUTED_VALUE"""),"資廚管理顧問股份有限公司(公司卡)_202504_Whimsical 年費(20250424-20260424)")</f>
        <v>資廚管理顧問股份有限公司(公司卡)_202504_Whimsical 年費(20250424-20260424)</v>
      </c>
      <c r="V64" s="41"/>
      <c r="W64" s="41"/>
      <c r="X64" s="41"/>
      <c r="Y64" s="71">
        <f>IFERROR(__xludf.DUMMYFUNCTION("""COMPUTED_VALUE"""),1955.0)</f>
        <v>1955</v>
      </c>
      <c r="Z64" s="41">
        <f>IFERROR(__xludf.DUMMYFUNCTION("""COMPUTED_VALUE"""),520001.0)</f>
        <v>520001</v>
      </c>
      <c r="AA64" s="41" t="str">
        <f>IFERROR(__xludf.DUMMYFUNCTION("""COMPUTED_VALUE"""),"研發中心")</f>
        <v>研發中心</v>
      </c>
      <c r="AB64" s="70" t="str">
        <f>IFERROR(__xludf.DUMMYFUNCTION("""COMPUTED_VALUE"""),"執行長室 : 研發中心 : 軟體工程部")</f>
        <v>執行長室 : 研發中心 : 軟體工程部</v>
      </c>
      <c r="AC64" s="70" t="str">
        <f>IFERROR(__xludf.DUMMYFUNCTION("""COMPUTED_VALUE"""),"No_Product_Line")</f>
        <v>No_Product_Line</v>
      </c>
      <c r="AD64" s="70" t="str">
        <f>IFERROR(__xludf.DUMMYFUNCTION("""COMPUTED_VALUE"""),"Baseline")</f>
        <v>Baseline</v>
      </c>
      <c r="AE64" s="70" t="str">
        <f>IFERROR(__xludf.DUMMYFUNCTION("""COMPUTED_VALUE"""),"Baseline")</f>
        <v>Baseline</v>
      </c>
      <c r="AF64" s="71">
        <f>IFERROR(__xludf.DUMMYFUNCTION("""COMPUTED_VALUE"""),3907.0)</f>
        <v>3907</v>
      </c>
      <c r="AG64" s="71">
        <f>IFERROR(__xludf.DUMMYFUNCTION("""COMPUTED_VALUE"""),12.0)</f>
        <v>12</v>
      </c>
      <c r="AH64" s="71">
        <f>IFERROR(__xludf.DUMMYFUNCTION("""COMPUTED_VALUE"""),1952.0)</f>
        <v>1952</v>
      </c>
      <c r="AI64" s="71">
        <f>IFERROR(__xludf.DUMMYFUNCTION("""COMPUTED_VALUE"""),0.0)</f>
        <v>0</v>
      </c>
      <c r="AJ64" s="41"/>
      <c r="AK64" s="41"/>
      <c r="AL64" s="41"/>
      <c r="AM64" s="41"/>
      <c r="AN64" s="71">
        <f>IFERROR(__xludf.DUMMYFUNCTION("""COMPUTED_VALUE"""),652.0)</f>
        <v>652</v>
      </c>
      <c r="AO64" s="71">
        <f>IFERROR(__xludf.DUMMYFUNCTION("""COMPUTED_VALUE"""),325.0)</f>
        <v>325</v>
      </c>
      <c r="AP64" s="71">
        <f>IFERROR(__xludf.DUMMYFUNCTION("""COMPUTED_VALUE"""),325.0)</f>
        <v>325</v>
      </c>
      <c r="AQ64" s="71">
        <f>IFERROR(__xludf.DUMMYFUNCTION("""COMPUTED_VALUE"""),325.0)</f>
        <v>325</v>
      </c>
      <c r="AR64" s="71">
        <f>IFERROR(__xludf.DUMMYFUNCTION("""COMPUTED_VALUE"""),325.0)</f>
        <v>325</v>
      </c>
      <c r="AS64" s="71">
        <f>IFERROR(__xludf.DUMMYFUNCTION("""COMPUTED_VALUE"""),325.0)</f>
        <v>325</v>
      </c>
      <c r="AT64" s="71">
        <f>IFERROR(__xludf.DUMMYFUNCTION("""COMPUTED_VALUE"""),325.0)</f>
        <v>325</v>
      </c>
      <c r="AU64" s="71">
        <f>IFERROR(__xludf.DUMMYFUNCTION("""COMPUTED_VALUE"""),325.0)</f>
        <v>325</v>
      </c>
      <c r="AV64" s="71">
        <f>IFERROR(__xludf.DUMMYFUNCTION("""COMPUTED_VALUE"""),325.0)</f>
        <v>325</v>
      </c>
      <c r="AW64" s="71">
        <f>IFERROR(__xludf.DUMMYFUNCTION("""COMPUTED_VALUE"""),325.0)</f>
        <v>325</v>
      </c>
      <c r="AX64" s="71">
        <f>IFERROR(__xludf.DUMMYFUNCTION("""COMPUTED_VALUE"""),330.0)</f>
        <v>330</v>
      </c>
      <c r="AY64" s="41"/>
      <c r="AZ64" s="41"/>
    </row>
    <row r="65">
      <c r="B65" s="41"/>
      <c r="C65" s="41"/>
      <c r="D65" s="41"/>
      <c r="E65" s="41"/>
      <c r="F65" s="41"/>
      <c r="G65" s="41"/>
      <c r="H65" s="41"/>
      <c r="I65" s="41">
        <f>IFERROR(__xludf.DUMMYFUNCTION("""COMPUTED_VALUE"""),61.0)</f>
        <v>61</v>
      </c>
      <c r="J65" s="41"/>
      <c r="K65" s="41"/>
      <c r="L65" s="41"/>
      <c r="M65" s="41" t="str">
        <f>IFERROR(__xludf.DUMMYFUNCTION("""COMPUTED_VALUE"""),"Journal")</f>
        <v>Journal</v>
      </c>
      <c r="N65" s="66">
        <f>IFERROR(__xludf.DUMMYFUNCTION("""COMPUTED_VALUE"""),45790.0)</f>
        <v>45790</v>
      </c>
      <c r="O65" s="41">
        <f>IFERROR(__xludf.DUMMYFUNCTION("""COMPUTED_VALUE"""),17308.0)</f>
        <v>17308</v>
      </c>
      <c r="P65" s="41"/>
      <c r="Q65" s="41"/>
      <c r="R65" s="41"/>
      <c r="S65" s="41"/>
      <c r="T65" s="41"/>
      <c r="U65" s="41" t="str">
        <f>IFERROR(__xludf.DUMMYFUNCTION("""COMPUTED_VALUE"""),"資廚管理顧問股份有限公司(公司卡)_202504_Sentry年繳帳單 (20250526-20260526)")</f>
        <v>資廚管理顧問股份有限公司(公司卡)_202504_Sentry年繳帳單 (20250526-20260526)</v>
      </c>
      <c r="V65" s="41"/>
      <c r="W65" s="41"/>
      <c r="X65" s="41"/>
      <c r="Y65" s="71">
        <f>IFERROR(__xludf.DUMMYFUNCTION("""COMPUTED_VALUE"""),5448.0)</f>
        <v>5448</v>
      </c>
      <c r="Z65" s="41">
        <f>IFERROR(__xludf.DUMMYFUNCTION("""COMPUTED_VALUE"""),520001.0)</f>
        <v>520001</v>
      </c>
      <c r="AA65" s="41" t="str">
        <f>IFERROR(__xludf.DUMMYFUNCTION("""COMPUTED_VALUE"""),"研發中心")</f>
        <v>研發中心</v>
      </c>
      <c r="AB65" s="70" t="str">
        <f>IFERROR(__xludf.DUMMYFUNCTION("""COMPUTED_VALUE"""),"執行長室 : 研發中心 : 軟體工程部")</f>
        <v>執行長室 : 研發中心 : 軟體工程部</v>
      </c>
      <c r="AC65" s="70" t="str">
        <f>IFERROR(__xludf.DUMMYFUNCTION("""COMPUTED_VALUE"""),"No_Product_Line")</f>
        <v>No_Product_Line</v>
      </c>
      <c r="AD65" s="70" t="str">
        <f>IFERROR(__xludf.DUMMYFUNCTION("""COMPUTED_VALUE"""),"Baseline")</f>
        <v>Baseline</v>
      </c>
      <c r="AE65" s="70" t="str">
        <f>IFERROR(__xludf.DUMMYFUNCTION("""COMPUTED_VALUE"""),"Baseline")</f>
        <v>Baseline</v>
      </c>
      <c r="AF65" s="71">
        <f>IFERROR(__xludf.DUMMYFUNCTION("""COMPUTED_VALUE"""),9346.0)</f>
        <v>9346</v>
      </c>
      <c r="AG65" s="71">
        <f>IFERROR(__xludf.DUMMYFUNCTION("""COMPUTED_VALUE"""),12.0)</f>
        <v>12</v>
      </c>
      <c r="AH65" s="71">
        <f>IFERROR(__xludf.DUMMYFUNCTION("""COMPUTED_VALUE"""),3898.0)</f>
        <v>3898</v>
      </c>
      <c r="AI65" s="71">
        <f>IFERROR(__xludf.DUMMYFUNCTION("""COMPUTED_VALUE"""),0.0)</f>
        <v>0</v>
      </c>
      <c r="AJ65" s="41"/>
      <c r="AK65" s="41"/>
      <c r="AL65" s="41"/>
      <c r="AM65" s="41"/>
      <c r="AN65" s="71">
        <f>IFERROR(__xludf.DUMMYFUNCTION("""COMPUTED_VALUE"""),782.0)</f>
        <v>782</v>
      </c>
      <c r="AO65" s="71">
        <f>IFERROR(__xludf.DUMMYFUNCTION("""COMPUTED_VALUE"""),779.0)</f>
        <v>779</v>
      </c>
      <c r="AP65" s="71">
        <f>IFERROR(__xludf.DUMMYFUNCTION("""COMPUTED_VALUE"""),779.0)</f>
        <v>779</v>
      </c>
      <c r="AQ65" s="71">
        <f>IFERROR(__xludf.DUMMYFUNCTION("""COMPUTED_VALUE"""),779.0)</f>
        <v>779</v>
      </c>
      <c r="AR65" s="71">
        <f>IFERROR(__xludf.DUMMYFUNCTION("""COMPUTED_VALUE"""),779.0)</f>
        <v>779</v>
      </c>
      <c r="AS65" s="71">
        <f>IFERROR(__xludf.DUMMYFUNCTION("""COMPUTED_VALUE"""),779.0)</f>
        <v>779</v>
      </c>
      <c r="AT65" s="71">
        <f>IFERROR(__xludf.DUMMYFUNCTION("""COMPUTED_VALUE"""),779.0)</f>
        <v>779</v>
      </c>
      <c r="AU65" s="71">
        <f>IFERROR(__xludf.DUMMYFUNCTION("""COMPUTED_VALUE"""),779.0)</f>
        <v>779</v>
      </c>
      <c r="AV65" s="71">
        <f>IFERROR(__xludf.DUMMYFUNCTION("""COMPUTED_VALUE"""),779.0)</f>
        <v>779</v>
      </c>
      <c r="AW65" s="71">
        <f>IFERROR(__xludf.DUMMYFUNCTION("""COMPUTED_VALUE"""),779.0)</f>
        <v>779</v>
      </c>
      <c r="AX65" s="71">
        <f>IFERROR(__xludf.DUMMYFUNCTION("""COMPUTED_VALUE"""),779.0)</f>
        <v>779</v>
      </c>
      <c r="AY65" s="71">
        <f>IFERROR(__xludf.DUMMYFUNCTION("""COMPUTED_VALUE"""),774.0)</f>
        <v>774</v>
      </c>
      <c r="AZ65" s="41"/>
    </row>
    <row r="66">
      <c r="B66" s="41"/>
      <c r="C66" s="41"/>
      <c r="D66" s="41"/>
      <c r="E66" s="41"/>
      <c r="F66" s="41"/>
      <c r="G66" s="41"/>
      <c r="H66" s="41"/>
      <c r="I66" s="41">
        <f>IFERROR(__xludf.DUMMYFUNCTION("""COMPUTED_VALUE"""),62.0)</f>
        <v>62</v>
      </c>
      <c r="J66" s="41"/>
      <c r="K66" s="41"/>
      <c r="L66" s="41"/>
      <c r="M66" s="41" t="str">
        <f>IFERROR(__xludf.DUMMYFUNCTION("""COMPUTED_VALUE"""),"Journal")</f>
        <v>Journal</v>
      </c>
      <c r="N66" s="66">
        <f>IFERROR(__xludf.DUMMYFUNCTION("""COMPUTED_VALUE"""),45790.0)</f>
        <v>45790</v>
      </c>
      <c r="O66" s="41">
        <f>IFERROR(__xludf.DUMMYFUNCTION("""COMPUTED_VALUE"""),17308.0)</f>
        <v>17308</v>
      </c>
      <c r="P66" s="41"/>
      <c r="Q66" s="41"/>
      <c r="R66" s="41"/>
      <c r="S66" s="41"/>
      <c r="T66" s="41"/>
      <c r="U66" s="41" t="str">
        <f>IFERROR(__xludf.DUMMYFUNCTION("""COMPUTED_VALUE"""),"資廚管理顧問股份有限公司(公司卡)_Cursor 年費_202504(20250424-20260209)")</f>
        <v>資廚管理顧問股份有限公司(公司卡)_Cursor 年費_202504(20250424-20260209)</v>
      </c>
      <c r="V66" s="41"/>
      <c r="W66" s="41"/>
      <c r="X66" s="41"/>
      <c r="Y66" s="71">
        <f>IFERROR(__xludf.DUMMYFUNCTION("""COMPUTED_VALUE"""),3977.0)</f>
        <v>3977</v>
      </c>
      <c r="Z66" s="41">
        <f>IFERROR(__xludf.DUMMYFUNCTION("""COMPUTED_VALUE"""),520001.0)</f>
        <v>520001</v>
      </c>
      <c r="AA66" s="41" t="str">
        <f>IFERROR(__xludf.DUMMYFUNCTION("""COMPUTED_VALUE"""),"研發中心")</f>
        <v>研發中心</v>
      </c>
      <c r="AB66" s="70" t="str">
        <f>IFERROR(__xludf.DUMMYFUNCTION("""COMPUTED_VALUE"""),"執行長室 : 研發中心 : 軟體工程部")</f>
        <v>執行長室 : 研發中心 : 軟體工程部</v>
      </c>
      <c r="AC66" s="70" t="str">
        <f>IFERROR(__xludf.DUMMYFUNCTION("""COMPUTED_VALUE"""),"No_Product_Line")</f>
        <v>No_Product_Line</v>
      </c>
      <c r="AD66" s="70" t="str">
        <f>IFERROR(__xludf.DUMMYFUNCTION("""COMPUTED_VALUE"""),"Baseline")</f>
        <v>Baseline</v>
      </c>
      <c r="AE66" s="70" t="str">
        <f>IFERROR(__xludf.DUMMYFUNCTION("""COMPUTED_VALUE"""),"Baseline")</f>
        <v>Baseline</v>
      </c>
      <c r="AF66" s="71">
        <f>IFERROR(__xludf.DUMMYFUNCTION("""COMPUTED_VALUE"""),9947.0)</f>
        <v>9947</v>
      </c>
      <c r="AG66" s="71">
        <f>IFERROR(__xludf.DUMMYFUNCTION("""COMPUTED_VALUE"""),10.0)</f>
        <v>10</v>
      </c>
      <c r="AH66" s="71">
        <f>IFERROR(__xludf.DUMMYFUNCTION("""COMPUTED_VALUE"""),5970.0)</f>
        <v>5970</v>
      </c>
      <c r="AI66" s="71">
        <f>IFERROR(__xludf.DUMMYFUNCTION("""COMPUTED_VALUE"""),0.0)</f>
        <v>0</v>
      </c>
      <c r="AJ66" s="41"/>
      <c r="AK66" s="41"/>
      <c r="AL66" s="41"/>
      <c r="AM66" s="41"/>
      <c r="AN66" s="71">
        <f>IFERROR(__xludf.DUMMYFUNCTION("""COMPUTED_VALUE"""),1990.0)</f>
        <v>1990</v>
      </c>
      <c r="AO66" s="71">
        <f>IFERROR(__xludf.DUMMYFUNCTION("""COMPUTED_VALUE"""),995.0)</f>
        <v>995</v>
      </c>
      <c r="AP66" s="71">
        <f>IFERROR(__xludf.DUMMYFUNCTION("""COMPUTED_VALUE"""),995.0)</f>
        <v>995</v>
      </c>
      <c r="AQ66" s="71">
        <f>IFERROR(__xludf.DUMMYFUNCTION("""COMPUTED_VALUE"""),995.0)</f>
        <v>995</v>
      </c>
      <c r="AR66" s="71">
        <f>IFERROR(__xludf.DUMMYFUNCTION("""COMPUTED_VALUE"""),995.0)</f>
        <v>995</v>
      </c>
      <c r="AS66" s="71">
        <f>IFERROR(__xludf.DUMMYFUNCTION("""COMPUTED_VALUE"""),995.0)</f>
        <v>995</v>
      </c>
      <c r="AT66" s="71">
        <f>IFERROR(__xludf.DUMMYFUNCTION("""COMPUTED_VALUE"""),995.0)</f>
        <v>995</v>
      </c>
      <c r="AU66" s="71">
        <f>IFERROR(__xludf.DUMMYFUNCTION("""COMPUTED_VALUE"""),995.0)</f>
        <v>995</v>
      </c>
      <c r="AV66" s="71">
        <f>IFERROR(__xludf.DUMMYFUNCTION("""COMPUTED_VALUE"""),992.0)</f>
        <v>992</v>
      </c>
      <c r="AW66" s="41"/>
      <c r="AX66" s="41"/>
      <c r="AY66" s="41"/>
      <c r="AZ66" s="41"/>
    </row>
    <row r="67">
      <c r="B67" s="41"/>
      <c r="C67" s="41"/>
      <c r="D67" s="41"/>
      <c r="E67" s="41"/>
      <c r="F67" s="41"/>
      <c r="G67" s="41"/>
      <c r="H67" s="41"/>
      <c r="I67" s="41">
        <f>IFERROR(__xludf.DUMMYFUNCTION("""COMPUTED_VALUE"""),63.0)</f>
        <v>63</v>
      </c>
      <c r="J67" s="41"/>
      <c r="K67" s="41"/>
      <c r="L67" s="41"/>
      <c r="M67" s="41" t="str">
        <f>IFERROR(__xludf.DUMMYFUNCTION("""COMPUTED_VALUE"""),"Journal")</f>
        <v>Journal</v>
      </c>
      <c r="N67" s="66">
        <f>IFERROR(__xludf.DUMMYFUNCTION("""COMPUTED_VALUE"""),45790.0)</f>
        <v>45790</v>
      </c>
      <c r="O67" s="41">
        <f>IFERROR(__xludf.DUMMYFUNCTION("""COMPUTED_VALUE"""),17308.0)</f>
        <v>17308</v>
      </c>
      <c r="P67" s="41"/>
      <c r="Q67" s="41"/>
      <c r="R67" s="41"/>
      <c r="S67" s="41"/>
      <c r="T67" s="41"/>
      <c r="U67" s="41" t="str">
        <f>IFERROR(__xludf.DUMMYFUNCTION("""COMPUTED_VALUE"""),"資廚管理顧問股份有限公司(公司卡)_202504_O'Reilly_Invoice_Annual Plan(20250407-20250406)")</f>
        <v>資廚管理顧問股份有限公司(公司卡)_202504_O'Reilly_Invoice_Annual Plan(20250407-20250406)</v>
      </c>
      <c r="V67" s="41"/>
      <c r="W67" s="41"/>
      <c r="X67" s="41"/>
      <c r="Y67" s="71">
        <f>IFERROR(__xludf.DUMMYFUNCTION("""COMPUTED_VALUE"""),8269.0)</f>
        <v>8269</v>
      </c>
      <c r="Z67" s="41">
        <f>IFERROR(__xludf.DUMMYFUNCTION("""COMPUTED_VALUE"""),520001.0)</f>
        <v>520001</v>
      </c>
      <c r="AA67" s="41" t="str">
        <f>IFERROR(__xludf.DUMMYFUNCTION("""COMPUTED_VALUE"""),"研發中心")</f>
        <v>研發中心</v>
      </c>
      <c r="AB67" s="70" t="str">
        <f>IFERROR(__xludf.DUMMYFUNCTION("""COMPUTED_VALUE"""),"執行長室 : 研發中心 : 軟體工程部")</f>
        <v>執行長室 : 研發中心 : 軟體工程部</v>
      </c>
      <c r="AC67" s="70" t="str">
        <f>IFERROR(__xludf.DUMMYFUNCTION("""COMPUTED_VALUE"""),"No_Product_Line")</f>
        <v>No_Product_Line</v>
      </c>
      <c r="AD67" s="70" t="str">
        <f>IFERROR(__xludf.DUMMYFUNCTION("""COMPUTED_VALUE"""),"Baseline")</f>
        <v>Baseline</v>
      </c>
      <c r="AE67" s="70" t="str">
        <f>IFERROR(__xludf.DUMMYFUNCTION("""COMPUTED_VALUE"""),"Baseline")</f>
        <v>Baseline</v>
      </c>
      <c r="AF67" s="71">
        <f>IFERROR(__xludf.DUMMYFUNCTION("""COMPUTED_VALUE"""),16544.0)</f>
        <v>16544</v>
      </c>
      <c r="AG67" s="71">
        <f>IFERROR(__xludf.DUMMYFUNCTION("""COMPUTED_VALUE"""),12.0)</f>
        <v>12</v>
      </c>
      <c r="AH67" s="71">
        <f>IFERROR(__xludf.DUMMYFUNCTION("""COMPUTED_VALUE"""),8275.0)</f>
        <v>8275</v>
      </c>
      <c r="AI67" s="71">
        <f>IFERROR(__xludf.DUMMYFUNCTION("""COMPUTED_VALUE"""),0.0)</f>
        <v>0</v>
      </c>
      <c r="AJ67" s="41"/>
      <c r="AK67" s="41"/>
      <c r="AL67" s="41"/>
      <c r="AM67" s="41"/>
      <c r="AN67" s="71">
        <f>IFERROR(__xludf.DUMMYFUNCTION("""COMPUTED_VALUE"""),2763.0)</f>
        <v>2763</v>
      </c>
      <c r="AO67" s="71">
        <f>IFERROR(__xludf.DUMMYFUNCTION("""COMPUTED_VALUE"""),1378.0)</f>
        <v>1378</v>
      </c>
      <c r="AP67" s="71">
        <f>IFERROR(__xludf.DUMMYFUNCTION("""COMPUTED_VALUE"""),1378.0)</f>
        <v>1378</v>
      </c>
      <c r="AQ67" s="71">
        <f>IFERROR(__xludf.DUMMYFUNCTION("""COMPUTED_VALUE"""),1378.0)</f>
        <v>1378</v>
      </c>
      <c r="AR67" s="71">
        <f>IFERROR(__xludf.DUMMYFUNCTION("""COMPUTED_VALUE"""),1378.0)</f>
        <v>1378</v>
      </c>
      <c r="AS67" s="71">
        <f>IFERROR(__xludf.DUMMYFUNCTION("""COMPUTED_VALUE"""),1378.0)</f>
        <v>1378</v>
      </c>
      <c r="AT67" s="71">
        <f>IFERROR(__xludf.DUMMYFUNCTION("""COMPUTED_VALUE"""),1378.0)</f>
        <v>1378</v>
      </c>
      <c r="AU67" s="71">
        <f>IFERROR(__xludf.DUMMYFUNCTION("""COMPUTED_VALUE"""),1378.0)</f>
        <v>1378</v>
      </c>
      <c r="AV67" s="71">
        <f>IFERROR(__xludf.DUMMYFUNCTION("""COMPUTED_VALUE"""),1378.0)</f>
        <v>1378</v>
      </c>
      <c r="AW67" s="71">
        <f>IFERROR(__xludf.DUMMYFUNCTION("""COMPUTED_VALUE"""),1378.0)</f>
        <v>1378</v>
      </c>
      <c r="AX67" s="71">
        <f>IFERROR(__xludf.DUMMYFUNCTION("""COMPUTED_VALUE"""),1379.0)</f>
        <v>1379</v>
      </c>
      <c r="AY67" s="41"/>
      <c r="AZ67" s="41"/>
    </row>
    <row r="68">
      <c r="B68" s="41"/>
      <c r="C68" s="41"/>
      <c r="D68" s="41"/>
      <c r="E68" s="41"/>
      <c r="F68" s="41"/>
      <c r="G68" s="41"/>
      <c r="H68" s="41"/>
      <c r="I68" s="41">
        <f>IFERROR(__xludf.DUMMYFUNCTION("""COMPUTED_VALUE"""),64.0)</f>
        <v>64</v>
      </c>
      <c r="J68" s="41"/>
      <c r="K68" s="41"/>
      <c r="L68" s="41"/>
      <c r="M68" s="41" t="str">
        <f>IFERROR(__xludf.DUMMYFUNCTION("""COMPUTED_VALUE"""),"Journal")</f>
        <v>Journal</v>
      </c>
      <c r="N68" s="66">
        <f>IFERROR(__xludf.DUMMYFUNCTION("""COMPUTED_VALUE"""),45790.0)</f>
        <v>45790</v>
      </c>
      <c r="O68" s="41">
        <f>IFERROR(__xludf.DUMMYFUNCTION("""COMPUTED_VALUE"""),17308.0)</f>
        <v>17308</v>
      </c>
      <c r="P68" s="41"/>
      <c r="Q68" s="41"/>
      <c r="R68" s="41"/>
      <c r="S68" s="41"/>
      <c r="T68" s="41"/>
      <c r="U68" s="41" t="str">
        <f>IFERROR(__xludf.DUMMYFUNCTION("""COMPUTED_VALUE"""),"資廚管理顧問股份有限公司(公司卡)_202504_Paddle.com Market Ltd Frontitude 軟體訂閱 (20250427-20260426)")</f>
        <v>資廚管理顧問股份有限公司(公司卡)_202504_Paddle.com Market Ltd Frontitude 軟體訂閱 (20250427-20260426)</v>
      </c>
      <c r="V68" s="41"/>
      <c r="W68" s="41"/>
      <c r="X68" s="41"/>
      <c r="Y68" s="71">
        <f>IFERROR(__xludf.DUMMYFUNCTION("""COMPUTED_VALUE"""),13479.0)</f>
        <v>13479</v>
      </c>
      <c r="Z68" s="41">
        <f>IFERROR(__xludf.DUMMYFUNCTION("""COMPUTED_VALUE"""),520001.0)</f>
        <v>520001</v>
      </c>
      <c r="AA68" s="41" t="str">
        <f>IFERROR(__xludf.DUMMYFUNCTION("""COMPUTED_VALUE"""),"客戶價值中心")</f>
        <v>客戶價值中心</v>
      </c>
      <c r="AB68" s="70" t="str">
        <f>IFERROR(__xludf.DUMMYFUNCTION("""COMPUTED_VALUE"""),"執行長室 : 客戶價值中心 : 客戶成功管理部 : Product Education 團隊")</f>
        <v>執行長室 : 客戶價值中心 : 客戶成功管理部 : Product Education 團隊</v>
      </c>
      <c r="AC68" s="70" t="str">
        <f>IFERROR(__xludf.DUMMYFUNCTION("""COMPUTED_VALUE"""),"No_Product_Line")</f>
        <v>No_Product_Line</v>
      </c>
      <c r="AD68" s="70" t="str">
        <f>IFERROR(__xludf.DUMMYFUNCTION("""COMPUTED_VALUE"""),"Baseline")</f>
        <v>Baseline</v>
      </c>
      <c r="AE68" s="70" t="str">
        <f>IFERROR(__xludf.DUMMYFUNCTION("""COMPUTED_VALUE"""),"Baseline")</f>
        <v>Baseline</v>
      </c>
      <c r="AF68" s="71">
        <f>IFERROR(__xludf.DUMMYFUNCTION("""COMPUTED_VALUE"""),26971.0)</f>
        <v>26971</v>
      </c>
      <c r="AG68" s="71">
        <f>IFERROR(__xludf.DUMMYFUNCTION("""COMPUTED_VALUE"""),12.0)</f>
        <v>12</v>
      </c>
      <c r="AH68" s="71">
        <f>IFERROR(__xludf.DUMMYFUNCTION("""COMPUTED_VALUE"""),13492.0)</f>
        <v>13492</v>
      </c>
      <c r="AI68" s="71">
        <f>IFERROR(__xludf.DUMMYFUNCTION("""COMPUTED_VALUE"""),0.0)</f>
        <v>0</v>
      </c>
      <c r="AJ68" s="41"/>
      <c r="AK68" s="41"/>
      <c r="AL68" s="41"/>
      <c r="AM68" s="41"/>
      <c r="AN68" s="71">
        <f>IFERROR(__xludf.DUMMYFUNCTION("""COMPUTED_VALUE"""),4504.0)</f>
        <v>4504</v>
      </c>
      <c r="AO68" s="71">
        <f>IFERROR(__xludf.DUMMYFUNCTION("""COMPUTED_VALUE"""),2247.0)</f>
        <v>2247</v>
      </c>
      <c r="AP68" s="71">
        <f>IFERROR(__xludf.DUMMYFUNCTION("""COMPUTED_VALUE"""),2247.0)</f>
        <v>2247</v>
      </c>
      <c r="AQ68" s="71">
        <f>IFERROR(__xludf.DUMMYFUNCTION("""COMPUTED_VALUE"""),2247.0)</f>
        <v>2247</v>
      </c>
      <c r="AR68" s="71">
        <f>IFERROR(__xludf.DUMMYFUNCTION("""COMPUTED_VALUE"""),2247.0)</f>
        <v>2247</v>
      </c>
      <c r="AS68" s="71">
        <f>IFERROR(__xludf.DUMMYFUNCTION("""COMPUTED_VALUE"""),2247.0)</f>
        <v>2247</v>
      </c>
      <c r="AT68" s="71">
        <f>IFERROR(__xludf.DUMMYFUNCTION("""COMPUTED_VALUE"""),2247.0)</f>
        <v>2247</v>
      </c>
      <c r="AU68" s="71">
        <f>IFERROR(__xludf.DUMMYFUNCTION("""COMPUTED_VALUE"""),2247.0)</f>
        <v>2247</v>
      </c>
      <c r="AV68" s="71">
        <f>IFERROR(__xludf.DUMMYFUNCTION("""COMPUTED_VALUE"""),2247.0)</f>
        <v>2247</v>
      </c>
      <c r="AW68" s="71">
        <f>IFERROR(__xludf.DUMMYFUNCTION("""COMPUTED_VALUE"""),2247.0)</f>
        <v>2247</v>
      </c>
      <c r="AX68" s="71">
        <f>IFERROR(__xludf.DUMMYFUNCTION("""COMPUTED_VALUE"""),2244.0)</f>
        <v>2244</v>
      </c>
      <c r="AY68" s="41"/>
      <c r="AZ68" s="41"/>
    </row>
    <row r="69">
      <c r="B69" s="41"/>
      <c r="C69" s="41"/>
      <c r="D69" s="41"/>
      <c r="E69" s="41"/>
      <c r="F69" s="41"/>
      <c r="G69" s="41"/>
      <c r="H69" s="41"/>
      <c r="I69" s="41">
        <f>IFERROR(__xludf.DUMMYFUNCTION("""COMPUTED_VALUE"""),65.0)</f>
        <v>65</v>
      </c>
      <c r="J69" s="41"/>
      <c r="K69" s="41"/>
      <c r="L69" s="41"/>
      <c r="M69" s="41" t="str">
        <f>IFERROR(__xludf.DUMMYFUNCTION("""COMPUTED_VALUE"""),"Journal")</f>
        <v>Journal</v>
      </c>
      <c r="N69" s="66">
        <f>IFERROR(__xludf.DUMMYFUNCTION("""COMPUTED_VALUE"""),45790.0)</f>
        <v>45790</v>
      </c>
      <c r="O69" s="41">
        <f>IFERROR(__xludf.DUMMYFUNCTION("""COMPUTED_VALUE"""),17308.0)</f>
        <v>17308</v>
      </c>
      <c r="P69" s="41"/>
      <c r="Q69" s="41"/>
      <c r="R69" s="41"/>
      <c r="S69" s="41"/>
      <c r="T69" s="41"/>
      <c r="U69" s="41" t="str">
        <f>IFERROR(__xludf.DUMMYFUNCTION("""COMPUTED_VALUE"""),"資廚管理顧問股份有限公司(公司卡)_202504_InsightOps 年費 (2025/03/30 ~ 2026/03/30)")</f>
        <v>資廚管理顧問股份有限公司(公司卡)_202504_InsightOps 年費 (2025/03/30 ~ 2026/03/30)</v>
      </c>
      <c r="V69" s="41"/>
      <c r="W69" s="41"/>
      <c r="X69" s="41"/>
      <c r="Y69" s="71">
        <f>IFERROR(__xludf.DUMMYFUNCTION("""COMPUTED_VALUE"""),162035.0)</f>
        <v>162035</v>
      </c>
      <c r="Z69" s="41">
        <f>IFERROR(__xludf.DUMMYFUNCTION("""COMPUTED_VALUE"""),520001.0)</f>
        <v>520001</v>
      </c>
      <c r="AA69" s="41" t="str">
        <f>IFERROR(__xludf.DUMMYFUNCTION("""COMPUTED_VALUE"""),"研發中心")</f>
        <v>研發中心</v>
      </c>
      <c r="AB69" s="70" t="str">
        <f>IFERROR(__xludf.DUMMYFUNCTION("""COMPUTED_VALUE"""),"執行長室 : 研發中心 : 軟體工程部")</f>
        <v>執行長室 : 研發中心 : 軟體工程部</v>
      </c>
      <c r="AC69" s="70" t="str">
        <f>IFERROR(__xludf.DUMMYFUNCTION("""COMPUTED_VALUE"""),"No_Product_Line")</f>
        <v>No_Product_Line</v>
      </c>
      <c r="AD69" s="70" t="str">
        <f>IFERROR(__xludf.DUMMYFUNCTION("""COMPUTED_VALUE"""),"Baseline")</f>
        <v>Baseline</v>
      </c>
      <c r="AE69" s="70" t="str">
        <f>IFERROR(__xludf.DUMMYFUNCTION("""COMPUTED_VALUE"""),"Baseline")</f>
        <v>Baseline</v>
      </c>
      <c r="AF69" s="71">
        <f>IFERROR(__xludf.DUMMYFUNCTION("""COMPUTED_VALUE"""),389040.0)</f>
        <v>389040</v>
      </c>
      <c r="AG69" s="71">
        <f>IFERROR(__xludf.DUMMYFUNCTION("""COMPUTED_VALUE"""),12.0)</f>
        <v>12</v>
      </c>
      <c r="AH69" s="71">
        <f>IFERROR(__xludf.DUMMYFUNCTION("""COMPUTED_VALUE"""),227005.0)</f>
        <v>227005</v>
      </c>
      <c r="AI69" s="71">
        <f>IFERROR(__xludf.DUMMYFUNCTION("""COMPUTED_VALUE"""),0.0)</f>
        <v>0</v>
      </c>
      <c r="AJ69" s="41"/>
      <c r="AK69" s="41"/>
      <c r="AL69" s="41"/>
      <c r="AM69" s="41"/>
      <c r="AN69" s="71">
        <f>IFERROR(__xludf.DUMMYFUNCTION("""COMPUTED_VALUE"""),97377.0)</f>
        <v>97377</v>
      </c>
      <c r="AO69" s="71">
        <f>IFERROR(__xludf.DUMMYFUNCTION("""COMPUTED_VALUE"""),32407.0)</f>
        <v>32407</v>
      </c>
      <c r="AP69" s="71">
        <f>IFERROR(__xludf.DUMMYFUNCTION("""COMPUTED_VALUE"""),32407.0)</f>
        <v>32407</v>
      </c>
      <c r="AQ69" s="71">
        <f>IFERROR(__xludf.DUMMYFUNCTION("""COMPUTED_VALUE"""),32407.0)</f>
        <v>32407</v>
      </c>
      <c r="AR69" s="71">
        <f>IFERROR(__xludf.DUMMYFUNCTION("""COMPUTED_VALUE"""),32407.0)</f>
        <v>32407</v>
      </c>
      <c r="AS69" s="71">
        <f>IFERROR(__xludf.DUMMYFUNCTION("""COMPUTED_VALUE"""),32407.0)</f>
        <v>32407</v>
      </c>
      <c r="AT69" s="71">
        <f>IFERROR(__xludf.DUMMYFUNCTION("""COMPUTED_VALUE"""),32407.0)</f>
        <v>32407</v>
      </c>
      <c r="AU69" s="71">
        <f>IFERROR(__xludf.DUMMYFUNCTION("""COMPUTED_VALUE"""),32407.0)</f>
        <v>32407</v>
      </c>
      <c r="AV69" s="71">
        <f>IFERROR(__xludf.DUMMYFUNCTION("""COMPUTED_VALUE"""),32407.0)</f>
        <v>32407</v>
      </c>
      <c r="AW69" s="71">
        <f>IFERROR(__xludf.DUMMYFUNCTION("""COMPUTED_VALUE"""),32407.0)</f>
        <v>32407</v>
      </c>
      <c r="AX69" s="41"/>
      <c r="AY69" s="41"/>
      <c r="AZ69" s="41"/>
    </row>
    <row r="70">
      <c r="B70" s="41"/>
      <c r="C70" s="41"/>
      <c r="D70" s="41"/>
      <c r="E70" s="41"/>
      <c r="F70" s="41"/>
      <c r="G70" s="41"/>
      <c r="H70" s="41"/>
      <c r="I70" s="41">
        <f>IFERROR(__xludf.DUMMYFUNCTION("""COMPUTED_VALUE"""),66.0)</f>
        <v>66</v>
      </c>
      <c r="J70" s="41"/>
      <c r="K70" s="41"/>
      <c r="L70" s="41"/>
      <c r="M70" s="41" t="str">
        <f>IFERROR(__xludf.DUMMYFUNCTION("""COMPUTED_VALUE"""),"Journal")</f>
        <v>Journal</v>
      </c>
      <c r="N70" s="66">
        <f>IFERROR(__xludf.DUMMYFUNCTION("""COMPUTED_VALUE"""),45818.0)</f>
        <v>45818</v>
      </c>
      <c r="O70" s="41">
        <f>IFERROR(__xludf.DUMMYFUNCTION("""COMPUTED_VALUE"""),17654.0)</f>
        <v>17654</v>
      </c>
      <c r="P70" s="41"/>
      <c r="Q70" s="41"/>
      <c r="R70" s="41"/>
      <c r="S70" s="41"/>
      <c r="T70" s="41"/>
      <c r="U70" s="41" t="str">
        <f>IFERROR(__xludf.DUMMYFUNCTION("""COMPUTED_VALUE"""),"資廚管理顧問股份有限公司(公司卡)_202506_SiteGround 網站主機服務(20250521-20260520)")</f>
        <v>資廚管理顧問股份有限公司(公司卡)_202506_SiteGround 網站主機服務(20250521-20260520)</v>
      </c>
      <c r="V70" s="41"/>
      <c r="W70" s="41"/>
      <c r="X70" s="41"/>
      <c r="Y70" s="71">
        <f>IFERROR(__xludf.DUMMYFUNCTION("""COMPUTED_VALUE"""),9506.0)</f>
        <v>9506</v>
      </c>
      <c r="Z70" s="41">
        <f>IFERROR(__xludf.DUMMYFUNCTION("""COMPUTED_VALUE"""),603201.0)</f>
        <v>603201</v>
      </c>
      <c r="AA70" s="41" t="str">
        <f>IFERROR(__xludf.DUMMYFUNCTION("""COMPUTED_VALUE"""),"行銷營運中心")</f>
        <v>行銷營運中心</v>
      </c>
      <c r="AB70" s="70" t="str">
        <f>IFERROR(__xludf.DUMMYFUNCTION("""COMPUTED_VALUE"""),"執行長室 : 行銷營運中心 : 產品行銷部")</f>
        <v>執行長室 : 行銷營運中心 : 產品行銷部</v>
      </c>
      <c r="AC70" s="70" t="str">
        <f>IFERROR(__xludf.DUMMYFUNCTION("""COMPUTED_VALUE"""),"No_Product_Line")</f>
        <v>No_Product_Line</v>
      </c>
      <c r="AD70" s="70" t="str">
        <f>IFERROR(__xludf.DUMMYFUNCTION("""COMPUTED_VALUE"""),"Baseline")</f>
        <v>Baseline</v>
      </c>
      <c r="AE70" s="70" t="str">
        <f>IFERROR(__xludf.DUMMYFUNCTION("""COMPUTED_VALUE"""),"Baseline")</f>
        <v>Baseline</v>
      </c>
      <c r="AF70" s="71">
        <f>IFERROR(__xludf.DUMMYFUNCTION("""COMPUTED_VALUE"""),16302.0)</f>
        <v>16302</v>
      </c>
      <c r="AG70" s="71">
        <f>IFERROR(__xludf.DUMMYFUNCTION("""COMPUTED_VALUE"""),12.0)</f>
        <v>12</v>
      </c>
      <c r="AH70" s="71">
        <f>IFERROR(__xludf.DUMMYFUNCTION("""COMPUTED_VALUE"""),6796.0)</f>
        <v>6796</v>
      </c>
      <c r="AI70" s="71">
        <f>IFERROR(__xludf.DUMMYFUNCTION("""COMPUTED_VALUE"""),0.0)</f>
        <v>0</v>
      </c>
      <c r="AJ70" s="41"/>
      <c r="AK70" s="41"/>
      <c r="AL70" s="41"/>
      <c r="AM70" s="41"/>
      <c r="AN70" s="41"/>
      <c r="AO70" s="71">
        <f>IFERROR(__xludf.DUMMYFUNCTION("""COMPUTED_VALUE"""),2722.0)</f>
        <v>2722</v>
      </c>
      <c r="AP70" s="71">
        <f>IFERROR(__xludf.DUMMYFUNCTION("""COMPUTED_VALUE"""),1358.0)</f>
        <v>1358</v>
      </c>
      <c r="AQ70" s="71">
        <f>IFERROR(__xludf.DUMMYFUNCTION("""COMPUTED_VALUE"""),1358.0)</f>
        <v>1358</v>
      </c>
      <c r="AR70" s="71">
        <f>IFERROR(__xludf.DUMMYFUNCTION("""COMPUTED_VALUE"""),1358.0)</f>
        <v>1358</v>
      </c>
      <c r="AS70" s="71">
        <f>IFERROR(__xludf.DUMMYFUNCTION("""COMPUTED_VALUE"""),1358.0)</f>
        <v>1358</v>
      </c>
      <c r="AT70" s="71">
        <f>IFERROR(__xludf.DUMMYFUNCTION("""COMPUTED_VALUE"""),1358.0)</f>
        <v>1358</v>
      </c>
      <c r="AU70" s="71">
        <f>IFERROR(__xludf.DUMMYFUNCTION("""COMPUTED_VALUE"""),1358.0)</f>
        <v>1358</v>
      </c>
      <c r="AV70" s="71">
        <f>IFERROR(__xludf.DUMMYFUNCTION("""COMPUTED_VALUE"""),1358.0)</f>
        <v>1358</v>
      </c>
      <c r="AW70" s="71">
        <f>IFERROR(__xludf.DUMMYFUNCTION("""COMPUTED_VALUE"""),1358.0)</f>
        <v>1358</v>
      </c>
      <c r="AX70" s="71">
        <f>IFERROR(__xludf.DUMMYFUNCTION("""COMPUTED_VALUE"""),1358.0)</f>
        <v>1358</v>
      </c>
      <c r="AY70" s="71">
        <f>IFERROR(__xludf.DUMMYFUNCTION("""COMPUTED_VALUE"""),1358.0)</f>
        <v>1358</v>
      </c>
      <c r="AZ70" s="41"/>
    </row>
    <row r="71">
      <c r="B71" s="41"/>
      <c r="C71" s="41"/>
      <c r="D71" s="41"/>
      <c r="E71" s="41"/>
      <c r="F71" s="41"/>
      <c r="G71" s="41"/>
      <c r="H71" s="41"/>
      <c r="I71" s="41">
        <f>IFERROR(__xludf.DUMMYFUNCTION("""COMPUTED_VALUE"""),67.0)</f>
        <v>67</v>
      </c>
      <c r="J71" s="41"/>
      <c r="K71" s="41"/>
      <c r="L71" s="41"/>
      <c r="M71" s="41" t="str">
        <f>IFERROR(__xludf.DUMMYFUNCTION("""COMPUTED_VALUE"""),"Journal")</f>
        <v>Journal</v>
      </c>
      <c r="N71" s="66">
        <f>IFERROR(__xludf.DUMMYFUNCTION("""COMPUTED_VALUE"""),45818.0)</f>
        <v>45818</v>
      </c>
      <c r="O71" s="41">
        <f>IFERROR(__xludf.DUMMYFUNCTION("""COMPUTED_VALUE"""),17654.0)</f>
        <v>17654</v>
      </c>
      <c r="P71" s="41"/>
      <c r="Q71" s="41"/>
      <c r="R71" s="41"/>
      <c r="S71" s="41"/>
      <c r="T71" s="41"/>
      <c r="U71" s="41" t="str">
        <f>IFERROR(__xludf.DUMMYFUNCTION("""COMPUTED_VALUE"""),"黃駿朋_202505_Raycast AI工具年繳 (20250512-20260512)")</f>
        <v>黃駿朋_202505_Raycast AI工具年繳 (20250512-20260512)</v>
      </c>
      <c r="V71" s="41"/>
      <c r="W71" s="41"/>
      <c r="X71" s="41"/>
      <c r="Y71" s="71">
        <f>IFERROR(__xludf.DUMMYFUNCTION("""COMPUTED_VALUE"""),3381.0)</f>
        <v>3381</v>
      </c>
      <c r="Z71" s="41">
        <f>IFERROR(__xludf.DUMMYFUNCTION("""COMPUTED_VALUE"""),520001.0)</f>
        <v>520001</v>
      </c>
      <c r="AA71" s="41" t="str">
        <f>IFERROR(__xludf.DUMMYFUNCTION("""COMPUTED_VALUE"""),"研發中心")</f>
        <v>研發中心</v>
      </c>
      <c r="AB71" s="70" t="str">
        <f>IFERROR(__xludf.DUMMYFUNCTION("""COMPUTED_VALUE"""),"執行長室 : 研發中心 : 軟體工程部")</f>
        <v>執行長室 : 研發中心 : 軟體工程部</v>
      </c>
      <c r="AC71" s="70" t="str">
        <f>IFERROR(__xludf.DUMMYFUNCTION("""COMPUTED_VALUE"""),"No_Product_Line")</f>
        <v>No_Product_Line</v>
      </c>
      <c r="AD71" s="70" t="str">
        <f>IFERROR(__xludf.DUMMYFUNCTION("""COMPUTED_VALUE"""),"Baseline")</f>
        <v>Baseline</v>
      </c>
      <c r="AE71" s="70" t="str">
        <f>IFERROR(__xludf.DUMMYFUNCTION("""COMPUTED_VALUE"""),"Baseline")</f>
        <v>Baseline</v>
      </c>
      <c r="AF71" s="71">
        <f>IFERROR(__xludf.DUMMYFUNCTION("""COMPUTED_VALUE"""),5798.0)</f>
        <v>5798</v>
      </c>
      <c r="AG71" s="71">
        <f>IFERROR(__xludf.DUMMYFUNCTION("""COMPUTED_VALUE"""),12.0)</f>
        <v>12</v>
      </c>
      <c r="AH71" s="71">
        <f>IFERROR(__xludf.DUMMYFUNCTION("""COMPUTED_VALUE"""),2417.0)</f>
        <v>2417</v>
      </c>
      <c r="AI71" s="71">
        <f>IFERROR(__xludf.DUMMYFUNCTION("""COMPUTED_VALUE"""),0.0)</f>
        <v>0</v>
      </c>
      <c r="AJ71" s="41"/>
      <c r="AK71" s="41"/>
      <c r="AL71" s="41"/>
      <c r="AM71" s="41"/>
      <c r="AN71" s="41"/>
      <c r="AO71" s="71">
        <f>IFERROR(__xludf.DUMMYFUNCTION("""COMPUTED_VALUE"""),968.0)</f>
        <v>968</v>
      </c>
      <c r="AP71" s="71">
        <f>IFERROR(__xludf.DUMMYFUNCTION("""COMPUTED_VALUE"""),483.0)</f>
        <v>483</v>
      </c>
      <c r="AQ71" s="71">
        <f>IFERROR(__xludf.DUMMYFUNCTION("""COMPUTED_VALUE"""),483.0)</f>
        <v>483</v>
      </c>
      <c r="AR71" s="71">
        <f>IFERROR(__xludf.DUMMYFUNCTION("""COMPUTED_VALUE"""),483.0)</f>
        <v>483</v>
      </c>
      <c r="AS71" s="71">
        <f>IFERROR(__xludf.DUMMYFUNCTION("""COMPUTED_VALUE"""),483.0)</f>
        <v>483</v>
      </c>
      <c r="AT71" s="71">
        <f>IFERROR(__xludf.DUMMYFUNCTION("""COMPUTED_VALUE"""),483.0)</f>
        <v>483</v>
      </c>
      <c r="AU71" s="71">
        <f>IFERROR(__xludf.DUMMYFUNCTION("""COMPUTED_VALUE"""),483.0)</f>
        <v>483</v>
      </c>
      <c r="AV71" s="71">
        <f>IFERROR(__xludf.DUMMYFUNCTION("""COMPUTED_VALUE"""),483.0)</f>
        <v>483</v>
      </c>
      <c r="AW71" s="71">
        <f>IFERROR(__xludf.DUMMYFUNCTION("""COMPUTED_VALUE"""),483.0)</f>
        <v>483</v>
      </c>
      <c r="AX71" s="71">
        <f>IFERROR(__xludf.DUMMYFUNCTION("""COMPUTED_VALUE"""),483.0)</f>
        <v>483</v>
      </c>
      <c r="AY71" s="71">
        <f>IFERROR(__xludf.DUMMYFUNCTION("""COMPUTED_VALUE"""),483.0)</f>
        <v>483</v>
      </c>
      <c r="AZ71" s="41"/>
    </row>
    <row r="72">
      <c r="B72" s="41"/>
      <c r="C72" s="41"/>
      <c r="D72" s="41"/>
      <c r="E72" s="41"/>
      <c r="F72" s="41"/>
      <c r="G72" s="41"/>
      <c r="H72" s="41"/>
      <c r="I72" s="41">
        <f>IFERROR(__xludf.DUMMYFUNCTION("""COMPUTED_VALUE"""),68.0)</f>
        <v>68</v>
      </c>
      <c r="J72" s="41"/>
      <c r="K72" s="41"/>
      <c r="L72" s="41"/>
      <c r="M72" s="41" t="str">
        <f>IFERROR(__xludf.DUMMYFUNCTION("""COMPUTED_VALUE"""),"Journal")</f>
        <v>Journal</v>
      </c>
      <c r="N72" s="66">
        <f>IFERROR(__xludf.DUMMYFUNCTION("""COMPUTED_VALUE"""),45818.0)</f>
        <v>45818</v>
      </c>
      <c r="O72" s="41">
        <f>IFERROR(__xludf.DUMMYFUNCTION("""COMPUTED_VALUE"""),17654.0)</f>
        <v>17654</v>
      </c>
      <c r="P72" s="41"/>
      <c r="Q72" s="41"/>
      <c r="R72" s="41"/>
      <c r="S72" s="41"/>
      <c r="T72" s="41"/>
      <c r="U72" s="41" t="str">
        <f>IFERROR(__xludf.DUMMYFUNCTION("""COMPUTED_VALUE"""),"資廚管理顧問股份有限公司(公司卡)_202506_Codecov Pro軟體工具_PCAR-3190 (20250526-20260526)")</f>
        <v>資廚管理顧問股份有限公司(公司卡)_202506_Codecov Pro軟體工具_PCAR-3190 (20250526-20260526)</v>
      </c>
      <c r="V72" s="41"/>
      <c r="W72" s="41"/>
      <c r="X72" s="41"/>
      <c r="Y72" s="71">
        <f>IFERROR(__xludf.DUMMYFUNCTION("""COMPUTED_VALUE"""),54288.0)</f>
        <v>54288</v>
      </c>
      <c r="Z72" s="41">
        <f>IFERROR(__xludf.DUMMYFUNCTION("""COMPUTED_VALUE"""),520001.0)</f>
        <v>520001</v>
      </c>
      <c r="AA72" s="41" t="str">
        <f>IFERROR(__xludf.DUMMYFUNCTION("""COMPUTED_VALUE"""),"研發中心")</f>
        <v>研發中心</v>
      </c>
      <c r="AB72" s="70" t="str">
        <f>IFERROR(__xludf.DUMMYFUNCTION("""COMPUTED_VALUE"""),"執行長室 : 研發中心 : 軟體工程部")</f>
        <v>執行長室 : 研發中心 : 軟體工程部</v>
      </c>
      <c r="AC72" s="70" t="str">
        <f>IFERROR(__xludf.DUMMYFUNCTION("""COMPUTED_VALUE"""),"No_Product_Line")</f>
        <v>No_Product_Line</v>
      </c>
      <c r="AD72" s="70" t="str">
        <f>IFERROR(__xludf.DUMMYFUNCTION("""COMPUTED_VALUE"""),"Baseline")</f>
        <v>Baseline</v>
      </c>
      <c r="AE72" s="70" t="str">
        <f>IFERROR(__xludf.DUMMYFUNCTION("""COMPUTED_VALUE"""),"Baseline")</f>
        <v>Baseline</v>
      </c>
      <c r="AF72" s="71">
        <f>IFERROR(__xludf.DUMMYFUNCTION("""COMPUTED_VALUE"""),93100.0)</f>
        <v>93100</v>
      </c>
      <c r="AG72" s="71">
        <f>IFERROR(__xludf.DUMMYFUNCTION("""COMPUTED_VALUE"""),12.0)</f>
        <v>12</v>
      </c>
      <c r="AH72" s="71">
        <f>IFERROR(__xludf.DUMMYFUNCTION("""COMPUTED_VALUE"""),38812.0)</f>
        <v>38812</v>
      </c>
      <c r="AI72" s="71">
        <f>IFERROR(__xludf.DUMMYFUNCTION("""COMPUTED_VALUE"""),0.0)</f>
        <v>0</v>
      </c>
      <c r="AJ72" s="41"/>
      <c r="AK72" s="41"/>
      <c r="AL72" s="41"/>
      <c r="AM72" s="41"/>
      <c r="AN72" s="41"/>
      <c r="AO72" s="71">
        <f>IFERROR(__xludf.DUMMYFUNCTION("""COMPUTED_VALUE"""),15547.0)</f>
        <v>15547</v>
      </c>
      <c r="AP72" s="71">
        <f>IFERROR(__xludf.DUMMYFUNCTION("""COMPUTED_VALUE"""),7755.0)</f>
        <v>7755</v>
      </c>
      <c r="AQ72" s="71">
        <f>IFERROR(__xludf.DUMMYFUNCTION("""COMPUTED_VALUE"""),7755.0)</f>
        <v>7755</v>
      </c>
      <c r="AR72" s="71">
        <f>IFERROR(__xludf.DUMMYFUNCTION("""COMPUTED_VALUE"""),7755.0)</f>
        <v>7755</v>
      </c>
      <c r="AS72" s="71">
        <f>IFERROR(__xludf.DUMMYFUNCTION("""COMPUTED_VALUE"""),7755.0)</f>
        <v>7755</v>
      </c>
      <c r="AT72" s="71">
        <f>IFERROR(__xludf.DUMMYFUNCTION("""COMPUTED_VALUE"""),7755.0)</f>
        <v>7755</v>
      </c>
      <c r="AU72" s="71">
        <f>IFERROR(__xludf.DUMMYFUNCTION("""COMPUTED_VALUE"""),7755.0)</f>
        <v>7755</v>
      </c>
      <c r="AV72" s="71">
        <f>IFERROR(__xludf.DUMMYFUNCTION("""COMPUTED_VALUE"""),7755.0)</f>
        <v>7755</v>
      </c>
      <c r="AW72" s="71">
        <f>IFERROR(__xludf.DUMMYFUNCTION("""COMPUTED_VALUE"""),7755.0)</f>
        <v>7755</v>
      </c>
      <c r="AX72" s="71">
        <f>IFERROR(__xludf.DUMMYFUNCTION("""COMPUTED_VALUE"""),7755.0)</f>
        <v>7755</v>
      </c>
      <c r="AY72" s="71">
        <f>IFERROR(__xludf.DUMMYFUNCTION("""COMPUTED_VALUE"""),7758.0)</f>
        <v>7758</v>
      </c>
      <c r="AZ72" s="41"/>
    </row>
    <row r="73">
      <c r="B73" s="41"/>
      <c r="C73" s="41"/>
      <c r="D73" s="41"/>
      <c r="E73" s="41"/>
      <c r="F73" s="41"/>
      <c r="G73" s="41"/>
      <c r="H73" s="41"/>
      <c r="I73" s="41">
        <f>IFERROR(__xludf.DUMMYFUNCTION("""COMPUTED_VALUE"""),69.0)</f>
        <v>69</v>
      </c>
      <c r="J73" s="41"/>
      <c r="K73" s="41" t="str">
        <f>IFERROR(__xludf.DUMMYFUNCTION("""COMPUTED_VALUE"""),"Y")</f>
        <v>Y</v>
      </c>
      <c r="L73" s="41"/>
      <c r="M73" s="41"/>
      <c r="N73" s="66">
        <f>IFERROR(__xludf.DUMMYFUNCTION("""COMPUTED_VALUE"""),45827.0)</f>
        <v>45827</v>
      </c>
      <c r="O73" s="41" t="str">
        <f>IFERROR(__xludf.DUMMYFUNCTION("""COMPUTED_VALUE"""),"ER6311")</f>
        <v>ER6311</v>
      </c>
      <c r="P73" s="41"/>
      <c r="Q73" s="41"/>
      <c r="R73" s="41"/>
      <c r="S73" s="41"/>
      <c r="T73" s="41"/>
      <c r="U73" s="41" t="str">
        <f>IFERROR(__xludf.DUMMYFUNCTION("""COMPUTED_VALUE"""),"資廚通訊股份有限公司 202506 預付資料處理費(發)(Baseline預付，在12月轉費用)")</f>
        <v>資廚通訊股份有限公司 202506 預付資料處理費(發)(Baseline預付，在12月轉費用)</v>
      </c>
      <c r="V73" s="41"/>
      <c r="W73" s="41"/>
      <c r="X73" s="41"/>
      <c r="Y73" s="71">
        <f>IFERROR(__xludf.DUMMYFUNCTION("""COMPUTED_VALUE"""),95238.0)</f>
        <v>95238</v>
      </c>
      <c r="Z73" s="41">
        <f>IFERROR(__xludf.DUMMYFUNCTION("""COMPUTED_VALUE"""),1411.0)</f>
        <v>1411</v>
      </c>
      <c r="AA73" s="41" t="str">
        <f>IFERROR(__xludf.DUMMYFUNCTION("""COMPUTED_VALUE"""),"財務中心")</f>
        <v>財務中心</v>
      </c>
      <c r="AB73" s="70" t="str">
        <f>IFERROR(__xludf.DUMMYFUNCTION("""COMPUTED_VALUE"""),"執行長室 : 財務中心 : 財務中心")</f>
        <v>執行長室 : 財務中心 : 財務中心</v>
      </c>
      <c r="AC73" s="41"/>
      <c r="AD73" s="41"/>
      <c r="AE73" s="41"/>
      <c r="AF73" s="71">
        <f>IFERROR(__xludf.DUMMYFUNCTION("""COMPUTED_VALUE"""),95238.0)</f>
        <v>95238</v>
      </c>
      <c r="AG73" s="71">
        <f>IFERROR(__xludf.DUMMYFUNCTION("""COMPUTED_VALUE"""),1.0)</f>
        <v>1</v>
      </c>
      <c r="AH73" s="71">
        <f>IFERROR(__xludf.DUMMYFUNCTION("""COMPUTED_VALUE"""),0.0)</f>
        <v>0</v>
      </c>
      <c r="AI73" s="71">
        <f>IFERROR(__xludf.DUMMYFUNCTION("""COMPUTED_VALUE"""),0.0)</f>
        <v>0</v>
      </c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71">
        <f>IFERROR(__xludf.DUMMYFUNCTION("""COMPUTED_VALUE"""),95238.0)</f>
        <v>95238</v>
      </c>
      <c r="AV73" s="41"/>
      <c r="AW73" s="41"/>
      <c r="AX73" s="41"/>
      <c r="AY73" s="41"/>
      <c r="AZ73" s="41"/>
    </row>
    <row r="74">
      <c r="B74" s="41"/>
      <c r="C74" s="41"/>
      <c r="D74" s="41"/>
      <c r="E74" s="41"/>
      <c r="F74" s="41"/>
      <c r="G74" s="41"/>
      <c r="H74" s="41"/>
      <c r="I74" s="41">
        <f>IFERROR(__xludf.DUMMYFUNCTION("""COMPUTED_VALUE"""),70.0)</f>
        <v>70</v>
      </c>
      <c r="J74" s="41"/>
      <c r="K74" s="41"/>
      <c r="L74" s="41"/>
      <c r="M74" s="41" t="str">
        <f>IFERROR(__xludf.DUMMYFUNCTION("""COMPUTED_VALUE"""),"Journal")</f>
        <v>Journal</v>
      </c>
      <c r="N74" s="66">
        <f>IFERROR(__xludf.DUMMYFUNCTION("""COMPUTED_VALUE"""),45835.0)</f>
        <v>45835</v>
      </c>
      <c r="O74" s="41">
        <f>IFERROR(__xludf.DUMMYFUNCTION("""COMPUTED_VALUE"""),17746.0)</f>
        <v>17746</v>
      </c>
      <c r="P74" s="41"/>
      <c r="Q74" s="41"/>
      <c r="R74" s="41"/>
      <c r="S74" s="41"/>
      <c r="T74" s="41"/>
      <c r="U74" s="41" t="str">
        <f>IFERROR(__xludf.DUMMYFUNCTION("""COMPUTED_VALUE"""),"資廚管理顧問股份有限公司(公司卡)_202505_Cursor AI 編輯器 (20250504-20260209)")</f>
        <v>資廚管理顧問股份有限公司(公司卡)_202505_Cursor AI 編輯器 (20250504-20260209)</v>
      </c>
      <c r="V74" s="41"/>
      <c r="W74" s="41"/>
      <c r="X74" s="41"/>
      <c r="Y74" s="71">
        <f>IFERROR(__xludf.DUMMYFUNCTION("""COMPUTED_VALUE"""),4045.0)</f>
        <v>4045</v>
      </c>
      <c r="Z74" s="41">
        <f>IFERROR(__xludf.DUMMYFUNCTION("""COMPUTED_VALUE"""),520001.0)</f>
        <v>520001</v>
      </c>
      <c r="AA74" s="41" t="str">
        <f>IFERROR(__xludf.DUMMYFUNCTION("""COMPUTED_VALUE"""),"研發中心")</f>
        <v>研發中心</v>
      </c>
      <c r="AB74" s="70" t="str">
        <f>IFERROR(__xludf.DUMMYFUNCTION("""COMPUTED_VALUE"""),"執行長室 : 研發中心 : 軟體工程部")</f>
        <v>執行長室 : 研發中心 : 軟體工程部</v>
      </c>
      <c r="AC74" s="70" t="str">
        <f>IFERROR(__xludf.DUMMYFUNCTION("""COMPUTED_VALUE"""),"No_Product_Line")</f>
        <v>No_Product_Line</v>
      </c>
      <c r="AD74" s="70" t="str">
        <f>IFERROR(__xludf.DUMMYFUNCTION("""COMPUTED_VALUE"""),"Baseline")</f>
        <v>Baseline</v>
      </c>
      <c r="AE74" s="70" t="str">
        <f>IFERROR(__xludf.DUMMYFUNCTION("""COMPUTED_VALUE"""),"Baseline")</f>
        <v>Baseline</v>
      </c>
      <c r="AF74" s="71">
        <f>IFERROR(__xludf.DUMMYFUNCTION("""COMPUTED_VALUE"""),9106.0)</f>
        <v>9106</v>
      </c>
      <c r="AG74" s="71">
        <f>IFERROR(__xludf.DUMMYFUNCTION("""COMPUTED_VALUE"""),10.0)</f>
        <v>10</v>
      </c>
      <c r="AH74" s="71">
        <f>IFERROR(__xludf.DUMMYFUNCTION("""COMPUTED_VALUE"""),5061.0)</f>
        <v>5061</v>
      </c>
      <c r="AI74" s="71">
        <f>IFERROR(__xludf.DUMMYFUNCTION("""COMPUTED_VALUE"""),0.0)</f>
        <v>0</v>
      </c>
      <c r="AJ74" s="41"/>
      <c r="AK74" s="41"/>
      <c r="AL74" s="41"/>
      <c r="AM74" s="41"/>
      <c r="AN74" s="41"/>
      <c r="AO74" s="71">
        <f>IFERROR(__xludf.DUMMYFUNCTION("""COMPUTED_VALUE"""),2025.0)</f>
        <v>2025</v>
      </c>
      <c r="AP74" s="71">
        <f>IFERROR(__xludf.DUMMYFUNCTION("""COMPUTED_VALUE"""),1012.0)</f>
        <v>1012</v>
      </c>
      <c r="AQ74" s="71">
        <f>IFERROR(__xludf.DUMMYFUNCTION("""COMPUTED_VALUE"""),1012.0)</f>
        <v>1012</v>
      </c>
      <c r="AR74" s="71">
        <f>IFERROR(__xludf.DUMMYFUNCTION("""COMPUTED_VALUE"""),1012.0)</f>
        <v>1012</v>
      </c>
      <c r="AS74" s="71">
        <f>IFERROR(__xludf.DUMMYFUNCTION("""COMPUTED_VALUE"""),1012.0)</f>
        <v>1012</v>
      </c>
      <c r="AT74" s="71">
        <f>IFERROR(__xludf.DUMMYFUNCTION("""COMPUTED_VALUE"""),1012.0)</f>
        <v>1012</v>
      </c>
      <c r="AU74" s="71">
        <f>IFERROR(__xludf.DUMMYFUNCTION("""COMPUTED_VALUE"""),1012.0)</f>
        <v>1012</v>
      </c>
      <c r="AV74" s="71">
        <f>IFERROR(__xludf.DUMMYFUNCTION("""COMPUTED_VALUE"""),1009.0)</f>
        <v>1009</v>
      </c>
      <c r="AW74" s="41"/>
      <c r="AX74" s="41"/>
      <c r="AY74" s="41"/>
      <c r="AZ74" s="41"/>
    </row>
    <row r="75">
      <c r="B75" s="41"/>
      <c r="C75" s="41"/>
      <c r="D75" s="41"/>
      <c r="E75" s="41"/>
      <c r="F75" s="41"/>
      <c r="G75" s="41"/>
      <c r="H75" s="41"/>
      <c r="I75" s="41">
        <f>IFERROR(__xludf.DUMMYFUNCTION("""COMPUTED_VALUE"""),71.0)</f>
        <v>71</v>
      </c>
      <c r="J75" s="41"/>
      <c r="K75" s="41"/>
      <c r="L75" s="41"/>
      <c r="M75" s="41" t="str">
        <f>IFERROR(__xludf.DUMMYFUNCTION("""COMPUTED_VALUE"""),"Journal")</f>
        <v>Journal</v>
      </c>
      <c r="N75" s="66">
        <f>IFERROR(__xludf.DUMMYFUNCTION("""COMPUTED_VALUE"""),45835.0)</f>
        <v>45835</v>
      </c>
      <c r="O75" s="41">
        <f>IFERROR(__xludf.DUMMYFUNCTION("""COMPUTED_VALUE"""),17746.0)</f>
        <v>17746</v>
      </c>
      <c r="P75" s="41"/>
      <c r="Q75" s="41"/>
      <c r="R75" s="41"/>
      <c r="S75" s="41"/>
      <c r="T75" s="41"/>
      <c r="U75" s="41" t="str">
        <f>IFERROR(__xludf.DUMMYFUNCTION("""COMPUTED_VALUE"""),"資廚管理顧問股份有限公司(公司卡)_202505_Lokalise (20250507-20260507)")</f>
        <v>資廚管理顧問股份有限公司(公司卡)_202505_Lokalise (20250507-20260507)</v>
      </c>
      <c r="V75" s="41"/>
      <c r="W75" s="41"/>
      <c r="X75" s="41"/>
      <c r="Y75" s="71">
        <f>IFERROR(__xludf.DUMMYFUNCTION("""COMPUTED_VALUE"""),122537.0)</f>
        <v>122537</v>
      </c>
      <c r="Z75" s="41">
        <f>IFERROR(__xludf.DUMMYFUNCTION("""COMPUTED_VALUE"""),520001.0)</f>
        <v>520001</v>
      </c>
      <c r="AA75" s="41" t="str">
        <f>IFERROR(__xludf.DUMMYFUNCTION("""COMPUTED_VALUE"""),"研發中心")</f>
        <v>研發中心</v>
      </c>
      <c r="AB75" s="70" t="str">
        <f>IFERROR(__xludf.DUMMYFUNCTION("""COMPUTED_VALUE"""),"執行長室 : 研發中心 : 軟體工程部")</f>
        <v>執行長室 : 研發中心 : 軟體工程部</v>
      </c>
      <c r="AC75" s="70" t="str">
        <f>IFERROR(__xludf.DUMMYFUNCTION("""COMPUTED_VALUE"""),"No_Product_Line")</f>
        <v>No_Product_Line</v>
      </c>
      <c r="AD75" s="70" t="str">
        <f>IFERROR(__xludf.DUMMYFUNCTION("""COMPUTED_VALUE"""),"Baseline")</f>
        <v>Baseline</v>
      </c>
      <c r="AE75" s="70" t="str">
        <f>IFERROR(__xludf.DUMMYFUNCTION("""COMPUTED_VALUE"""),"Baseline")</f>
        <v>Baseline</v>
      </c>
      <c r="AF75" s="71">
        <f>IFERROR(__xludf.DUMMYFUNCTION("""COMPUTED_VALUE"""),210151.0)</f>
        <v>210151</v>
      </c>
      <c r="AG75" s="71">
        <f>IFERROR(__xludf.DUMMYFUNCTION("""COMPUTED_VALUE"""),12.0)</f>
        <v>12</v>
      </c>
      <c r="AH75" s="71">
        <f>IFERROR(__xludf.DUMMYFUNCTION("""COMPUTED_VALUE"""),87614.0)</f>
        <v>87614</v>
      </c>
      <c r="AI75" s="71">
        <f>IFERROR(__xludf.DUMMYFUNCTION("""COMPUTED_VALUE"""),0.0)</f>
        <v>0</v>
      </c>
      <c r="AJ75" s="41"/>
      <c r="AK75" s="41"/>
      <c r="AL75" s="41"/>
      <c r="AM75" s="41"/>
      <c r="AN75" s="41"/>
      <c r="AO75" s="71">
        <f>IFERROR(__xludf.DUMMYFUNCTION("""COMPUTED_VALUE"""),35096.0)</f>
        <v>35096</v>
      </c>
      <c r="AP75" s="71">
        <f>IFERROR(__xludf.DUMMYFUNCTION("""COMPUTED_VALUE"""),17506.0)</f>
        <v>17506</v>
      </c>
      <c r="AQ75" s="71">
        <f>IFERROR(__xludf.DUMMYFUNCTION("""COMPUTED_VALUE"""),17506.0)</f>
        <v>17506</v>
      </c>
      <c r="AR75" s="71">
        <f>IFERROR(__xludf.DUMMYFUNCTION("""COMPUTED_VALUE"""),17506.0)</f>
        <v>17506</v>
      </c>
      <c r="AS75" s="71">
        <f>IFERROR(__xludf.DUMMYFUNCTION("""COMPUTED_VALUE"""),17506.0)</f>
        <v>17506</v>
      </c>
      <c r="AT75" s="71">
        <f>IFERROR(__xludf.DUMMYFUNCTION("""COMPUTED_VALUE"""),17506.0)</f>
        <v>17506</v>
      </c>
      <c r="AU75" s="71">
        <f>IFERROR(__xludf.DUMMYFUNCTION("""COMPUTED_VALUE"""),17506.0)</f>
        <v>17506</v>
      </c>
      <c r="AV75" s="71">
        <f>IFERROR(__xludf.DUMMYFUNCTION("""COMPUTED_VALUE"""),17506.0)</f>
        <v>17506</v>
      </c>
      <c r="AW75" s="71">
        <f>IFERROR(__xludf.DUMMYFUNCTION("""COMPUTED_VALUE"""),17506.0)</f>
        <v>17506</v>
      </c>
      <c r="AX75" s="71">
        <f>IFERROR(__xludf.DUMMYFUNCTION("""COMPUTED_VALUE"""),17506.0)</f>
        <v>17506</v>
      </c>
      <c r="AY75" s="71">
        <f>IFERROR(__xludf.DUMMYFUNCTION("""COMPUTED_VALUE"""),17501.0)</f>
        <v>17501</v>
      </c>
      <c r="AZ75" s="41"/>
    </row>
    <row r="76">
      <c r="B76" s="41"/>
      <c r="C76" s="41"/>
      <c r="D76" s="41"/>
      <c r="E76" s="41"/>
      <c r="F76" s="41"/>
      <c r="G76" s="41"/>
      <c r="H76" s="41"/>
      <c r="I76" s="41">
        <f>IFERROR(__xludf.DUMMYFUNCTION("""COMPUTED_VALUE"""),72.0)</f>
        <v>72</v>
      </c>
      <c r="J76" s="41"/>
      <c r="K76" s="41"/>
      <c r="L76" s="41"/>
      <c r="M76" s="41" t="str">
        <f>IFERROR(__xludf.DUMMYFUNCTION("""COMPUTED_VALUE"""),"Journal")</f>
        <v>Journal</v>
      </c>
      <c r="N76" s="66">
        <f>IFERROR(__xludf.DUMMYFUNCTION("""COMPUTED_VALUE"""),45848.0)</f>
        <v>45848</v>
      </c>
      <c r="O76" s="41">
        <f>IFERROR(__xludf.DUMMYFUNCTION("""COMPUTED_VALUE"""),18008.0)</f>
        <v>18008</v>
      </c>
      <c r="P76" s="41"/>
      <c r="Q76" s="41"/>
      <c r="R76" s="41"/>
      <c r="S76" s="41"/>
      <c r="T76" s="41"/>
      <c r="U76" s="41" t="str">
        <f>IFERROR(__xludf.DUMMYFUNCTION("""COMPUTED_VALUE"""),"中德保全股份有限公司_202507_台北辦公室保全服務費(發)(2025/7/8-2026/7/7)(沖ER6447)")</f>
        <v>中德保全股份有限公司_202507_台北辦公室保全服務費(發)(2025/7/8-2026/7/7)(沖ER6447)</v>
      </c>
      <c r="V76" s="41"/>
      <c r="W76" s="41"/>
      <c r="X76" s="41"/>
      <c r="Y76" s="71">
        <f>IFERROR(__xludf.DUMMYFUNCTION("""COMPUTED_VALUE"""),24740.0)</f>
        <v>24740</v>
      </c>
      <c r="Z76" s="41">
        <f>IFERROR(__xludf.DUMMYFUNCTION("""COMPUTED_VALUE"""),612904.0)</f>
        <v>612904</v>
      </c>
      <c r="AA76" s="41" t="str">
        <f>IFERROR(__xludf.DUMMYFUNCTION("""COMPUTED_VALUE"""),"管理中心")</f>
        <v>管理中心</v>
      </c>
      <c r="AB76" s="70" t="str">
        <f>IFERROR(__xludf.DUMMYFUNCTION("""COMPUTED_VALUE"""),"執行長室 : 管理中心 : 行政總務部 : 行政總務團隊 : 行政總務組")</f>
        <v>執行長室 : 管理中心 : 行政總務部 : 行政總務團隊 : 行政總務組</v>
      </c>
      <c r="AC76" s="70" t="str">
        <f>IFERROR(__xludf.DUMMYFUNCTION("""COMPUTED_VALUE"""),"No_Product_Line")</f>
        <v>No_Product_Line</v>
      </c>
      <c r="AD76" s="70" t="str">
        <f>IFERROR(__xludf.DUMMYFUNCTION("""COMPUTED_VALUE"""),"Baseline")</f>
        <v>Baseline</v>
      </c>
      <c r="AE76" s="70" t="str">
        <f>IFERROR(__xludf.DUMMYFUNCTION("""COMPUTED_VALUE"""),"Baseline")</f>
        <v>Baseline</v>
      </c>
      <c r="AF76" s="71">
        <f>IFERROR(__xludf.DUMMYFUNCTION("""COMPUTED_VALUE"""),33000.0)</f>
        <v>33000</v>
      </c>
      <c r="AG76" s="71">
        <f>IFERROR(__xludf.DUMMYFUNCTION("""COMPUTED_VALUE"""),12.0)</f>
        <v>12</v>
      </c>
      <c r="AH76" s="71">
        <f>IFERROR(__xludf.DUMMYFUNCTION("""COMPUTED_VALUE"""),8260.0)</f>
        <v>8260</v>
      </c>
      <c r="AI76" s="71">
        <f>IFERROR(__xludf.DUMMYFUNCTION("""COMPUTED_VALUE"""),0.0)</f>
        <v>0</v>
      </c>
      <c r="AJ76" s="41"/>
      <c r="AK76" s="41"/>
      <c r="AL76" s="41"/>
      <c r="AM76" s="41"/>
      <c r="AN76" s="41"/>
      <c r="AO76" s="41"/>
      <c r="AP76" s="71">
        <f>IFERROR(__xludf.DUMMYFUNCTION("""COMPUTED_VALUE"""),2762.0)</f>
        <v>2762</v>
      </c>
      <c r="AQ76" s="71">
        <f>IFERROR(__xludf.DUMMYFUNCTION("""COMPUTED_VALUE"""),2749.0)</f>
        <v>2749</v>
      </c>
      <c r="AR76" s="71">
        <f>IFERROR(__xludf.DUMMYFUNCTION("""COMPUTED_VALUE"""),2749.0)</f>
        <v>2749</v>
      </c>
      <c r="AS76" s="71">
        <f>IFERROR(__xludf.DUMMYFUNCTION("""COMPUTED_VALUE"""),2749.0)</f>
        <v>2749</v>
      </c>
      <c r="AT76" s="71">
        <f>IFERROR(__xludf.DUMMYFUNCTION("""COMPUTED_VALUE"""),2749.0)</f>
        <v>2749</v>
      </c>
      <c r="AU76" s="71">
        <f>IFERROR(__xludf.DUMMYFUNCTION("""COMPUTED_VALUE"""),2749.0)</f>
        <v>2749</v>
      </c>
      <c r="AV76" s="71">
        <f>IFERROR(__xludf.DUMMYFUNCTION("""COMPUTED_VALUE"""),2749.0)</f>
        <v>2749</v>
      </c>
      <c r="AW76" s="71">
        <f>IFERROR(__xludf.DUMMYFUNCTION("""COMPUTED_VALUE"""),2749.0)</f>
        <v>2749</v>
      </c>
      <c r="AX76" s="71">
        <f>IFERROR(__xludf.DUMMYFUNCTION("""COMPUTED_VALUE"""),2749.0)</f>
        <v>2749</v>
      </c>
      <c r="AY76" s="71">
        <f>IFERROR(__xludf.DUMMYFUNCTION("""COMPUTED_VALUE"""),2749.0)</f>
        <v>2749</v>
      </c>
      <c r="AZ76" s="71">
        <f>IFERROR(__xludf.DUMMYFUNCTION("""COMPUTED_VALUE"""),2749.0)</f>
        <v>2749</v>
      </c>
    </row>
    <row r="77">
      <c r="B77" s="41"/>
      <c r="C77" s="41"/>
      <c r="D77" s="41"/>
      <c r="E77" s="41"/>
      <c r="F77" s="41"/>
      <c r="G77" s="41"/>
      <c r="H77" s="41"/>
      <c r="I77" s="41">
        <f>IFERROR(__xludf.DUMMYFUNCTION("""COMPUTED_VALUE"""),73.0)</f>
        <v>73</v>
      </c>
      <c r="J77" s="41"/>
      <c r="K77" s="41"/>
      <c r="L77" s="41"/>
      <c r="M77" s="41" t="str">
        <f>IFERROR(__xludf.DUMMYFUNCTION("""COMPUTED_VALUE"""),"Journal")</f>
        <v>Journal</v>
      </c>
      <c r="N77" s="66">
        <f>IFERROR(__xludf.DUMMYFUNCTION("""COMPUTED_VALUE"""),45848.0)</f>
        <v>45848</v>
      </c>
      <c r="O77" s="41">
        <f>IFERROR(__xludf.DUMMYFUNCTION("""COMPUTED_VALUE"""),18008.0)</f>
        <v>18008</v>
      </c>
      <c r="P77" s="41"/>
      <c r="Q77" s="41"/>
      <c r="R77" s="41"/>
      <c r="S77" s="41"/>
      <c r="T77" s="41"/>
      <c r="U77" s="41" t="str">
        <f>IFERROR(__xludf.DUMMYFUNCTION("""COMPUTED_VALUE"""),"資廚管理顧問股份有限公司(公司卡)_202507_刷公司卡後補收據_付款對像：godaddy，.app、.com.tw、.tw約期：2025/07/02-2026/07/02(findining.ai約期為2025/07/02-2027/07/02)(沖ER6443)")</f>
        <v>資廚管理顧問股份有限公司(公司卡)_202507_刷公司卡後補收據_付款對像：godaddy，.app、.com.tw、.tw約期：2025/07/02-2026/07/02(findining.ai約期為2025/07/02-2027/07/02)(沖ER6443)</v>
      </c>
      <c r="V77" s="41"/>
      <c r="W77" s="41"/>
      <c r="X77" s="41"/>
      <c r="Y77" s="71">
        <f>IFERROR(__xludf.DUMMYFUNCTION("""COMPUTED_VALUE"""),6267.0)</f>
        <v>6267</v>
      </c>
      <c r="Z77" s="41">
        <f>IFERROR(__xludf.DUMMYFUNCTION("""COMPUTED_VALUE"""),520001.0)</f>
        <v>520001</v>
      </c>
      <c r="AA77" s="41" t="str">
        <f>IFERROR(__xludf.DUMMYFUNCTION("""COMPUTED_VALUE"""),"執行長室")</f>
        <v>執行長室</v>
      </c>
      <c r="AB77" s="70" t="str">
        <f>IFERROR(__xludf.DUMMYFUNCTION("""COMPUTED_VALUE"""),"執行長室")</f>
        <v>執行長室</v>
      </c>
      <c r="AC77" s="70" t="str">
        <f>IFERROR(__xludf.DUMMYFUNCTION("""COMPUTED_VALUE"""),"No_Product_Line")</f>
        <v>No_Product_Line</v>
      </c>
      <c r="AD77" s="70" t="str">
        <f>IFERROR(__xludf.DUMMYFUNCTION("""COMPUTED_VALUE"""),"CEOTA1")</f>
        <v>CEOTA1</v>
      </c>
      <c r="AE77" s="70" t="str">
        <f>IFERROR(__xludf.DUMMYFUNCTION("""COMPUTED_VALUE"""),"S1KP2")</f>
        <v>S1KP2</v>
      </c>
      <c r="AF77" s="71">
        <f>IFERROR(__xludf.DUMMYFUNCTION("""COMPUTED_VALUE"""),8359.0)</f>
        <v>8359</v>
      </c>
      <c r="AG77" s="71">
        <f>IFERROR(__xludf.DUMMYFUNCTION("""COMPUTED_VALUE"""),12.0)</f>
        <v>12</v>
      </c>
      <c r="AH77" s="71">
        <f>IFERROR(__xludf.DUMMYFUNCTION("""COMPUTED_VALUE"""),2092.0)</f>
        <v>2092</v>
      </c>
      <c r="AI77" s="71">
        <f>IFERROR(__xludf.DUMMYFUNCTION("""COMPUTED_VALUE"""),0.0)</f>
        <v>0</v>
      </c>
      <c r="AJ77" s="41"/>
      <c r="AK77" s="41"/>
      <c r="AL77" s="41"/>
      <c r="AM77" s="41"/>
      <c r="AN77" s="41"/>
      <c r="AO77" s="41"/>
      <c r="AP77" s="71">
        <f>IFERROR(__xludf.DUMMYFUNCTION("""COMPUTED_VALUE"""),700.0)</f>
        <v>700</v>
      </c>
      <c r="AQ77" s="71">
        <f>IFERROR(__xludf.DUMMYFUNCTION("""COMPUTED_VALUE"""),696.0)</f>
        <v>696</v>
      </c>
      <c r="AR77" s="71">
        <f>IFERROR(__xludf.DUMMYFUNCTION("""COMPUTED_VALUE"""),696.0)</f>
        <v>696</v>
      </c>
      <c r="AS77" s="71">
        <f>IFERROR(__xludf.DUMMYFUNCTION("""COMPUTED_VALUE"""),696.0)</f>
        <v>696</v>
      </c>
      <c r="AT77" s="71">
        <f>IFERROR(__xludf.DUMMYFUNCTION("""COMPUTED_VALUE"""),696.0)</f>
        <v>696</v>
      </c>
      <c r="AU77" s="71">
        <f>IFERROR(__xludf.DUMMYFUNCTION("""COMPUTED_VALUE"""),696.0)</f>
        <v>696</v>
      </c>
      <c r="AV77" s="71">
        <f>IFERROR(__xludf.DUMMYFUNCTION("""COMPUTED_VALUE"""),696.0)</f>
        <v>696</v>
      </c>
      <c r="AW77" s="71">
        <f>IFERROR(__xludf.DUMMYFUNCTION("""COMPUTED_VALUE"""),696.0)</f>
        <v>696</v>
      </c>
      <c r="AX77" s="71">
        <f>IFERROR(__xludf.DUMMYFUNCTION("""COMPUTED_VALUE"""),696.0)</f>
        <v>696</v>
      </c>
      <c r="AY77" s="71">
        <f>IFERROR(__xludf.DUMMYFUNCTION("""COMPUTED_VALUE"""),696.0)</f>
        <v>696</v>
      </c>
      <c r="AZ77" s="71">
        <f>IFERROR(__xludf.DUMMYFUNCTION("""COMPUTED_VALUE"""),696.0)</f>
        <v>696</v>
      </c>
    </row>
    <row r="78">
      <c r="B78" s="41"/>
      <c r="C78" s="41"/>
      <c r="D78" s="41"/>
      <c r="E78" s="41"/>
      <c r="F78" s="41"/>
      <c r="G78" s="41"/>
      <c r="H78" s="41"/>
      <c r="I78" s="41">
        <f>IFERROR(__xludf.DUMMYFUNCTION("""COMPUTED_VALUE"""),74.0)</f>
        <v>74</v>
      </c>
      <c r="J78" s="41"/>
      <c r="K78" s="41"/>
      <c r="L78" s="41"/>
      <c r="M78" s="41" t="str">
        <f>IFERROR(__xludf.DUMMYFUNCTION("""COMPUTED_VALUE"""),"Journal")</f>
        <v>Journal</v>
      </c>
      <c r="N78" s="66">
        <f>IFERROR(__xludf.DUMMYFUNCTION("""COMPUTED_VALUE"""),45848.0)</f>
        <v>45848</v>
      </c>
      <c r="O78" s="41">
        <f>IFERROR(__xludf.DUMMYFUNCTION("""COMPUTED_VALUE"""),18008.0)</f>
        <v>18008</v>
      </c>
      <c r="P78" s="41"/>
      <c r="Q78" s="41"/>
      <c r="R78" s="41"/>
      <c r="S78" s="41"/>
      <c r="T78" s="41"/>
      <c r="U78" s="41" t="str">
        <f>IFERROR(__xludf.DUMMYFUNCTION("""COMPUTED_VALUE"""),"車欣蓓_202507_社群組共同使用帳號：Capcut 剪輯軟體一年費用（去除浮水印、進階特效、轉場功能）(20250725-20260725)(沖ER6660)")</f>
        <v>車欣蓓_202507_社群組共同使用帳號：Capcut 剪輯軟體一年費用（去除浮水印、進階特效、轉場功能）(20250725-20260725)(沖ER6660)</v>
      </c>
      <c r="V78" s="41"/>
      <c r="W78" s="41"/>
      <c r="X78" s="41"/>
      <c r="Y78" s="71">
        <f>IFERROR(__xludf.DUMMYFUNCTION("""COMPUTED_VALUE"""),3366.0)</f>
        <v>3366</v>
      </c>
      <c r="Z78" s="41">
        <f>IFERROR(__xludf.DUMMYFUNCTION("""COMPUTED_VALUE"""),603201.0)</f>
        <v>603201</v>
      </c>
      <c r="AA78" s="41" t="str">
        <f>IFERROR(__xludf.DUMMYFUNCTION("""COMPUTED_VALUE"""),"行銷營運中心")</f>
        <v>行銷營運中心</v>
      </c>
      <c r="AB78" s="70" t="str">
        <f>IFERROR(__xludf.DUMMYFUNCTION("""COMPUTED_VALUE"""),"執行長室 : 行銷營運中心 : 社群關係部 : 餐廳社群團隊 : 社群營運組")</f>
        <v>執行長室 : 行銷營運中心 : 社群關係部 : 餐廳社群團隊 : 社群營運組</v>
      </c>
      <c r="AC78" s="70" t="str">
        <f>IFERROR(__xludf.DUMMYFUNCTION("""COMPUTED_VALUE"""),"No_Product_Line")</f>
        <v>No_Product_Line</v>
      </c>
      <c r="AD78" s="70" t="str">
        <f>IFERROR(__xludf.DUMMYFUNCTION("""COMPUTED_VALUE"""),"Baseline")</f>
        <v>Baseline</v>
      </c>
      <c r="AE78" s="70" t="str">
        <f>IFERROR(__xludf.DUMMYFUNCTION("""COMPUTED_VALUE"""),"Baseline")</f>
        <v>Baseline</v>
      </c>
      <c r="AF78" s="71">
        <f>IFERROR(__xludf.DUMMYFUNCTION("""COMPUTED_VALUE"""),4490.0)</f>
        <v>4490</v>
      </c>
      <c r="AG78" s="71">
        <f>IFERROR(__xludf.DUMMYFUNCTION("""COMPUTED_VALUE"""),12.0)</f>
        <v>12</v>
      </c>
      <c r="AH78" s="71">
        <f>IFERROR(__xludf.DUMMYFUNCTION("""COMPUTED_VALUE"""),1124.0)</f>
        <v>1124</v>
      </c>
      <c r="AI78" s="71">
        <f>IFERROR(__xludf.DUMMYFUNCTION("""COMPUTED_VALUE"""),0.0)</f>
        <v>0</v>
      </c>
      <c r="AJ78" s="41"/>
      <c r="AK78" s="41"/>
      <c r="AL78" s="41"/>
      <c r="AM78" s="41"/>
      <c r="AN78" s="41"/>
      <c r="AO78" s="41"/>
      <c r="AP78" s="71">
        <f>IFERROR(__xludf.DUMMYFUNCTION("""COMPUTED_VALUE"""),376.0)</f>
        <v>376</v>
      </c>
      <c r="AQ78" s="71">
        <f>IFERROR(__xludf.DUMMYFUNCTION("""COMPUTED_VALUE"""),374.0)</f>
        <v>374</v>
      </c>
      <c r="AR78" s="71">
        <f>IFERROR(__xludf.DUMMYFUNCTION("""COMPUTED_VALUE"""),374.0)</f>
        <v>374</v>
      </c>
      <c r="AS78" s="71">
        <f>IFERROR(__xludf.DUMMYFUNCTION("""COMPUTED_VALUE"""),374.0)</f>
        <v>374</v>
      </c>
      <c r="AT78" s="71">
        <f>IFERROR(__xludf.DUMMYFUNCTION("""COMPUTED_VALUE"""),374.0)</f>
        <v>374</v>
      </c>
      <c r="AU78" s="71">
        <f>IFERROR(__xludf.DUMMYFUNCTION("""COMPUTED_VALUE"""),374.0)</f>
        <v>374</v>
      </c>
      <c r="AV78" s="71">
        <f>IFERROR(__xludf.DUMMYFUNCTION("""COMPUTED_VALUE"""),374.0)</f>
        <v>374</v>
      </c>
      <c r="AW78" s="71">
        <f>IFERROR(__xludf.DUMMYFUNCTION("""COMPUTED_VALUE"""),374.0)</f>
        <v>374</v>
      </c>
      <c r="AX78" s="71">
        <f>IFERROR(__xludf.DUMMYFUNCTION("""COMPUTED_VALUE"""),374.0)</f>
        <v>374</v>
      </c>
      <c r="AY78" s="71">
        <f>IFERROR(__xludf.DUMMYFUNCTION("""COMPUTED_VALUE"""),374.0)</f>
        <v>374</v>
      </c>
      <c r="AZ78" s="71">
        <f>IFERROR(__xludf.DUMMYFUNCTION("""COMPUTED_VALUE"""),374.0)</f>
        <v>374</v>
      </c>
    </row>
    <row r="79">
      <c r="B79" s="41"/>
      <c r="C79" s="41"/>
      <c r="D79" s="41"/>
      <c r="E79" s="41"/>
      <c r="F79" s="41"/>
      <c r="G79" s="41"/>
      <c r="H79" s="41"/>
      <c r="I79" s="41">
        <f>IFERROR(__xludf.DUMMYFUNCTION("""COMPUTED_VALUE"""),75.0)</f>
        <v>75</v>
      </c>
      <c r="J79" s="41"/>
      <c r="K79" s="41"/>
      <c r="L79" s="41"/>
      <c r="M79" s="41" t="str">
        <f>IFERROR(__xludf.DUMMYFUNCTION("""COMPUTED_VALUE"""),"Journal")</f>
        <v>Journal</v>
      </c>
      <c r="N79" s="66">
        <f>IFERROR(__xludf.DUMMYFUNCTION("""COMPUTED_VALUE"""),45867.0)</f>
        <v>45867</v>
      </c>
      <c r="O79" s="41">
        <f>IFERROR(__xludf.DUMMYFUNCTION("""COMPUTED_VALUE"""),18126.0)</f>
        <v>18126</v>
      </c>
      <c r="P79" s="41"/>
      <c r="Q79" s="41"/>
      <c r="R79" s="41"/>
      <c r="S79" s="41"/>
      <c r="T79" s="41"/>
      <c r="U79" s="41" t="str">
        <f>IFERROR(__xludf.DUMMYFUNCTION("""COMPUTED_VALUE"""),"資廚管理顧問股份有限公司(公司卡)_202505_Figma+FigJam設計生產力軟體工具款項(約期2025/5/27-2026/5/27)_ PCAR-3413(沖ER6607)")</f>
        <v>資廚管理顧問股份有限公司(公司卡)_202505_Figma+FigJam設計生產力軟體工具款項(約期2025/5/27-2026/5/27)_ PCAR-3413(沖ER6607)</v>
      </c>
      <c r="V79" s="41"/>
      <c r="W79" s="41"/>
      <c r="X79" s="41"/>
      <c r="Y79" s="71">
        <f>IFERROR(__xludf.DUMMYFUNCTION("""COMPUTED_VALUE"""),83632.0)</f>
        <v>83632</v>
      </c>
      <c r="Z79" s="41">
        <f>IFERROR(__xludf.DUMMYFUNCTION("""COMPUTED_VALUE"""),520001.0)</f>
        <v>520001</v>
      </c>
      <c r="AA79" s="41" t="str">
        <f>IFERROR(__xludf.DUMMYFUNCTION("""COMPUTED_VALUE"""),"研發中心")</f>
        <v>研發中心</v>
      </c>
      <c r="AB79" s="70" t="str">
        <f>IFERROR(__xludf.DUMMYFUNCTION("""COMPUTED_VALUE"""),"執行長室 : 研發中心 : 軟體工程部")</f>
        <v>執行長室 : 研發中心 : 軟體工程部</v>
      </c>
      <c r="AC79" s="70" t="str">
        <f>IFERROR(__xludf.DUMMYFUNCTION("""COMPUTED_VALUE"""),"No_Product_Line")</f>
        <v>No_Product_Line</v>
      </c>
      <c r="AD79" s="70" t="str">
        <f>IFERROR(__xludf.DUMMYFUNCTION("""COMPUTED_VALUE"""),"Baseline")</f>
        <v>Baseline</v>
      </c>
      <c r="AE79" s="70" t="str">
        <f>IFERROR(__xludf.DUMMYFUNCTION("""COMPUTED_VALUE"""),"Baseline")</f>
        <v>Baseline</v>
      </c>
      <c r="AF79" s="71">
        <f>IFERROR(__xludf.DUMMYFUNCTION("""COMPUTED_VALUE"""),143425.0)</f>
        <v>143425</v>
      </c>
      <c r="AG79" s="71">
        <f>IFERROR(__xludf.DUMMYFUNCTION("""COMPUTED_VALUE"""),12.0)</f>
        <v>12</v>
      </c>
      <c r="AH79" s="71">
        <f>IFERROR(__xludf.DUMMYFUNCTION("""COMPUTED_VALUE"""),59793.0)</f>
        <v>59793</v>
      </c>
      <c r="AI79" s="71">
        <f>IFERROR(__xludf.DUMMYFUNCTION("""COMPUTED_VALUE"""),0.0)</f>
        <v>0</v>
      </c>
      <c r="AJ79" s="41"/>
      <c r="AK79" s="41"/>
      <c r="AL79" s="41"/>
      <c r="AM79" s="41"/>
      <c r="AN79" s="41"/>
      <c r="AO79" s="41"/>
      <c r="AP79" s="71">
        <f>IFERROR(__xludf.DUMMYFUNCTION("""COMPUTED_VALUE"""),35899.0)</f>
        <v>35899</v>
      </c>
      <c r="AQ79" s="71">
        <f>IFERROR(__xludf.DUMMYFUNCTION("""COMPUTED_VALUE"""),11947.0)</f>
        <v>11947</v>
      </c>
      <c r="AR79" s="71">
        <f>IFERROR(__xludf.DUMMYFUNCTION("""COMPUTED_VALUE"""),11947.0)</f>
        <v>11947</v>
      </c>
      <c r="AS79" s="71">
        <f>IFERROR(__xludf.DUMMYFUNCTION("""COMPUTED_VALUE"""),11947.0)</f>
        <v>11947</v>
      </c>
      <c r="AT79" s="71">
        <f>IFERROR(__xludf.DUMMYFUNCTION("""COMPUTED_VALUE"""),11947.0)</f>
        <v>11947</v>
      </c>
      <c r="AU79" s="71">
        <f>IFERROR(__xludf.DUMMYFUNCTION("""COMPUTED_VALUE"""),11947.0)</f>
        <v>11947</v>
      </c>
      <c r="AV79" s="71">
        <f>IFERROR(__xludf.DUMMYFUNCTION("""COMPUTED_VALUE"""),11947.0)</f>
        <v>11947</v>
      </c>
      <c r="AW79" s="71">
        <f>IFERROR(__xludf.DUMMYFUNCTION("""COMPUTED_VALUE"""),11947.0)</f>
        <v>11947</v>
      </c>
      <c r="AX79" s="71">
        <f>IFERROR(__xludf.DUMMYFUNCTION("""COMPUTED_VALUE"""),11947.0)</f>
        <v>11947</v>
      </c>
      <c r="AY79" s="71">
        <f>IFERROR(__xludf.DUMMYFUNCTION("""COMPUTED_VALUE"""),11950.0)</f>
        <v>11950</v>
      </c>
      <c r="AZ79" s="41"/>
    </row>
    <row r="80">
      <c r="B80" s="41"/>
      <c r="C80" s="41"/>
      <c r="D80" s="41"/>
      <c r="E80" s="41"/>
      <c r="F80" s="41"/>
      <c r="G80" s="41"/>
      <c r="H80" s="41"/>
      <c r="I80" s="41">
        <f>IFERROR(__xludf.DUMMYFUNCTION("""COMPUTED_VALUE"""),76.0)</f>
        <v>76</v>
      </c>
      <c r="J80" s="41"/>
      <c r="K80" s="41"/>
      <c r="L80" s="41"/>
      <c r="M80" s="41" t="str">
        <f>IFERROR(__xludf.DUMMYFUNCTION("""COMPUTED_VALUE"""),"Journal")</f>
        <v>Journal</v>
      </c>
      <c r="N80" s="66">
        <f>IFERROR(__xludf.DUMMYFUNCTION("""COMPUTED_VALUE"""),45867.0)</f>
        <v>45867</v>
      </c>
      <c r="O80" s="41">
        <f>IFERROR(__xludf.DUMMYFUNCTION("""COMPUTED_VALUE"""),18126.0)</f>
        <v>18126</v>
      </c>
      <c r="P80" s="41"/>
      <c r="Q80" s="41"/>
      <c r="R80" s="41"/>
      <c r="S80" s="41"/>
      <c r="T80" s="41"/>
      <c r="U80" s="41" t="str">
        <f>IFERROR(__xludf.DUMMYFUNCTION("""COMPUTED_VALUE"""),"資廚管理顧問股份有限公司(公司卡)_202507_QE團隊測試案例管理工具TestRail款項(約期2025/7/1-2026/6/30)_PCAR-3321")</f>
        <v>資廚管理顧問股份有限公司(公司卡)_202507_QE團隊測試案例管理工具TestRail款項(約期2025/7/1-2026/6/30)_PCAR-3321</v>
      </c>
      <c r="V80" s="41"/>
      <c r="W80" s="41"/>
      <c r="X80" s="41"/>
      <c r="Y80" s="71">
        <f>IFERROR(__xludf.DUMMYFUNCTION("""COMPUTED_VALUE"""),83447.0)</f>
        <v>83447</v>
      </c>
      <c r="Z80" s="41">
        <f>IFERROR(__xludf.DUMMYFUNCTION("""COMPUTED_VALUE"""),520001.0)</f>
        <v>520001</v>
      </c>
      <c r="AA80" s="41" t="str">
        <f>IFERROR(__xludf.DUMMYFUNCTION("""COMPUTED_VALUE"""),"研發中心")</f>
        <v>研發中心</v>
      </c>
      <c r="AB80" s="70" t="str">
        <f>IFERROR(__xludf.DUMMYFUNCTION("""COMPUTED_VALUE"""),"執行長室 : 研發中心 : 軟體工程部")</f>
        <v>執行長室 : 研發中心 : 軟體工程部</v>
      </c>
      <c r="AC80" s="70" t="str">
        <f>IFERROR(__xludf.DUMMYFUNCTION("""COMPUTED_VALUE"""),"No_Product_Line")</f>
        <v>No_Product_Line</v>
      </c>
      <c r="AD80" s="70" t="str">
        <f>IFERROR(__xludf.DUMMYFUNCTION("""COMPUTED_VALUE"""),"Baseline")</f>
        <v>Baseline</v>
      </c>
      <c r="AE80" s="70" t="str">
        <f>IFERROR(__xludf.DUMMYFUNCTION("""COMPUTED_VALUE"""),"Baseline")</f>
        <v>Baseline</v>
      </c>
      <c r="AF80" s="71">
        <f>IFERROR(__xludf.DUMMYFUNCTION("""COMPUTED_VALUE"""),111307.0)</f>
        <v>111307</v>
      </c>
      <c r="AG80" s="71">
        <f>IFERROR(__xludf.DUMMYFUNCTION("""COMPUTED_VALUE"""),12.0)</f>
        <v>12</v>
      </c>
      <c r="AH80" s="71">
        <f>IFERROR(__xludf.DUMMYFUNCTION("""COMPUTED_VALUE"""),27860.0)</f>
        <v>27860</v>
      </c>
      <c r="AI80" s="71">
        <f>IFERROR(__xludf.DUMMYFUNCTION("""COMPUTED_VALUE"""),0.0)</f>
        <v>0</v>
      </c>
      <c r="AJ80" s="41"/>
      <c r="AK80" s="41"/>
      <c r="AL80" s="41"/>
      <c r="AM80" s="41"/>
      <c r="AN80" s="41"/>
      <c r="AO80" s="41"/>
      <c r="AP80" s="71">
        <f>IFERROR(__xludf.DUMMYFUNCTION("""COMPUTED_VALUE"""),9316.0)</f>
        <v>9316</v>
      </c>
      <c r="AQ80" s="71">
        <f>IFERROR(__xludf.DUMMYFUNCTION("""COMPUTED_VALUE"""),9272.0)</f>
        <v>9272</v>
      </c>
      <c r="AR80" s="71">
        <f>IFERROR(__xludf.DUMMYFUNCTION("""COMPUTED_VALUE"""),9272.0)</f>
        <v>9272</v>
      </c>
      <c r="AS80" s="71">
        <f>IFERROR(__xludf.DUMMYFUNCTION("""COMPUTED_VALUE"""),9272.0)</f>
        <v>9272</v>
      </c>
      <c r="AT80" s="71">
        <f>IFERROR(__xludf.DUMMYFUNCTION("""COMPUTED_VALUE"""),9272.0)</f>
        <v>9272</v>
      </c>
      <c r="AU80" s="71">
        <f>IFERROR(__xludf.DUMMYFUNCTION("""COMPUTED_VALUE"""),9272.0)</f>
        <v>9272</v>
      </c>
      <c r="AV80" s="71">
        <f>IFERROR(__xludf.DUMMYFUNCTION("""COMPUTED_VALUE"""),9272.0)</f>
        <v>9272</v>
      </c>
      <c r="AW80" s="71">
        <f>IFERROR(__xludf.DUMMYFUNCTION("""COMPUTED_VALUE"""),9272.0)</f>
        <v>9272</v>
      </c>
      <c r="AX80" s="71">
        <f>IFERROR(__xludf.DUMMYFUNCTION("""COMPUTED_VALUE"""),9272.0)</f>
        <v>9272</v>
      </c>
      <c r="AY80" s="71">
        <f>IFERROR(__xludf.DUMMYFUNCTION("""COMPUTED_VALUE"""),9272.0)</f>
        <v>9272</v>
      </c>
      <c r="AZ80" s="71">
        <f>IFERROR(__xludf.DUMMYFUNCTION("""COMPUTED_VALUE"""),9272.0)</f>
        <v>9272</v>
      </c>
    </row>
    <row r="81">
      <c r="B81" s="41"/>
      <c r="C81" s="41"/>
      <c r="D81" s="41"/>
      <c r="E81" s="41"/>
      <c r="F81" s="41"/>
      <c r="G81" s="41"/>
      <c r="H81" s="41"/>
      <c r="I81" s="41">
        <f>IFERROR(__xludf.DUMMYFUNCTION("""COMPUTED_VALUE"""),77.0)</f>
        <v>77</v>
      </c>
      <c r="J81" s="41" t="str">
        <f>IFERROR(__xludf.DUMMYFUNCTION("""COMPUTED_VALUE"""),"Y")</f>
        <v>Y</v>
      </c>
      <c r="K81" s="41" t="str">
        <f>IFERROR(__xludf.DUMMYFUNCTION("""COMPUTED_VALUE"""),"Y")</f>
        <v>Y</v>
      </c>
      <c r="L81" s="41"/>
      <c r="M81" s="41" t="str">
        <f>IFERROR(__xludf.DUMMYFUNCTION("""COMPUTED_VALUE"""),"Bill")</f>
        <v>Bill</v>
      </c>
      <c r="N81" s="66">
        <f>IFERROR(__xludf.DUMMYFUNCTION("""COMPUTED_VALUE"""),45889.0)</f>
        <v>45889</v>
      </c>
      <c r="O81" s="41">
        <f>IFERROR(__xludf.DUMMYFUNCTION("""COMPUTED_VALUE"""),6009.0)</f>
        <v>6009</v>
      </c>
      <c r="P81" s="41"/>
      <c r="Q81" s="41"/>
      <c r="R81" s="41"/>
      <c r="S81" s="41"/>
      <c r="T81" s="41"/>
      <c r="U81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1" s="41"/>
      <c r="W81" s="41"/>
      <c r="X81" s="41"/>
      <c r="Y81" s="71">
        <f>IFERROR(__xludf.DUMMYFUNCTION("""COMPUTED_VALUE"""),115120.0)</f>
        <v>115120</v>
      </c>
      <c r="Z81" s="41">
        <f>IFERROR(__xludf.DUMMYFUNCTION("""COMPUTED_VALUE"""),613201.0)</f>
        <v>613201</v>
      </c>
      <c r="AA81" s="41" t="str">
        <f>IFERROR(__xludf.DUMMYFUNCTION("""COMPUTED_VALUE"""),"管理中心")</f>
        <v>管理中心</v>
      </c>
      <c r="AB81" s="70" t="str">
        <f>IFERROR(__xludf.DUMMYFUNCTION("""COMPUTED_VALUE"""),"執行長室 : 管理中心 : 資訊部")</f>
        <v>執行長室 : 管理中心 : 資訊部</v>
      </c>
      <c r="AC81" s="70" t="str">
        <f>IFERROR(__xludf.DUMMYFUNCTION("""COMPUTED_VALUE"""),"No_Product_Line")</f>
        <v>No_Product_Line</v>
      </c>
      <c r="AD81" s="70" t="str">
        <f>IFERROR(__xludf.DUMMYFUNCTION("""COMPUTED_VALUE"""),"Baseline")</f>
        <v>Baseline</v>
      </c>
      <c r="AE81" s="70" t="str">
        <f>IFERROR(__xludf.DUMMYFUNCTION("""COMPUTED_VALUE"""),"Baseline")</f>
        <v>Baseline</v>
      </c>
      <c r="AF81" s="71">
        <f>IFERROR(__xludf.DUMMYFUNCTION("""COMPUTED_VALUE"""),345394.0)</f>
        <v>345394</v>
      </c>
      <c r="AG81" s="71">
        <f>IFERROR(__xludf.DUMMYFUNCTION("""COMPUTED_VALUE"""),3.0)</f>
        <v>3</v>
      </c>
      <c r="AH81" s="71">
        <f>IFERROR(__xludf.DUMMYFUNCTION("""COMPUTED_VALUE"""),230274.0)</f>
        <v>230274</v>
      </c>
      <c r="AI81" s="71">
        <f>IFERROR(__xludf.DUMMYFUNCTION("""COMPUTED_VALUE"""),0.0)</f>
        <v>0</v>
      </c>
      <c r="AJ81" s="41"/>
      <c r="AK81" s="41"/>
      <c r="AL81" s="41"/>
      <c r="AM81" s="41"/>
      <c r="AN81" s="41"/>
      <c r="AO81" s="41"/>
      <c r="AP81" s="41"/>
      <c r="AQ81" s="71">
        <f>IFERROR(__xludf.DUMMYFUNCTION("""COMPUTED_VALUE"""),115154.0)</f>
        <v>115154</v>
      </c>
      <c r="AR81" s="71">
        <f>IFERROR(__xludf.DUMMYFUNCTION("""COMPUTED_VALUE"""),115120.0)</f>
        <v>115120</v>
      </c>
      <c r="AS81" s="71">
        <f>IFERROR(__xludf.DUMMYFUNCTION("""COMPUTED_VALUE"""),115120.0)</f>
        <v>115120</v>
      </c>
      <c r="AT81" s="41"/>
      <c r="AU81" s="41"/>
      <c r="AV81" s="41"/>
      <c r="AW81" s="41"/>
      <c r="AX81" s="41"/>
      <c r="AY81" s="41"/>
      <c r="AZ81" s="41"/>
    </row>
    <row r="82">
      <c r="B82" s="41"/>
      <c r="C82" s="41"/>
      <c r="D82" s="41"/>
      <c r="E82" s="41"/>
      <c r="F82" s="41"/>
      <c r="G82" s="41"/>
      <c r="H82" s="41"/>
      <c r="I82" s="41">
        <f>IFERROR(__xludf.DUMMYFUNCTION("""COMPUTED_VALUE"""),78.0)</f>
        <v>78</v>
      </c>
      <c r="J82" s="41" t="str">
        <f>IFERROR(__xludf.DUMMYFUNCTION("""COMPUTED_VALUE"""),"Y")</f>
        <v>Y</v>
      </c>
      <c r="K82" s="41" t="str">
        <f>IFERROR(__xludf.DUMMYFUNCTION("""COMPUTED_VALUE"""),"Y")</f>
        <v>Y</v>
      </c>
      <c r="L82" s="41"/>
      <c r="M82" s="41" t="str">
        <f>IFERROR(__xludf.DUMMYFUNCTION("""COMPUTED_VALUE"""),"Bill")</f>
        <v>Bill</v>
      </c>
      <c r="N82" s="66">
        <f>IFERROR(__xludf.DUMMYFUNCTION("""COMPUTED_VALUE"""),45889.0)</f>
        <v>45889</v>
      </c>
      <c r="O82" s="41">
        <f>IFERROR(__xludf.DUMMYFUNCTION("""COMPUTED_VALUE"""),6009.0)</f>
        <v>6009</v>
      </c>
      <c r="P82" s="41"/>
      <c r="Q82" s="41"/>
      <c r="R82" s="41"/>
      <c r="S82" s="41"/>
      <c r="T82" s="41"/>
      <c r="U82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2" s="41"/>
      <c r="W82" s="41"/>
      <c r="X82" s="41"/>
      <c r="Y82" s="71">
        <f>IFERROR(__xludf.DUMMYFUNCTION("""COMPUTED_VALUE"""),3582.0)</f>
        <v>3582</v>
      </c>
      <c r="Z82" s="41">
        <f>IFERROR(__xludf.DUMMYFUNCTION("""COMPUTED_VALUE"""),613201.0)</f>
        <v>613201</v>
      </c>
      <c r="AA82" s="41" t="str">
        <f>IFERROR(__xludf.DUMMYFUNCTION("""COMPUTED_VALUE"""),"執行長室")</f>
        <v>執行長室</v>
      </c>
      <c r="AB82" s="70" t="str">
        <f>IFERROR(__xludf.DUMMYFUNCTION("""COMPUTED_VALUE"""),"執行長室")</f>
        <v>執行長室</v>
      </c>
      <c r="AC82" s="70" t="str">
        <f>IFERROR(__xludf.DUMMYFUNCTION("""COMPUTED_VALUE"""),"No_Product_Line")</f>
        <v>No_Product_Line</v>
      </c>
      <c r="AD82" s="70" t="str">
        <f>IFERROR(__xludf.DUMMYFUNCTION("""COMPUTED_VALUE"""),"Baseline")</f>
        <v>Baseline</v>
      </c>
      <c r="AE82" s="70" t="str">
        <f>IFERROR(__xludf.DUMMYFUNCTION("""COMPUTED_VALUE"""),"Baseline")</f>
        <v>Baseline</v>
      </c>
      <c r="AF82" s="71">
        <f>IFERROR(__xludf.DUMMYFUNCTION("""COMPUTED_VALUE"""),10745.0)</f>
        <v>10745</v>
      </c>
      <c r="AG82" s="71">
        <f>IFERROR(__xludf.DUMMYFUNCTION("""COMPUTED_VALUE"""),3.0)</f>
        <v>3</v>
      </c>
      <c r="AH82" s="71">
        <f>IFERROR(__xludf.DUMMYFUNCTION("""COMPUTED_VALUE"""),7163.0)</f>
        <v>7163</v>
      </c>
      <c r="AI82" s="71">
        <f>IFERROR(__xludf.DUMMYFUNCTION("""COMPUTED_VALUE"""),0.0)</f>
        <v>0</v>
      </c>
      <c r="AJ82" s="41"/>
      <c r="AK82" s="41"/>
      <c r="AL82" s="41"/>
      <c r="AM82" s="41"/>
      <c r="AN82" s="41"/>
      <c r="AO82" s="41"/>
      <c r="AP82" s="41"/>
      <c r="AQ82" s="71">
        <f>IFERROR(__xludf.DUMMYFUNCTION("""COMPUTED_VALUE"""),3582.0)</f>
        <v>3582</v>
      </c>
      <c r="AR82" s="71">
        <f>IFERROR(__xludf.DUMMYFUNCTION("""COMPUTED_VALUE"""),3581.0)</f>
        <v>3581</v>
      </c>
      <c r="AS82" s="71">
        <f>IFERROR(__xludf.DUMMYFUNCTION("""COMPUTED_VALUE"""),3582.0)</f>
        <v>3582</v>
      </c>
      <c r="AT82" s="41"/>
      <c r="AU82" s="41"/>
      <c r="AV82" s="41"/>
      <c r="AW82" s="41"/>
      <c r="AX82" s="41"/>
      <c r="AY82" s="41"/>
      <c r="AZ82" s="41"/>
    </row>
    <row r="83">
      <c r="B83" s="41"/>
      <c r="C83" s="41"/>
      <c r="D83" s="41"/>
      <c r="E83" s="41"/>
      <c r="F83" s="41"/>
      <c r="G83" s="41"/>
      <c r="H83" s="41"/>
      <c r="I83" s="41">
        <f>IFERROR(__xludf.DUMMYFUNCTION("""COMPUTED_VALUE"""),79.0)</f>
        <v>79</v>
      </c>
      <c r="J83" s="41" t="str">
        <f>IFERROR(__xludf.DUMMYFUNCTION("""COMPUTED_VALUE"""),"Y")</f>
        <v>Y</v>
      </c>
      <c r="K83" s="41" t="str">
        <f>IFERROR(__xludf.DUMMYFUNCTION("""COMPUTED_VALUE"""),"Y")</f>
        <v>Y</v>
      </c>
      <c r="L83" s="41"/>
      <c r="M83" s="41" t="str">
        <f>IFERROR(__xludf.DUMMYFUNCTION("""COMPUTED_VALUE"""),"Bill")</f>
        <v>Bill</v>
      </c>
      <c r="N83" s="66">
        <f>IFERROR(__xludf.DUMMYFUNCTION("""COMPUTED_VALUE"""),45889.0)</f>
        <v>45889</v>
      </c>
      <c r="O83" s="41">
        <f>IFERROR(__xludf.DUMMYFUNCTION("""COMPUTED_VALUE"""),6009.0)</f>
        <v>6009</v>
      </c>
      <c r="P83" s="41"/>
      <c r="Q83" s="41"/>
      <c r="R83" s="41"/>
      <c r="S83" s="41"/>
      <c r="T83" s="41"/>
      <c r="U83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3" s="41"/>
      <c r="W83" s="41"/>
      <c r="X83" s="41"/>
      <c r="Y83" s="71">
        <f>IFERROR(__xludf.DUMMYFUNCTION("""COMPUTED_VALUE"""),20860.0)</f>
        <v>20860</v>
      </c>
      <c r="Z83" s="41">
        <f>IFERROR(__xludf.DUMMYFUNCTION("""COMPUTED_VALUE"""),603201.0)</f>
        <v>603201</v>
      </c>
      <c r="AA83" s="41" t="str">
        <f>IFERROR(__xludf.DUMMYFUNCTION("""COMPUTED_VALUE"""),"行銷營運中心")</f>
        <v>行銷營運中心</v>
      </c>
      <c r="AB83" s="70" t="str">
        <f>IFERROR(__xludf.DUMMYFUNCTION("""COMPUTED_VALUE"""),"執行長室 : 行銷營運中心 : 行銷營運中心")</f>
        <v>執行長室 : 行銷營運中心 : 行銷營運中心</v>
      </c>
      <c r="AC83" s="70" t="str">
        <f>IFERROR(__xludf.DUMMYFUNCTION("""COMPUTED_VALUE"""),"No_Product_Line")</f>
        <v>No_Product_Line</v>
      </c>
      <c r="AD83" s="70" t="str">
        <f>IFERROR(__xludf.DUMMYFUNCTION("""COMPUTED_VALUE"""),"Baseline")</f>
        <v>Baseline</v>
      </c>
      <c r="AE83" s="70" t="str">
        <f>IFERROR(__xludf.DUMMYFUNCTION("""COMPUTED_VALUE"""),"Baseline")</f>
        <v>Baseline</v>
      </c>
      <c r="AF83" s="71">
        <f>IFERROR(__xludf.DUMMYFUNCTION("""COMPUTED_VALUE"""),62588.0)</f>
        <v>62588</v>
      </c>
      <c r="AG83" s="71">
        <f>IFERROR(__xludf.DUMMYFUNCTION("""COMPUTED_VALUE"""),3.0)</f>
        <v>3</v>
      </c>
      <c r="AH83" s="71">
        <f>IFERROR(__xludf.DUMMYFUNCTION("""COMPUTED_VALUE"""),41728.0)</f>
        <v>41728</v>
      </c>
      <c r="AI83" s="71">
        <f>IFERROR(__xludf.DUMMYFUNCTION("""COMPUTED_VALUE"""),0.0)</f>
        <v>0</v>
      </c>
      <c r="AJ83" s="41"/>
      <c r="AK83" s="41"/>
      <c r="AL83" s="41"/>
      <c r="AM83" s="41"/>
      <c r="AN83" s="41"/>
      <c r="AO83" s="41"/>
      <c r="AP83" s="41"/>
      <c r="AQ83" s="71">
        <f>IFERROR(__xludf.DUMMYFUNCTION("""COMPUTED_VALUE"""),20867.0)</f>
        <v>20867</v>
      </c>
      <c r="AR83" s="71">
        <f>IFERROR(__xludf.DUMMYFUNCTION("""COMPUTED_VALUE"""),20861.0)</f>
        <v>20861</v>
      </c>
      <c r="AS83" s="71">
        <f>IFERROR(__xludf.DUMMYFUNCTION("""COMPUTED_VALUE"""),20860.0)</f>
        <v>20860</v>
      </c>
      <c r="AT83" s="41"/>
      <c r="AU83" s="41"/>
      <c r="AV83" s="41"/>
      <c r="AW83" s="41"/>
      <c r="AX83" s="41"/>
      <c r="AY83" s="41"/>
      <c r="AZ83" s="41"/>
    </row>
    <row r="84">
      <c r="B84" s="41"/>
      <c r="C84" s="41"/>
      <c r="D84" s="41"/>
      <c r="E84" s="41"/>
      <c r="F84" s="41"/>
      <c r="G84" s="41"/>
      <c r="H84" s="41"/>
      <c r="I84" s="41">
        <f>IFERROR(__xludf.DUMMYFUNCTION("""COMPUTED_VALUE"""),80.0)</f>
        <v>80</v>
      </c>
      <c r="J84" s="41" t="str">
        <f>IFERROR(__xludf.DUMMYFUNCTION("""COMPUTED_VALUE"""),"Y")</f>
        <v>Y</v>
      </c>
      <c r="K84" s="41" t="str">
        <f>IFERROR(__xludf.DUMMYFUNCTION("""COMPUTED_VALUE"""),"Y")</f>
        <v>Y</v>
      </c>
      <c r="L84" s="41"/>
      <c r="M84" s="41" t="str">
        <f>IFERROR(__xludf.DUMMYFUNCTION("""COMPUTED_VALUE"""),"Bill")</f>
        <v>Bill</v>
      </c>
      <c r="N84" s="66">
        <f>IFERROR(__xludf.DUMMYFUNCTION("""COMPUTED_VALUE"""),45889.0)</f>
        <v>45889</v>
      </c>
      <c r="O84" s="41">
        <f>IFERROR(__xludf.DUMMYFUNCTION("""COMPUTED_VALUE"""),6009.0)</f>
        <v>6009</v>
      </c>
      <c r="P84" s="41"/>
      <c r="Q84" s="41"/>
      <c r="R84" s="41"/>
      <c r="S84" s="41"/>
      <c r="T84" s="41"/>
      <c r="U84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4" s="41"/>
      <c r="W84" s="41"/>
      <c r="X84" s="41"/>
      <c r="Y84" s="71">
        <f>IFERROR(__xludf.DUMMYFUNCTION("""COMPUTED_VALUE"""),3582.0)</f>
        <v>3582</v>
      </c>
      <c r="Z84" s="41">
        <f>IFERROR(__xludf.DUMMYFUNCTION("""COMPUTED_VALUE"""),613201.0)</f>
        <v>613201</v>
      </c>
      <c r="AA84" s="41" t="str">
        <f>IFERROR(__xludf.DUMMYFUNCTION("""COMPUTED_VALUE"""),"策略資料中心")</f>
        <v>策略資料中心</v>
      </c>
      <c r="AB84" s="70" t="str">
        <f>IFERROR(__xludf.DUMMYFUNCTION("""COMPUTED_VALUE"""),"執行長室 : 策略資料中心 : 策略資料中心")</f>
        <v>執行長室 : 策略資料中心 : 策略資料中心</v>
      </c>
      <c r="AC84" s="70" t="str">
        <f>IFERROR(__xludf.DUMMYFUNCTION("""COMPUTED_VALUE"""),"No_Product_Line")</f>
        <v>No_Product_Line</v>
      </c>
      <c r="AD84" s="70" t="str">
        <f>IFERROR(__xludf.DUMMYFUNCTION("""COMPUTED_VALUE"""),"Baseline")</f>
        <v>Baseline</v>
      </c>
      <c r="AE84" s="70" t="str">
        <f>IFERROR(__xludf.DUMMYFUNCTION("""COMPUTED_VALUE"""),"Baseline")</f>
        <v>Baseline</v>
      </c>
      <c r="AF84" s="71">
        <f>IFERROR(__xludf.DUMMYFUNCTION("""COMPUTED_VALUE"""),10745.0)</f>
        <v>10745</v>
      </c>
      <c r="AG84" s="71">
        <f>IFERROR(__xludf.DUMMYFUNCTION("""COMPUTED_VALUE"""),3.0)</f>
        <v>3</v>
      </c>
      <c r="AH84" s="71">
        <f>IFERROR(__xludf.DUMMYFUNCTION("""COMPUTED_VALUE"""),7163.0)</f>
        <v>7163</v>
      </c>
      <c r="AI84" s="71">
        <f>IFERROR(__xludf.DUMMYFUNCTION("""COMPUTED_VALUE"""),0.0)</f>
        <v>0</v>
      </c>
      <c r="AJ84" s="41"/>
      <c r="AK84" s="41"/>
      <c r="AL84" s="41"/>
      <c r="AM84" s="41"/>
      <c r="AN84" s="41"/>
      <c r="AO84" s="41"/>
      <c r="AP84" s="41"/>
      <c r="AQ84" s="71">
        <f>IFERROR(__xludf.DUMMYFUNCTION("""COMPUTED_VALUE"""),3582.0)</f>
        <v>3582</v>
      </c>
      <c r="AR84" s="71">
        <f>IFERROR(__xludf.DUMMYFUNCTION("""COMPUTED_VALUE"""),3581.0)</f>
        <v>3581</v>
      </c>
      <c r="AS84" s="71">
        <f>IFERROR(__xludf.DUMMYFUNCTION("""COMPUTED_VALUE"""),3582.0)</f>
        <v>3582</v>
      </c>
      <c r="AT84" s="41"/>
      <c r="AU84" s="41"/>
      <c r="AV84" s="41"/>
      <c r="AW84" s="41"/>
      <c r="AX84" s="41"/>
      <c r="AY84" s="41"/>
      <c r="AZ84" s="41"/>
    </row>
    <row r="85">
      <c r="B85" s="41"/>
      <c r="C85" s="41"/>
      <c r="D85" s="41"/>
      <c r="E85" s="41"/>
      <c r="F85" s="41"/>
      <c r="G85" s="41"/>
      <c r="H85" s="41"/>
      <c r="I85" s="41">
        <f>IFERROR(__xludf.DUMMYFUNCTION("""COMPUTED_VALUE"""),81.0)</f>
        <v>81</v>
      </c>
      <c r="J85" s="41" t="str">
        <f>IFERROR(__xludf.DUMMYFUNCTION("""COMPUTED_VALUE"""),"Y")</f>
        <v>Y</v>
      </c>
      <c r="K85" s="41" t="str">
        <f>IFERROR(__xludf.DUMMYFUNCTION("""COMPUTED_VALUE"""),"Y")</f>
        <v>Y</v>
      </c>
      <c r="L85" s="41"/>
      <c r="M85" s="41" t="str">
        <f>IFERROR(__xludf.DUMMYFUNCTION("""COMPUTED_VALUE"""),"Bill")</f>
        <v>Bill</v>
      </c>
      <c r="N85" s="66">
        <f>IFERROR(__xludf.DUMMYFUNCTION("""COMPUTED_VALUE"""),45889.0)</f>
        <v>45889</v>
      </c>
      <c r="O85" s="41">
        <f>IFERROR(__xludf.DUMMYFUNCTION("""COMPUTED_VALUE"""),6009.0)</f>
        <v>6009</v>
      </c>
      <c r="P85" s="41"/>
      <c r="Q85" s="41"/>
      <c r="R85" s="41"/>
      <c r="S85" s="41"/>
      <c r="T85" s="41"/>
      <c r="U85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5" s="41"/>
      <c r="W85" s="41"/>
      <c r="X85" s="41"/>
      <c r="Y85" s="71">
        <f>IFERROR(__xludf.DUMMYFUNCTION("""COMPUTED_VALUE"""),15196.0)</f>
        <v>15196</v>
      </c>
      <c r="Z85" s="41">
        <f>IFERROR(__xludf.DUMMYFUNCTION("""COMPUTED_VALUE"""),623201.0)</f>
        <v>623201</v>
      </c>
      <c r="AA85" s="41" t="str">
        <f>IFERROR(__xludf.DUMMYFUNCTION("""COMPUTED_VALUE"""),"研發中心")</f>
        <v>研發中心</v>
      </c>
      <c r="AB85" s="70" t="str">
        <f>IFERROR(__xludf.DUMMYFUNCTION("""COMPUTED_VALUE"""),"執行長室 : 研發中心 : 研發中心")</f>
        <v>執行長室 : 研發中心 : 研發中心</v>
      </c>
      <c r="AC85" s="70" t="str">
        <f>IFERROR(__xludf.DUMMYFUNCTION("""COMPUTED_VALUE"""),"No_Product_Line")</f>
        <v>No_Product_Line</v>
      </c>
      <c r="AD85" s="70" t="str">
        <f>IFERROR(__xludf.DUMMYFUNCTION("""COMPUTED_VALUE"""),"Baseline")</f>
        <v>Baseline</v>
      </c>
      <c r="AE85" s="70" t="str">
        <f>IFERROR(__xludf.DUMMYFUNCTION("""COMPUTED_VALUE"""),"Baseline")</f>
        <v>Baseline</v>
      </c>
      <c r="AF85" s="71">
        <f>IFERROR(__xludf.DUMMYFUNCTION("""COMPUTED_VALUE"""),45592.0)</f>
        <v>45592</v>
      </c>
      <c r="AG85" s="71">
        <f>IFERROR(__xludf.DUMMYFUNCTION("""COMPUTED_VALUE"""),3.0)</f>
        <v>3</v>
      </c>
      <c r="AH85" s="71">
        <f>IFERROR(__xludf.DUMMYFUNCTION("""COMPUTED_VALUE"""),30396.0)</f>
        <v>30396</v>
      </c>
      <c r="AI85" s="71">
        <f>IFERROR(__xludf.DUMMYFUNCTION("""COMPUTED_VALUE"""),0.0)</f>
        <v>0</v>
      </c>
      <c r="AJ85" s="41"/>
      <c r="AK85" s="41"/>
      <c r="AL85" s="41"/>
      <c r="AM85" s="41"/>
      <c r="AN85" s="41"/>
      <c r="AO85" s="41"/>
      <c r="AP85" s="41"/>
      <c r="AQ85" s="71">
        <f>IFERROR(__xludf.DUMMYFUNCTION("""COMPUTED_VALUE"""),15200.0)</f>
        <v>15200</v>
      </c>
      <c r="AR85" s="71">
        <f>IFERROR(__xludf.DUMMYFUNCTION("""COMPUTED_VALUE"""),15196.0)</f>
        <v>15196</v>
      </c>
      <c r="AS85" s="71">
        <f>IFERROR(__xludf.DUMMYFUNCTION("""COMPUTED_VALUE"""),15196.0)</f>
        <v>15196</v>
      </c>
      <c r="AT85" s="41"/>
      <c r="AU85" s="41"/>
      <c r="AV85" s="41"/>
      <c r="AW85" s="41"/>
      <c r="AX85" s="41"/>
      <c r="AY85" s="41"/>
      <c r="AZ85" s="41"/>
    </row>
    <row r="86">
      <c r="B86" s="41"/>
      <c r="C86" s="41"/>
      <c r="D86" s="41"/>
      <c r="E86" s="41"/>
      <c r="F86" s="41"/>
      <c r="G86" s="41"/>
      <c r="H86" s="41"/>
      <c r="I86" s="41">
        <f>IFERROR(__xludf.DUMMYFUNCTION("""COMPUTED_VALUE"""),82.0)</f>
        <v>82</v>
      </c>
      <c r="J86" s="41" t="str">
        <f>IFERROR(__xludf.DUMMYFUNCTION("""COMPUTED_VALUE"""),"Y")</f>
        <v>Y</v>
      </c>
      <c r="K86" s="41" t="str">
        <f>IFERROR(__xludf.DUMMYFUNCTION("""COMPUTED_VALUE"""),"Y")</f>
        <v>Y</v>
      </c>
      <c r="L86" s="41"/>
      <c r="M86" s="41" t="str">
        <f>IFERROR(__xludf.DUMMYFUNCTION("""COMPUTED_VALUE"""),"Bill")</f>
        <v>Bill</v>
      </c>
      <c r="N86" s="66">
        <f>IFERROR(__xludf.DUMMYFUNCTION("""COMPUTED_VALUE"""),45889.0)</f>
        <v>45889</v>
      </c>
      <c r="O86" s="41">
        <f>IFERROR(__xludf.DUMMYFUNCTION("""COMPUTED_VALUE"""),6009.0)</f>
        <v>6009</v>
      </c>
      <c r="P86" s="41"/>
      <c r="Q86" s="41"/>
      <c r="R86" s="41"/>
      <c r="S86" s="41"/>
      <c r="T86" s="41"/>
      <c r="U86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6" s="41"/>
      <c r="W86" s="41"/>
      <c r="X86" s="41"/>
      <c r="Y86" s="71">
        <f>IFERROR(__xludf.DUMMYFUNCTION("""COMPUTED_VALUE"""),7919.0)</f>
        <v>7919</v>
      </c>
      <c r="Z86" s="41">
        <f>IFERROR(__xludf.DUMMYFUNCTION("""COMPUTED_VALUE"""),613201.0)</f>
        <v>613201</v>
      </c>
      <c r="AA86" s="41" t="str">
        <f>IFERROR(__xludf.DUMMYFUNCTION("""COMPUTED_VALUE"""),"財務中心")</f>
        <v>財務中心</v>
      </c>
      <c r="AB86" s="70" t="str">
        <f>IFERROR(__xludf.DUMMYFUNCTION("""COMPUTED_VALUE"""),"執行長室 : 財務中心 : 財務中心")</f>
        <v>執行長室 : 財務中心 : 財務中心</v>
      </c>
      <c r="AC86" s="70" t="str">
        <f>IFERROR(__xludf.DUMMYFUNCTION("""COMPUTED_VALUE"""),"No_Product_Line")</f>
        <v>No_Product_Line</v>
      </c>
      <c r="AD86" s="70" t="str">
        <f>IFERROR(__xludf.DUMMYFUNCTION("""COMPUTED_VALUE"""),"Baseline")</f>
        <v>Baseline</v>
      </c>
      <c r="AE86" s="70" t="str">
        <f>IFERROR(__xludf.DUMMYFUNCTION("""COMPUTED_VALUE"""),"Baseline")</f>
        <v>Baseline</v>
      </c>
      <c r="AF86" s="71">
        <f>IFERROR(__xludf.DUMMYFUNCTION("""COMPUTED_VALUE"""),23761.0)</f>
        <v>23761</v>
      </c>
      <c r="AG86" s="71">
        <f>IFERROR(__xludf.DUMMYFUNCTION("""COMPUTED_VALUE"""),3.0)</f>
        <v>3</v>
      </c>
      <c r="AH86" s="71">
        <f>IFERROR(__xludf.DUMMYFUNCTION("""COMPUTED_VALUE"""),15842.0)</f>
        <v>15842</v>
      </c>
      <c r="AI86" s="71">
        <f>IFERROR(__xludf.DUMMYFUNCTION("""COMPUTED_VALUE"""),0.0)</f>
        <v>0</v>
      </c>
      <c r="AJ86" s="41"/>
      <c r="AK86" s="41"/>
      <c r="AL86" s="41"/>
      <c r="AM86" s="41"/>
      <c r="AN86" s="41"/>
      <c r="AO86" s="41"/>
      <c r="AP86" s="41"/>
      <c r="AQ86" s="71">
        <f>IFERROR(__xludf.DUMMYFUNCTION("""COMPUTED_VALUE"""),7922.0)</f>
        <v>7922</v>
      </c>
      <c r="AR86" s="71">
        <f>IFERROR(__xludf.DUMMYFUNCTION("""COMPUTED_VALUE"""),7920.0)</f>
        <v>7920</v>
      </c>
      <c r="AS86" s="71">
        <f>IFERROR(__xludf.DUMMYFUNCTION("""COMPUTED_VALUE"""),7919.0)</f>
        <v>7919</v>
      </c>
      <c r="AT86" s="41"/>
      <c r="AU86" s="41"/>
      <c r="AV86" s="41"/>
      <c r="AW86" s="41"/>
      <c r="AX86" s="41"/>
      <c r="AY86" s="41"/>
      <c r="AZ86" s="41"/>
    </row>
    <row r="87">
      <c r="B87" s="41"/>
      <c r="C87" s="41"/>
      <c r="D87" s="41"/>
      <c r="E87" s="41"/>
      <c r="F87" s="41"/>
      <c r="G87" s="41"/>
      <c r="H87" s="41"/>
      <c r="I87" s="41">
        <f>IFERROR(__xludf.DUMMYFUNCTION("""COMPUTED_VALUE"""),83.0)</f>
        <v>83</v>
      </c>
      <c r="J87" s="41" t="str">
        <f>IFERROR(__xludf.DUMMYFUNCTION("""COMPUTED_VALUE"""),"Y")</f>
        <v>Y</v>
      </c>
      <c r="K87" s="41" t="str">
        <f>IFERROR(__xludf.DUMMYFUNCTION("""COMPUTED_VALUE"""),"Y")</f>
        <v>Y</v>
      </c>
      <c r="L87" s="41"/>
      <c r="M87" s="41" t="str">
        <f>IFERROR(__xludf.DUMMYFUNCTION("""COMPUTED_VALUE"""),"Bill")</f>
        <v>Bill</v>
      </c>
      <c r="N87" s="66">
        <f>IFERROR(__xludf.DUMMYFUNCTION("""COMPUTED_VALUE"""),45889.0)</f>
        <v>45889</v>
      </c>
      <c r="O87" s="41">
        <f>IFERROR(__xludf.DUMMYFUNCTION("""COMPUTED_VALUE"""),6009.0)</f>
        <v>6009</v>
      </c>
      <c r="P87" s="41"/>
      <c r="Q87" s="41"/>
      <c r="R87" s="41"/>
      <c r="S87" s="41"/>
      <c r="T87" s="41"/>
      <c r="U87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7" s="41"/>
      <c r="W87" s="41"/>
      <c r="X87" s="41"/>
      <c r="Y87" s="71">
        <f>IFERROR(__xludf.DUMMYFUNCTION("""COMPUTED_VALUE"""),6592.0)</f>
        <v>6592</v>
      </c>
      <c r="Z87" s="41">
        <f>IFERROR(__xludf.DUMMYFUNCTION("""COMPUTED_VALUE"""),613201.0)</f>
        <v>613201</v>
      </c>
      <c r="AA87" s="41" t="str">
        <f>IFERROR(__xludf.DUMMYFUNCTION("""COMPUTED_VALUE"""),"管理中心")</f>
        <v>管理中心</v>
      </c>
      <c r="AB87" s="70" t="str">
        <f>IFERROR(__xludf.DUMMYFUNCTION("""COMPUTED_VALUE"""),"執行長室 : 管理中心 : 管理中心")</f>
        <v>執行長室 : 管理中心 : 管理中心</v>
      </c>
      <c r="AC87" s="70" t="str">
        <f>IFERROR(__xludf.DUMMYFUNCTION("""COMPUTED_VALUE"""),"No_Product_Line")</f>
        <v>No_Product_Line</v>
      </c>
      <c r="AD87" s="70" t="str">
        <f>IFERROR(__xludf.DUMMYFUNCTION("""COMPUTED_VALUE"""),"Baseline")</f>
        <v>Baseline</v>
      </c>
      <c r="AE87" s="70" t="str">
        <f>IFERROR(__xludf.DUMMYFUNCTION("""COMPUTED_VALUE"""),"Baseline")</f>
        <v>Baseline</v>
      </c>
      <c r="AF87" s="71">
        <f>IFERROR(__xludf.DUMMYFUNCTION("""COMPUTED_VALUE"""),19780.0)</f>
        <v>19780</v>
      </c>
      <c r="AG87" s="71">
        <f>IFERROR(__xludf.DUMMYFUNCTION("""COMPUTED_VALUE"""),3.0)</f>
        <v>3</v>
      </c>
      <c r="AH87" s="71">
        <f>IFERROR(__xludf.DUMMYFUNCTION("""COMPUTED_VALUE"""),13188.0)</f>
        <v>13188</v>
      </c>
      <c r="AI87" s="71">
        <f>IFERROR(__xludf.DUMMYFUNCTION("""COMPUTED_VALUE"""),0.0)</f>
        <v>0</v>
      </c>
      <c r="AJ87" s="41"/>
      <c r="AK87" s="41"/>
      <c r="AL87" s="41"/>
      <c r="AM87" s="41"/>
      <c r="AN87" s="41"/>
      <c r="AO87" s="41"/>
      <c r="AP87" s="41"/>
      <c r="AQ87" s="71">
        <f>IFERROR(__xludf.DUMMYFUNCTION("""COMPUTED_VALUE"""),6595.0)</f>
        <v>6595</v>
      </c>
      <c r="AR87" s="71">
        <f>IFERROR(__xludf.DUMMYFUNCTION("""COMPUTED_VALUE"""),6593.0)</f>
        <v>6593</v>
      </c>
      <c r="AS87" s="71">
        <f>IFERROR(__xludf.DUMMYFUNCTION("""COMPUTED_VALUE"""),6592.0)</f>
        <v>6592</v>
      </c>
      <c r="AT87" s="41"/>
      <c r="AU87" s="41"/>
      <c r="AV87" s="41"/>
      <c r="AW87" s="41"/>
      <c r="AX87" s="41"/>
      <c r="AY87" s="41"/>
      <c r="AZ87" s="41"/>
    </row>
    <row r="88">
      <c r="B88" s="41"/>
      <c r="C88" s="41"/>
      <c r="D88" s="41"/>
      <c r="E88" s="41"/>
      <c r="F88" s="41"/>
      <c r="G88" s="41"/>
      <c r="H88" s="41"/>
      <c r="I88" s="41">
        <f>IFERROR(__xludf.DUMMYFUNCTION("""COMPUTED_VALUE"""),84.0)</f>
        <v>84</v>
      </c>
      <c r="J88" s="41" t="str">
        <f>IFERROR(__xludf.DUMMYFUNCTION("""COMPUTED_VALUE"""),"Y")</f>
        <v>Y</v>
      </c>
      <c r="K88" s="41" t="str">
        <f>IFERROR(__xludf.DUMMYFUNCTION("""COMPUTED_VALUE"""),"Y")</f>
        <v>Y</v>
      </c>
      <c r="L88" s="41"/>
      <c r="M88" s="41" t="str">
        <f>IFERROR(__xludf.DUMMYFUNCTION("""COMPUTED_VALUE"""),"Bill")</f>
        <v>Bill</v>
      </c>
      <c r="N88" s="66">
        <f>IFERROR(__xludf.DUMMYFUNCTION("""COMPUTED_VALUE"""),45889.0)</f>
        <v>45889</v>
      </c>
      <c r="O88" s="41">
        <f>IFERROR(__xludf.DUMMYFUNCTION("""COMPUTED_VALUE"""),6009.0)</f>
        <v>6009</v>
      </c>
      <c r="P88" s="41"/>
      <c r="Q88" s="41"/>
      <c r="R88" s="41"/>
      <c r="S88" s="41"/>
      <c r="T88" s="41"/>
      <c r="U88" s="41" t="str">
        <f>IFERROR(__xludf.DUMMYFUNCTION("""COMPUTED_VALUE"""),"Oracle Netsuite 202507 帳號季繳款項(20250801-20251031)(憑證在ER6659)")</f>
        <v>Oracle Netsuite 202507 帳號季繳款項(20250801-20251031)(憑證在ER6659)</v>
      </c>
      <c r="V88" s="41"/>
      <c r="W88" s="41"/>
      <c r="X88" s="41"/>
      <c r="Y88" s="71">
        <f>IFERROR(__xludf.DUMMYFUNCTION("""COMPUTED_VALUE"""),10336.0)</f>
        <v>10336</v>
      </c>
      <c r="Z88" s="41">
        <f>IFERROR(__xludf.DUMMYFUNCTION("""COMPUTED_VALUE"""),623201.0)</f>
        <v>623201</v>
      </c>
      <c r="AA88" s="41" t="str">
        <f>IFERROR(__xludf.DUMMYFUNCTION("""COMPUTED_VALUE"""),"客戶價值中心")</f>
        <v>客戶價值中心</v>
      </c>
      <c r="AB88" s="70" t="str">
        <f>IFERROR(__xludf.DUMMYFUNCTION("""COMPUTED_VALUE"""),"執行長室 : 客戶價值中心 : 客戶價值中心")</f>
        <v>執行長室 : 客戶價值中心 : 客戶價值中心</v>
      </c>
      <c r="AC88" s="70" t="str">
        <f>IFERROR(__xludf.DUMMYFUNCTION("""COMPUTED_VALUE"""),"No_Product_Line")</f>
        <v>No_Product_Line</v>
      </c>
      <c r="AD88" s="70" t="str">
        <f>IFERROR(__xludf.DUMMYFUNCTION("""COMPUTED_VALUE"""),"Baseline")</f>
        <v>Baseline</v>
      </c>
      <c r="AE88" s="70" t="str">
        <f>IFERROR(__xludf.DUMMYFUNCTION("""COMPUTED_VALUE"""),"Baseline")</f>
        <v>Baseline</v>
      </c>
      <c r="AF88" s="71">
        <f>IFERROR(__xludf.DUMMYFUNCTION("""COMPUTED_VALUE"""),31013.0)</f>
        <v>31013</v>
      </c>
      <c r="AG88" s="71">
        <f>IFERROR(__xludf.DUMMYFUNCTION("""COMPUTED_VALUE"""),3.0)</f>
        <v>3</v>
      </c>
      <c r="AH88" s="71">
        <f>IFERROR(__xludf.DUMMYFUNCTION("""COMPUTED_VALUE"""),20677.0)</f>
        <v>20677</v>
      </c>
      <c r="AI88" s="71">
        <f>IFERROR(__xludf.DUMMYFUNCTION("""COMPUTED_VALUE"""),0.0)</f>
        <v>0</v>
      </c>
      <c r="AJ88" s="41"/>
      <c r="AK88" s="41"/>
      <c r="AL88" s="41"/>
      <c r="AM88" s="41"/>
      <c r="AN88" s="41"/>
      <c r="AO88" s="41"/>
      <c r="AP88" s="41"/>
      <c r="AQ88" s="71">
        <f>IFERROR(__xludf.DUMMYFUNCTION("""COMPUTED_VALUE"""),10340.0)</f>
        <v>10340</v>
      </c>
      <c r="AR88" s="71">
        <f>IFERROR(__xludf.DUMMYFUNCTION("""COMPUTED_VALUE"""),10337.0)</f>
        <v>10337</v>
      </c>
      <c r="AS88" s="71">
        <f>IFERROR(__xludf.DUMMYFUNCTION("""COMPUTED_VALUE"""),10336.0)</f>
        <v>10336</v>
      </c>
      <c r="AT88" s="41"/>
      <c r="AU88" s="41"/>
      <c r="AV88" s="41"/>
      <c r="AW88" s="41"/>
      <c r="AX88" s="41"/>
      <c r="AY88" s="41"/>
      <c r="AZ88" s="41"/>
    </row>
    <row r="89">
      <c r="B89" s="41"/>
      <c r="C89" s="41"/>
      <c r="D89" s="41"/>
      <c r="E89" s="41"/>
      <c r="F89" s="41"/>
      <c r="G89" s="41"/>
      <c r="H89" s="41"/>
      <c r="I89" s="41">
        <f>IFERROR(__xludf.DUMMYFUNCTION("""COMPUTED_VALUE"""),85.0)</f>
        <v>85</v>
      </c>
      <c r="J89" s="41"/>
      <c r="K89" s="41"/>
      <c r="L89" s="41"/>
      <c r="M89" s="41" t="str">
        <f>IFERROR(__xludf.DUMMYFUNCTION("""COMPUTED_VALUE"""),"Bill")</f>
        <v>Bill</v>
      </c>
      <c r="N89" s="66">
        <f>IFERROR(__xludf.DUMMYFUNCTION("""COMPUTED_VALUE"""),45891.0)</f>
        <v>45891</v>
      </c>
      <c r="O89" s="41">
        <f>IFERROR(__xludf.DUMMYFUNCTION("""COMPUTED_VALUE"""),6014.0)</f>
        <v>6014</v>
      </c>
      <c r="P89" s="41"/>
      <c r="Q89" s="41"/>
      <c r="R89" s="41"/>
      <c r="S89" s="41"/>
      <c r="T89" s="41"/>
      <c r="U89" s="41" t="str">
        <f>IFERROR(__xludf.DUMMYFUNCTION("""COMPUTED_VALUE"""),"一零四資訊科技股份有限公司_202508_ 104招募管理平台廣告費用(1140822-1150822)_PCAR-3593")</f>
        <v>一零四資訊科技股份有限公司_202508_ 104招募管理平台廣告費用(1140822-1150822)_PCAR-3593</v>
      </c>
      <c r="V89" s="41"/>
      <c r="W89" s="41"/>
      <c r="X89" s="41"/>
      <c r="Y89" s="71">
        <f>IFERROR(__xludf.DUMMYFUNCTION("""COMPUTED_VALUE"""),30940.0)</f>
        <v>30940</v>
      </c>
      <c r="Z89" s="41">
        <f>IFERROR(__xludf.DUMMYFUNCTION("""COMPUTED_VALUE"""),6117.0)</f>
        <v>6117</v>
      </c>
      <c r="AA89" s="41" t="str">
        <f>IFERROR(__xludf.DUMMYFUNCTION("""COMPUTED_VALUE"""),"管理中心")</f>
        <v>管理中心</v>
      </c>
      <c r="AB89" s="70" t="str">
        <f>IFERROR(__xludf.DUMMYFUNCTION("""COMPUTED_VALUE"""),"執行長室 : 管理中心 : 人力資源部")</f>
        <v>執行長室 : 管理中心 : 人力資源部</v>
      </c>
      <c r="AC89" s="70" t="str">
        <f>IFERROR(__xludf.DUMMYFUNCTION("""COMPUTED_VALUE"""),"No_Product_Line")</f>
        <v>No_Product_Line</v>
      </c>
      <c r="AD89" s="70" t="str">
        <f>IFERROR(__xludf.DUMMYFUNCTION("""COMPUTED_VALUE"""),"Baseline")</f>
        <v>Baseline</v>
      </c>
      <c r="AE89" s="70" t="str">
        <f>IFERROR(__xludf.DUMMYFUNCTION("""COMPUTED_VALUE"""),"Baseline")</f>
        <v>Baseline</v>
      </c>
      <c r="AF89" s="71">
        <f>IFERROR(__xludf.DUMMYFUNCTION("""COMPUTED_VALUE"""),37143.0)</f>
        <v>37143</v>
      </c>
      <c r="AG89" s="71">
        <f>IFERROR(__xludf.DUMMYFUNCTION("""COMPUTED_VALUE"""),12.0)</f>
        <v>12</v>
      </c>
      <c r="AH89" s="71">
        <f>IFERROR(__xludf.DUMMYFUNCTION("""COMPUTED_VALUE"""),6203.0)</f>
        <v>6203</v>
      </c>
      <c r="AI89" s="71">
        <f>IFERROR(__xludf.DUMMYFUNCTION("""COMPUTED_VALUE"""),0.0)</f>
        <v>0</v>
      </c>
      <c r="AJ89" s="41"/>
      <c r="AK89" s="41"/>
      <c r="AL89" s="41"/>
      <c r="AM89" s="41"/>
      <c r="AN89" s="41"/>
      <c r="AO89" s="41"/>
      <c r="AP89" s="41"/>
      <c r="AQ89" s="71">
        <f>IFERROR(__xludf.DUMMYFUNCTION("""COMPUTED_VALUE"""),3109.0)</f>
        <v>3109</v>
      </c>
      <c r="AR89" s="71">
        <f>IFERROR(__xludf.DUMMYFUNCTION("""COMPUTED_VALUE"""),3094.0)</f>
        <v>3094</v>
      </c>
      <c r="AS89" s="71">
        <f>IFERROR(__xludf.DUMMYFUNCTION("""COMPUTED_VALUE"""),3094.0)</f>
        <v>3094</v>
      </c>
      <c r="AT89" s="71">
        <f>IFERROR(__xludf.DUMMYFUNCTION("""COMPUTED_VALUE"""),3094.0)</f>
        <v>3094</v>
      </c>
      <c r="AU89" s="71">
        <f>IFERROR(__xludf.DUMMYFUNCTION("""COMPUTED_VALUE"""),3094.0)</f>
        <v>3094</v>
      </c>
      <c r="AV89" s="71">
        <f>IFERROR(__xludf.DUMMYFUNCTION("""COMPUTED_VALUE"""),3094.0)</f>
        <v>3094</v>
      </c>
      <c r="AW89" s="71">
        <f>IFERROR(__xludf.DUMMYFUNCTION("""COMPUTED_VALUE"""),3094.0)</f>
        <v>3094</v>
      </c>
      <c r="AX89" s="71">
        <f>IFERROR(__xludf.DUMMYFUNCTION("""COMPUTED_VALUE"""),3094.0)</f>
        <v>3094</v>
      </c>
      <c r="AY89" s="71">
        <f>IFERROR(__xludf.DUMMYFUNCTION("""COMPUTED_VALUE"""),3094.0)</f>
        <v>3094</v>
      </c>
      <c r="AZ89" s="71">
        <f>IFERROR(__xludf.DUMMYFUNCTION("""COMPUTED_VALUE"""),3094.0)</f>
        <v>3094</v>
      </c>
    </row>
    <row r="90">
      <c r="B90" s="41"/>
      <c r="C90" s="41"/>
      <c r="D90" s="41"/>
      <c r="E90" s="41"/>
      <c r="F90" s="41"/>
      <c r="G90" s="41"/>
      <c r="H90" s="41"/>
      <c r="I90" s="41">
        <f>IFERROR(__xludf.DUMMYFUNCTION("""COMPUTED_VALUE"""),86.0)</f>
        <v>86</v>
      </c>
      <c r="J90" s="41" t="str">
        <f>IFERROR(__xludf.DUMMYFUNCTION("""COMPUTED_VALUE"""),"Y")</f>
        <v>Y</v>
      </c>
      <c r="K90" s="41"/>
      <c r="L90" s="41"/>
      <c r="M90" s="41" t="str">
        <f>IFERROR(__xludf.DUMMYFUNCTION("""COMPUTED_VALUE"""),"Bill")</f>
        <v>Bill</v>
      </c>
      <c r="N90" s="66">
        <f>IFERROR(__xludf.DUMMYFUNCTION("""COMPUTED_VALUE"""),45891.0)</f>
        <v>45891</v>
      </c>
      <c r="O90" s="41">
        <f>IFERROR(__xludf.DUMMYFUNCTION("""COMPUTED_VALUE"""),6023.0)</f>
        <v>6023</v>
      </c>
      <c r="P90" s="41"/>
      <c r="Q90" s="41"/>
      <c r="R90" s="41"/>
      <c r="S90" s="41"/>
      <c r="T90" s="41"/>
      <c r="U90" s="41" t="str">
        <f>IFERROR(__xludf.DUMMYFUNCTION("""COMPUTED_VALUE"""),"Salesforce.com Singapore Pte. Ltd_202508_SalesForce年度續約(2025/8/15-2026/8/14)")</f>
        <v>Salesforce.com Singapore Pte. Ltd_202508_SalesForce年度續約(2025/8/15-2026/8/14)</v>
      </c>
      <c r="V90" s="41"/>
      <c r="W90" s="41"/>
      <c r="X90" s="41"/>
      <c r="Y90" s="71">
        <f>IFERROR(__xludf.DUMMYFUNCTION("""COMPUTED_VALUE"""),90996.0)</f>
        <v>90996</v>
      </c>
      <c r="Z90" s="41">
        <f>IFERROR(__xludf.DUMMYFUNCTION("""COMPUTED_VALUE"""),613201.0)</f>
        <v>613201</v>
      </c>
      <c r="AA90" s="41" t="str">
        <f>IFERROR(__xludf.DUMMYFUNCTION("""COMPUTED_VALUE"""),"執行長室")</f>
        <v>執行長室</v>
      </c>
      <c r="AB90" s="70" t="str">
        <f>IFERROR(__xludf.DUMMYFUNCTION("""COMPUTED_VALUE"""),"執行長室")</f>
        <v>執行長室</v>
      </c>
      <c r="AC90" s="70" t="str">
        <f>IFERROR(__xludf.DUMMYFUNCTION("""COMPUTED_VALUE"""),"No_Product_Line")</f>
        <v>No_Product_Line</v>
      </c>
      <c r="AD90" s="70" t="str">
        <f>IFERROR(__xludf.DUMMYFUNCTION("""COMPUTED_VALUE"""),"Baseline")</f>
        <v>Baseline</v>
      </c>
      <c r="AE90" s="70" t="str">
        <f>IFERROR(__xludf.DUMMYFUNCTION("""COMPUTED_VALUE"""),"Baseline")</f>
        <v>Baseline</v>
      </c>
      <c r="AF90" s="71">
        <f>IFERROR(__xludf.DUMMYFUNCTION("""COMPUTED_VALUE"""),109239.0)</f>
        <v>109239</v>
      </c>
      <c r="AG90" s="71">
        <f>IFERROR(__xludf.DUMMYFUNCTION("""COMPUTED_VALUE"""),12.0)</f>
        <v>12</v>
      </c>
      <c r="AH90" s="71">
        <f>IFERROR(__xludf.DUMMYFUNCTION("""COMPUTED_VALUE"""),18243.0)</f>
        <v>18243</v>
      </c>
      <c r="AI90" s="71">
        <f>IFERROR(__xludf.DUMMYFUNCTION("""COMPUTED_VALUE"""),0.0)</f>
        <v>0</v>
      </c>
      <c r="AJ90" s="41"/>
      <c r="AK90" s="41"/>
      <c r="AL90" s="41"/>
      <c r="AM90" s="41"/>
      <c r="AN90" s="41"/>
      <c r="AO90" s="41"/>
      <c r="AP90" s="41"/>
      <c r="AQ90" s="71">
        <f>IFERROR(__xludf.DUMMYFUNCTION("""COMPUTED_VALUE"""),9143.0)</f>
        <v>9143</v>
      </c>
      <c r="AR90" s="71">
        <f>IFERROR(__xludf.DUMMYFUNCTION("""COMPUTED_VALUE"""),9100.0)</f>
        <v>9100</v>
      </c>
      <c r="AS90" s="71">
        <f>IFERROR(__xludf.DUMMYFUNCTION("""COMPUTED_VALUE"""),9100.0)</f>
        <v>9100</v>
      </c>
      <c r="AT90" s="71">
        <f>IFERROR(__xludf.DUMMYFUNCTION("""COMPUTED_VALUE"""),9100.0)</f>
        <v>9100</v>
      </c>
      <c r="AU90" s="71">
        <f>IFERROR(__xludf.DUMMYFUNCTION("""COMPUTED_VALUE"""),9100.0)</f>
        <v>9100</v>
      </c>
      <c r="AV90" s="71">
        <f>IFERROR(__xludf.DUMMYFUNCTION("""COMPUTED_VALUE"""),9100.0)</f>
        <v>9100</v>
      </c>
      <c r="AW90" s="71">
        <f>IFERROR(__xludf.DUMMYFUNCTION("""COMPUTED_VALUE"""),9100.0)</f>
        <v>9100</v>
      </c>
      <c r="AX90" s="71">
        <f>IFERROR(__xludf.DUMMYFUNCTION("""COMPUTED_VALUE"""),9100.0)</f>
        <v>9100</v>
      </c>
      <c r="AY90" s="71">
        <f>IFERROR(__xludf.DUMMYFUNCTION("""COMPUTED_VALUE"""),9100.0)</f>
        <v>9100</v>
      </c>
      <c r="AZ90" s="71">
        <f>IFERROR(__xludf.DUMMYFUNCTION("""COMPUTED_VALUE"""),9100.0)</f>
        <v>9100</v>
      </c>
    </row>
    <row r="91">
      <c r="B91" s="41"/>
      <c r="C91" s="41"/>
      <c r="D91" s="41"/>
      <c r="E91" s="41"/>
      <c r="F91" s="41"/>
      <c r="G91" s="41"/>
      <c r="H91" s="41"/>
      <c r="I91" s="41">
        <f>IFERROR(__xludf.DUMMYFUNCTION("""COMPUTED_VALUE"""),87.0)</f>
        <v>87</v>
      </c>
      <c r="J91" s="41" t="str">
        <f>IFERROR(__xludf.DUMMYFUNCTION("""COMPUTED_VALUE"""),"Y")</f>
        <v>Y</v>
      </c>
      <c r="K91" s="41"/>
      <c r="L91" s="41"/>
      <c r="M91" s="41" t="str">
        <f>IFERROR(__xludf.DUMMYFUNCTION("""COMPUTED_VALUE"""),"Bill")</f>
        <v>Bill</v>
      </c>
      <c r="N91" s="66">
        <f>IFERROR(__xludf.DUMMYFUNCTION("""COMPUTED_VALUE"""),45891.0)</f>
        <v>45891</v>
      </c>
      <c r="O91" s="41">
        <f>IFERROR(__xludf.DUMMYFUNCTION("""COMPUTED_VALUE"""),6023.0)</f>
        <v>6023</v>
      </c>
      <c r="P91" s="41"/>
      <c r="Q91" s="41"/>
      <c r="R91" s="41"/>
      <c r="S91" s="41"/>
      <c r="T91" s="41"/>
      <c r="U91" s="41" t="str">
        <f>IFERROR(__xludf.DUMMYFUNCTION("""COMPUTED_VALUE"""),"Salesforce.com Singapore Pte. Ltd_202508_SalesForce年度續約(2025/8/15-2026/8/14)")</f>
        <v>Salesforce.com Singapore Pte. Ltd_202508_SalesForce年度續約(2025/8/15-2026/8/14)</v>
      </c>
      <c r="V91" s="41"/>
      <c r="W91" s="41"/>
      <c r="X91" s="41"/>
      <c r="Y91" s="71">
        <f>IFERROR(__xludf.DUMMYFUNCTION("""COMPUTED_VALUE"""),90996.0)</f>
        <v>90996</v>
      </c>
      <c r="Z91" s="41">
        <f>IFERROR(__xludf.DUMMYFUNCTION("""COMPUTED_VALUE"""),613201.0)</f>
        <v>613201</v>
      </c>
      <c r="AA91" s="41" t="str">
        <f>IFERROR(__xludf.DUMMYFUNCTION("""COMPUTED_VALUE"""),"策略資料中心")</f>
        <v>策略資料中心</v>
      </c>
      <c r="AB91" s="70" t="str">
        <f>IFERROR(__xludf.DUMMYFUNCTION("""COMPUTED_VALUE"""),"執行長室 : 策略資料中心 : 策略資料中心")</f>
        <v>執行長室 : 策略資料中心 : 策略資料中心</v>
      </c>
      <c r="AC91" s="70" t="str">
        <f>IFERROR(__xludf.DUMMYFUNCTION("""COMPUTED_VALUE"""),"No_Product_Line")</f>
        <v>No_Product_Line</v>
      </c>
      <c r="AD91" s="70" t="str">
        <f>IFERROR(__xludf.DUMMYFUNCTION("""COMPUTED_VALUE"""),"Baseline")</f>
        <v>Baseline</v>
      </c>
      <c r="AE91" s="70" t="str">
        <f>IFERROR(__xludf.DUMMYFUNCTION("""COMPUTED_VALUE"""),"Baseline")</f>
        <v>Baseline</v>
      </c>
      <c r="AF91" s="71">
        <f>IFERROR(__xludf.DUMMYFUNCTION("""COMPUTED_VALUE"""),109239.0)</f>
        <v>109239</v>
      </c>
      <c r="AG91" s="71">
        <f>IFERROR(__xludf.DUMMYFUNCTION("""COMPUTED_VALUE"""),12.0)</f>
        <v>12</v>
      </c>
      <c r="AH91" s="71">
        <f>IFERROR(__xludf.DUMMYFUNCTION("""COMPUTED_VALUE"""),18243.0)</f>
        <v>18243</v>
      </c>
      <c r="AI91" s="71">
        <f>IFERROR(__xludf.DUMMYFUNCTION("""COMPUTED_VALUE"""),0.0)</f>
        <v>0</v>
      </c>
      <c r="AJ91" s="41"/>
      <c r="AK91" s="41"/>
      <c r="AL91" s="41"/>
      <c r="AM91" s="41"/>
      <c r="AN91" s="41"/>
      <c r="AO91" s="41"/>
      <c r="AP91" s="41"/>
      <c r="AQ91" s="71">
        <f>IFERROR(__xludf.DUMMYFUNCTION("""COMPUTED_VALUE"""),9143.0)</f>
        <v>9143</v>
      </c>
      <c r="AR91" s="71">
        <f>IFERROR(__xludf.DUMMYFUNCTION("""COMPUTED_VALUE"""),9100.0)</f>
        <v>9100</v>
      </c>
      <c r="AS91" s="71">
        <f>IFERROR(__xludf.DUMMYFUNCTION("""COMPUTED_VALUE"""),9100.0)</f>
        <v>9100</v>
      </c>
      <c r="AT91" s="71">
        <f>IFERROR(__xludf.DUMMYFUNCTION("""COMPUTED_VALUE"""),9100.0)</f>
        <v>9100</v>
      </c>
      <c r="AU91" s="71">
        <f>IFERROR(__xludf.DUMMYFUNCTION("""COMPUTED_VALUE"""),9100.0)</f>
        <v>9100</v>
      </c>
      <c r="AV91" s="71">
        <f>IFERROR(__xludf.DUMMYFUNCTION("""COMPUTED_VALUE"""),9100.0)</f>
        <v>9100</v>
      </c>
      <c r="AW91" s="71">
        <f>IFERROR(__xludf.DUMMYFUNCTION("""COMPUTED_VALUE"""),9100.0)</f>
        <v>9100</v>
      </c>
      <c r="AX91" s="71">
        <f>IFERROR(__xludf.DUMMYFUNCTION("""COMPUTED_VALUE"""),9100.0)</f>
        <v>9100</v>
      </c>
      <c r="AY91" s="71">
        <f>IFERROR(__xludf.DUMMYFUNCTION("""COMPUTED_VALUE"""),9100.0)</f>
        <v>9100</v>
      </c>
      <c r="AZ91" s="71">
        <f>IFERROR(__xludf.DUMMYFUNCTION("""COMPUTED_VALUE"""),9100.0)</f>
        <v>9100</v>
      </c>
    </row>
    <row r="92">
      <c r="B92" s="41"/>
      <c r="C92" s="41"/>
      <c r="D92" s="41"/>
      <c r="E92" s="41"/>
      <c r="F92" s="41"/>
      <c r="G92" s="41"/>
      <c r="H92" s="41"/>
      <c r="I92" s="41">
        <f>IFERROR(__xludf.DUMMYFUNCTION("""COMPUTED_VALUE"""),88.0)</f>
        <v>88</v>
      </c>
      <c r="J92" s="41" t="str">
        <f>IFERROR(__xludf.DUMMYFUNCTION("""COMPUTED_VALUE"""),"Y")</f>
        <v>Y</v>
      </c>
      <c r="K92" s="41"/>
      <c r="L92" s="41"/>
      <c r="M92" s="41" t="str">
        <f>IFERROR(__xludf.DUMMYFUNCTION("""COMPUTED_VALUE"""),"Bill")</f>
        <v>Bill</v>
      </c>
      <c r="N92" s="66">
        <f>IFERROR(__xludf.DUMMYFUNCTION("""COMPUTED_VALUE"""),45891.0)</f>
        <v>45891</v>
      </c>
      <c r="O92" s="41">
        <f>IFERROR(__xludf.DUMMYFUNCTION("""COMPUTED_VALUE"""),6023.0)</f>
        <v>6023</v>
      </c>
      <c r="P92" s="41"/>
      <c r="Q92" s="41"/>
      <c r="R92" s="41"/>
      <c r="S92" s="41"/>
      <c r="T92" s="41"/>
      <c r="U92" s="41" t="str">
        <f>IFERROR(__xludf.DUMMYFUNCTION("""COMPUTED_VALUE"""),"Salesforce.com Singapore Pte. Ltd_202508_SalesForce年度續約(2025/8/15-2026/8/14)")</f>
        <v>Salesforce.com Singapore Pte. Ltd_202508_SalesForce年度續約(2025/8/15-2026/8/14)</v>
      </c>
      <c r="V92" s="41"/>
      <c r="W92" s="41"/>
      <c r="X92" s="41"/>
      <c r="Y92" s="71">
        <f>IFERROR(__xludf.DUMMYFUNCTION("""COMPUTED_VALUE"""),1822087.0)</f>
        <v>1822087</v>
      </c>
      <c r="Z92" s="41">
        <f>IFERROR(__xludf.DUMMYFUNCTION("""COMPUTED_VALUE"""),603201.0)</f>
        <v>603201</v>
      </c>
      <c r="AA92" s="41" t="str">
        <f>IFERROR(__xludf.DUMMYFUNCTION("""COMPUTED_VALUE"""),"行銷營運中心")</f>
        <v>行銷營運中心</v>
      </c>
      <c r="AB92" s="70" t="str">
        <f>IFERROR(__xludf.DUMMYFUNCTION("""COMPUTED_VALUE"""),"執行長室 : 行銷營運中心 : 行銷營運中心")</f>
        <v>執行長室 : 行銷營運中心 : 行銷營運中心</v>
      </c>
      <c r="AC92" s="70" t="str">
        <f>IFERROR(__xludf.DUMMYFUNCTION("""COMPUTED_VALUE"""),"No_Product_Line")</f>
        <v>No_Product_Line</v>
      </c>
      <c r="AD92" s="70" t="str">
        <f>IFERROR(__xludf.DUMMYFUNCTION("""COMPUTED_VALUE"""),"Baseline")</f>
        <v>Baseline</v>
      </c>
      <c r="AE92" s="70" t="str">
        <f>IFERROR(__xludf.DUMMYFUNCTION("""COMPUTED_VALUE"""),"Baseline")</f>
        <v>Baseline</v>
      </c>
      <c r="AF92" s="71">
        <f>IFERROR(__xludf.DUMMYFUNCTION("""COMPUTED_VALUE"""),2187380.0)</f>
        <v>2187380</v>
      </c>
      <c r="AG92" s="71">
        <f>IFERROR(__xludf.DUMMYFUNCTION("""COMPUTED_VALUE"""),12.0)</f>
        <v>12</v>
      </c>
      <c r="AH92" s="71">
        <f>IFERROR(__xludf.DUMMYFUNCTION("""COMPUTED_VALUE"""),365293.0)</f>
        <v>365293</v>
      </c>
      <c r="AI92" s="71">
        <f>IFERROR(__xludf.DUMMYFUNCTION("""COMPUTED_VALUE"""),0.0)</f>
        <v>0</v>
      </c>
      <c r="AJ92" s="41"/>
      <c r="AK92" s="41"/>
      <c r="AL92" s="41"/>
      <c r="AM92" s="41"/>
      <c r="AN92" s="41"/>
      <c r="AO92" s="41"/>
      <c r="AP92" s="41"/>
      <c r="AQ92" s="71">
        <f>IFERROR(__xludf.DUMMYFUNCTION("""COMPUTED_VALUE"""),183084.0)</f>
        <v>183084</v>
      </c>
      <c r="AR92" s="71">
        <f>IFERROR(__xludf.DUMMYFUNCTION("""COMPUTED_VALUE"""),182209.0)</f>
        <v>182209</v>
      </c>
      <c r="AS92" s="71">
        <f>IFERROR(__xludf.DUMMYFUNCTION("""COMPUTED_VALUE"""),182209.0)</f>
        <v>182209</v>
      </c>
      <c r="AT92" s="71">
        <f>IFERROR(__xludf.DUMMYFUNCTION("""COMPUTED_VALUE"""),182209.0)</f>
        <v>182209</v>
      </c>
      <c r="AU92" s="71">
        <f>IFERROR(__xludf.DUMMYFUNCTION("""COMPUTED_VALUE"""),182209.0)</f>
        <v>182209</v>
      </c>
      <c r="AV92" s="71">
        <f>IFERROR(__xludf.DUMMYFUNCTION("""COMPUTED_VALUE"""),182209.0)</f>
        <v>182209</v>
      </c>
      <c r="AW92" s="71">
        <f>IFERROR(__xludf.DUMMYFUNCTION("""COMPUTED_VALUE"""),182209.0)</f>
        <v>182209</v>
      </c>
      <c r="AX92" s="71">
        <f>IFERROR(__xludf.DUMMYFUNCTION("""COMPUTED_VALUE"""),182209.0)</f>
        <v>182209</v>
      </c>
      <c r="AY92" s="71">
        <f>IFERROR(__xludf.DUMMYFUNCTION("""COMPUTED_VALUE"""),182209.0)</f>
        <v>182209</v>
      </c>
      <c r="AZ92" s="71">
        <f>IFERROR(__xludf.DUMMYFUNCTION("""COMPUTED_VALUE"""),182209.0)</f>
        <v>182209</v>
      </c>
    </row>
    <row r="93">
      <c r="B93" s="41"/>
      <c r="C93" s="41"/>
      <c r="D93" s="41"/>
      <c r="E93" s="41"/>
      <c r="F93" s="41"/>
      <c r="G93" s="41"/>
      <c r="H93" s="41"/>
      <c r="I93" s="41">
        <f>IFERROR(__xludf.DUMMYFUNCTION("""COMPUTED_VALUE"""),89.0)</f>
        <v>89</v>
      </c>
      <c r="J93" s="41" t="str">
        <f>IFERROR(__xludf.DUMMYFUNCTION("""COMPUTED_VALUE"""),"Y")</f>
        <v>Y</v>
      </c>
      <c r="K93" s="41"/>
      <c r="L93" s="41"/>
      <c r="M93" s="41" t="str">
        <f>IFERROR(__xludf.DUMMYFUNCTION("""COMPUTED_VALUE"""),"Bill")</f>
        <v>Bill</v>
      </c>
      <c r="N93" s="66">
        <f>IFERROR(__xludf.DUMMYFUNCTION("""COMPUTED_VALUE"""),45891.0)</f>
        <v>45891</v>
      </c>
      <c r="O93" s="41">
        <f>IFERROR(__xludf.DUMMYFUNCTION("""COMPUTED_VALUE"""),6023.0)</f>
        <v>6023</v>
      </c>
      <c r="P93" s="41"/>
      <c r="Q93" s="41"/>
      <c r="R93" s="41"/>
      <c r="S93" s="41"/>
      <c r="T93" s="41"/>
      <c r="U93" s="41" t="str">
        <f>IFERROR(__xludf.DUMMYFUNCTION("""COMPUTED_VALUE"""),"Salesforce.com Singapore Pte. Ltd_202508_SalesForce年度續約(2025/8/15-2026/8/14)")</f>
        <v>Salesforce.com Singapore Pte. Ltd_202508_SalesForce年度續約(2025/8/15-2026/8/14)</v>
      </c>
      <c r="V93" s="41"/>
      <c r="W93" s="41"/>
      <c r="X93" s="41"/>
      <c r="Y93" s="71">
        <f>IFERROR(__xludf.DUMMYFUNCTION("""COMPUTED_VALUE"""),90996.0)</f>
        <v>90996</v>
      </c>
      <c r="Z93" s="41">
        <f>IFERROR(__xludf.DUMMYFUNCTION("""COMPUTED_VALUE"""),623201.0)</f>
        <v>623201</v>
      </c>
      <c r="AA93" s="41" t="str">
        <f>IFERROR(__xludf.DUMMYFUNCTION("""COMPUTED_VALUE"""),"研發中心")</f>
        <v>研發中心</v>
      </c>
      <c r="AB93" s="70" t="str">
        <f>IFERROR(__xludf.DUMMYFUNCTION("""COMPUTED_VALUE"""),"執行長室 : 研發中心 : 研發中心")</f>
        <v>執行長室 : 研發中心 : 研發中心</v>
      </c>
      <c r="AC93" s="70" t="str">
        <f>IFERROR(__xludf.DUMMYFUNCTION("""COMPUTED_VALUE"""),"No_Product_Line")</f>
        <v>No_Product_Line</v>
      </c>
      <c r="AD93" s="70" t="str">
        <f>IFERROR(__xludf.DUMMYFUNCTION("""COMPUTED_VALUE"""),"Baseline")</f>
        <v>Baseline</v>
      </c>
      <c r="AE93" s="70" t="str">
        <f>IFERROR(__xludf.DUMMYFUNCTION("""COMPUTED_VALUE"""),"Baseline")</f>
        <v>Baseline</v>
      </c>
      <c r="AF93" s="71">
        <f>IFERROR(__xludf.DUMMYFUNCTION("""COMPUTED_VALUE"""),109239.0)</f>
        <v>109239</v>
      </c>
      <c r="AG93" s="71">
        <f>IFERROR(__xludf.DUMMYFUNCTION("""COMPUTED_VALUE"""),12.0)</f>
        <v>12</v>
      </c>
      <c r="AH93" s="71">
        <f>IFERROR(__xludf.DUMMYFUNCTION("""COMPUTED_VALUE"""),18243.0)</f>
        <v>18243</v>
      </c>
      <c r="AI93" s="71">
        <f>IFERROR(__xludf.DUMMYFUNCTION("""COMPUTED_VALUE"""),0.0)</f>
        <v>0</v>
      </c>
      <c r="AJ93" s="41"/>
      <c r="AK93" s="41"/>
      <c r="AL93" s="41"/>
      <c r="AM93" s="41"/>
      <c r="AN93" s="41"/>
      <c r="AO93" s="41"/>
      <c r="AP93" s="41"/>
      <c r="AQ93" s="71">
        <f>IFERROR(__xludf.DUMMYFUNCTION("""COMPUTED_VALUE"""),9143.0)</f>
        <v>9143</v>
      </c>
      <c r="AR93" s="71">
        <f>IFERROR(__xludf.DUMMYFUNCTION("""COMPUTED_VALUE"""),9100.0)</f>
        <v>9100</v>
      </c>
      <c r="AS93" s="71">
        <f>IFERROR(__xludf.DUMMYFUNCTION("""COMPUTED_VALUE"""),9100.0)</f>
        <v>9100</v>
      </c>
      <c r="AT93" s="71">
        <f>IFERROR(__xludf.DUMMYFUNCTION("""COMPUTED_VALUE"""),9100.0)</f>
        <v>9100</v>
      </c>
      <c r="AU93" s="71">
        <f>IFERROR(__xludf.DUMMYFUNCTION("""COMPUTED_VALUE"""),9100.0)</f>
        <v>9100</v>
      </c>
      <c r="AV93" s="71">
        <f>IFERROR(__xludf.DUMMYFUNCTION("""COMPUTED_VALUE"""),9100.0)</f>
        <v>9100</v>
      </c>
      <c r="AW93" s="71">
        <f>IFERROR(__xludf.DUMMYFUNCTION("""COMPUTED_VALUE"""),9100.0)</f>
        <v>9100</v>
      </c>
      <c r="AX93" s="71">
        <f>IFERROR(__xludf.DUMMYFUNCTION("""COMPUTED_VALUE"""),9100.0)</f>
        <v>9100</v>
      </c>
      <c r="AY93" s="71">
        <f>IFERROR(__xludf.DUMMYFUNCTION("""COMPUTED_VALUE"""),9100.0)</f>
        <v>9100</v>
      </c>
      <c r="AZ93" s="71">
        <f>IFERROR(__xludf.DUMMYFUNCTION("""COMPUTED_VALUE"""),9100.0)</f>
        <v>9100</v>
      </c>
    </row>
    <row r="94">
      <c r="B94" s="41"/>
      <c r="C94" s="41"/>
      <c r="D94" s="41"/>
      <c r="E94" s="41"/>
      <c r="F94" s="41"/>
      <c r="G94" s="41"/>
      <c r="H94" s="41"/>
      <c r="I94" s="41">
        <f>IFERROR(__xludf.DUMMYFUNCTION("""COMPUTED_VALUE"""),90.0)</f>
        <v>90</v>
      </c>
      <c r="J94" s="41" t="str">
        <f>IFERROR(__xludf.DUMMYFUNCTION("""COMPUTED_VALUE"""),"Y")</f>
        <v>Y</v>
      </c>
      <c r="K94" s="41"/>
      <c r="L94" s="41"/>
      <c r="M94" s="41" t="str">
        <f>IFERROR(__xludf.DUMMYFUNCTION("""COMPUTED_VALUE"""),"Bill")</f>
        <v>Bill</v>
      </c>
      <c r="N94" s="66">
        <f>IFERROR(__xludf.DUMMYFUNCTION("""COMPUTED_VALUE"""),45891.0)</f>
        <v>45891</v>
      </c>
      <c r="O94" s="41">
        <f>IFERROR(__xludf.DUMMYFUNCTION("""COMPUTED_VALUE"""),6023.0)</f>
        <v>6023</v>
      </c>
      <c r="P94" s="41"/>
      <c r="Q94" s="41"/>
      <c r="R94" s="41"/>
      <c r="S94" s="41"/>
      <c r="T94" s="41"/>
      <c r="U94" s="41" t="str">
        <f>IFERROR(__xludf.DUMMYFUNCTION("""COMPUTED_VALUE"""),"Salesforce.com Singapore Pte. Ltd_202508_SalesForce年度續約(2025/8/15-2026/8/14)")</f>
        <v>Salesforce.com Singapore Pte. Ltd_202508_SalesForce年度續約(2025/8/15-2026/8/14)</v>
      </c>
      <c r="V94" s="41"/>
      <c r="W94" s="41"/>
      <c r="X94" s="41"/>
      <c r="Y94" s="71">
        <f>IFERROR(__xludf.DUMMYFUNCTION("""COMPUTED_VALUE"""),389415.0)</f>
        <v>389415</v>
      </c>
      <c r="Z94" s="41">
        <f>IFERROR(__xludf.DUMMYFUNCTION("""COMPUTED_VALUE"""),613201.0)</f>
        <v>613201</v>
      </c>
      <c r="AA94" s="41" t="str">
        <f>IFERROR(__xludf.DUMMYFUNCTION("""COMPUTED_VALUE"""),"管理中心")</f>
        <v>管理中心</v>
      </c>
      <c r="AB94" s="70" t="str">
        <f>IFERROR(__xludf.DUMMYFUNCTION("""COMPUTED_VALUE"""),"執行長室 : 管理中心 : 資訊部")</f>
        <v>執行長室 : 管理中心 : 資訊部</v>
      </c>
      <c r="AC94" s="70" t="str">
        <f>IFERROR(__xludf.DUMMYFUNCTION("""COMPUTED_VALUE"""),"No_Product_Line")</f>
        <v>No_Product_Line</v>
      </c>
      <c r="AD94" s="70" t="str">
        <f>IFERROR(__xludf.DUMMYFUNCTION("""COMPUTED_VALUE"""),"Baseline")</f>
        <v>Baseline</v>
      </c>
      <c r="AE94" s="70" t="str">
        <f>IFERROR(__xludf.DUMMYFUNCTION("""COMPUTED_VALUE"""),"Baseline")</f>
        <v>Baseline</v>
      </c>
      <c r="AF94" s="71">
        <f>IFERROR(__xludf.DUMMYFUNCTION("""COMPUTED_VALUE"""),467486.0)</f>
        <v>467486</v>
      </c>
      <c r="AG94" s="71">
        <f>IFERROR(__xludf.DUMMYFUNCTION("""COMPUTED_VALUE"""),12.0)</f>
        <v>12</v>
      </c>
      <c r="AH94" s="71">
        <f>IFERROR(__xludf.DUMMYFUNCTION("""COMPUTED_VALUE"""),78071.0)</f>
        <v>78071</v>
      </c>
      <c r="AI94" s="71">
        <f>IFERROR(__xludf.DUMMYFUNCTION("""COMPUTED_VALUE"""),0.0)</f>
        <v>0</v>
      </c>
      <c r="AJ94" s="41"/>
      <c r="AK94" s="41"/>
      <c r="AL94" s="41"/>
      <c r="AM94" s="41"/>
      <c r="AN94" s="41"/>
      <c r="AO94" s="41"/>
      <c r="AP94" s="41"/>
      <c r="AQ94" s="71">
        <f>IFERROR(__xludf.DUMMYFUNCTION("""COMPUTED_VALUE"""),39129.0)</f>
        <v>39129</v>
      </c>
      <c r="AR94" s="71">
        <f>IFERROR(__xludf.DUMMYFUNCTION("""COMPUTED_VALUE"""),38942.0)</f>
        <v>38942</v>
      </c>
      <c r="AS94" s="71">
        <f>IFERROR(__xludf.DUMMYFUNCTION("""COMPUTED_VALUE"""),38942.0)</f>
        <v>38942</v>
      </c>
      <c r="AT94" s="71">
        <f>IFERROR(__xludf.DUMMYFUNCTION("""COMPUTED_VALUE"""),38942.0)</f>
        <v>38942</v>
      </c>
      <c r="AU94" s="71">
        <f>IFERROR(__xludf.DUMMYFUNCTION("""COMPUTED_VALUE"""),38942.0)</f>
        <v>38942</v>
      </c>
      <c r="AV94" s="71">
        <f>IFERROR(__xludf.DUMMYFUNCTION("""COMPUTED_VALUE"""),38942.0)</f>
        <v>38942</v>
      </c>
      <c r="AW94" s="71">
        <f>IFERROR(__xludf.DUMMYFUNCTION("""COMPUTED_VALUE"""),38942.0)</f>
        <v>38942</v>
      </c>
      <c r="AX94" s="71">
        <f>IFERROR(__xludf.DUMMYFUNCTION("""COMPUTED_VALUE"""),38942.0)</f>
        <v>38942</v>
      </c>
      <c r="AY94" s="71">
        <f>IFERROR(__xludf.DUMMYFUNCTION("""COMPUTED_VALUE"""),38942.0)</f>
        <v>38942</v>
      </c>
      <c r="AZ94" s="71">
        <f>IFERROR(__xludf.DUMMYFUNCTION("""COMPUTED_VALUE"""),38942.0)</f>
        <v>38942</v>
      </c>
    </row>
    <row r="95">
      <c r="B95" s="41"/>
      <c r="C95" s="41"/>
      <c r="D95" s="41"/>
      <c r="E95" s="41"/>
      <c r="F95" s="41"/>
      <c r="G95" s="41"/>
      <c r="H95" s="41"/>
      <c r="I95" s="41">
        <f>IFERROR(__xludf.DUMMYFUNCTION("""COMPUTED_VALUE"""),91.0)</f>
        <v>91</v>
      </c>
      <c r="J95" s="41" t="str">
        <f>IFERROR(__xludf.DUMMYFUNCTION("""COMPUTED_VALUE"""),"Y")</f>
        <v>Y</v>
      </c>
      <c r="K95" s="41"/>
      <c r="L95" s="41"/>
      <c r="M95" s="41" t="str">
        <f>IFERROR(__xludf.DUMMYFUNCTION("""COMPUTED_VALUE"""),"Bill")</f>
        <v>Bill</v>
      </c>
      <c r="N95" s="66">
        <f>IFERROR(__xludf.DUMMYFUNCTION("""COMPUTED_VALUE"""),45891.0)</f>
        <v>45891</v>
      </c>
      <c r="O95" s="41">
        <f>IFERROR(__xludf.DUMMYFUNCTION("""COMPUTED_VALUE"""),6023.0)</f>
        <v>6023</v>
      </c>
      <c r="P95" s="41"/>
      <c r="Q95" s="41"/>
      <c r="R95" s="41"/>
      <c r="S95" s="41"/>
      <c r="T95" s="41"/>
      <c r="U95" s="41" t="str">
        <f>IFERROR(__xludf.DUMMYFUNCTION("""COMPUTED_VALUE"""),"Salesforce.com Singapore Pte. Ltd_202508_SalesForce年度續約(2025/8/15-2026/8/14)")</f>
        <v>Salesforce.com Singapore Pte. Ltd_202508_SalesForce年度續約(2025/8/15-2026/8/14)</v>
      </c>
      <c r="V95" s="41"/>
      <c r="W95" s="41"/>
      <c r="X95" s="41"/>
      <c r="Y95" s="71">
        <f>IFERROR(__xludf.DUMMYFUNCTION("""COMPUTED_VALUE"""),273294.0)</f>
        <v>273294</v>
      </c>
      <c r="Z95" s="41">
        <f>IFERROR(__xludf.DUMMYFUNCTION("""COMPUTED_VALUE"""),623201.0)</f>
        <v>623201</v>
      </c>
      <c r="AA95" s="41" t="str">
        <f>IFERROR(__xludf.DUMMYFUNCTION("""COMPUTED_VALUE"""),"客戶價值中心")</f>
        <v>客戶價值中心</v>
      </c>
      <c r="AB95" s="70" t="str">
        <f>IFERROR(__xludf.DUMMYFUNCTION("""COMPUTED_VALUE"""),"執行長室 : 客戶價值中心 : 客戶價值中心")</f>
        <v>執行長室 : 客戶價值中心 : 客戶價值中心</v>
      </c>
      <c r="AC95" s="70" t="str">
        <f>IFERROR(__xludf.DUMMYFUNCTION("""COMPUTED_VALUE"""),"No_Product_Line")</f>
        <v>No_Product_Line</v>
      </c>
      <c r="AD95" s="70" t="str">
        <f>IFERROR(__xludf.DUMMYFUNCTION("""COMPUTED_VALUE"""),"Baseline")</f>
        <v>Baseline</v>
      </c>
      <c r="AE95" s="70" t="str">
        <f>IFERROR(__xludf.DUMMYFUNCTION("""COMPUTED_VALUE"""),"Baseline")</f>
        <v>Baseline</v>
      </c>
      <c r="AF95" s="71">
        <f>IFERROR(__xludf.DUMMYFUNCTION("""COMPUTED_VALUE"""),328084.0)</f>
        <v>328084</v>
      </c>
      <c r="AG95" s="71">
        <f>IFERROR(__xludf.DUMMYFUNCTION("""COMPUTED_VALUE"""),12.0)</f>
        <v>12</v>
      </c>
      <c r="AH95" s="71">
        <f>IFERROR(__xludf.DUMMYFUNCTION("""COMPUTED_VALUE"""),54790.0)</f>
        <v>54790</v>
      </c>
      <c r="AI95" s="71">
        <f>IFERROR(__xludf.DUMMYFUNCTION("""COMPUTED_VALUE"""),0.0)</f>
        <v>0</v>
      </c>
      <c r="AJ95" s="41"/>
      <c r="AK95" s="41"/>
      <c r="AL95" s="41"/>
      <c r="AM95" s="41"/>
      <c r="AN95" s="41"/>
      <c r="AO95" s="41"/>
      <c r="AP95" s="41"/>
      <c r="AQ95" s="71">
        <f>IFERROR(__xludf.DUMMYFUNCTION("""COMPUTED_VALUE"""),27461.0)</f>
        <v>27461</v>
      </c>
      <c r="AR95" s="71">
        <f>IFERROR(__xludf.DUMMYFUNCTION("""COMPUTED_VALUE"""),27329.0)</f>
        <v>27329</v>
      </c>
      <c r="AS95" s="71">
        <f>IFERROR(__xludf.DUMMYFUNCTION("""COMPUTED_VALUE"""),27329.0)</f>
        <v>27329</v>
      </c>
      <c r="AT95" s="71">
        <f>IFERROR(__xludf.DUMMYFUNCTION("""COMPUTED_VALUE"""),27329.0)</f>
        <v>27329</v>
      </c>
      <c r="AU95" s="71">
        <f>IFERROR(__xludf.DUMMYFUNCTION("""COMPUTED_VALUE"""),27329.0)</f>
        <v>27329</v>
      </c>
      <c r="AV95" s="71">
        <f>IFERROR(__xludf.DUMMYFUNCTION("""COMPUTED_VALUE"""),27329.0)</f>
        <v>27329</v>
      </c>
      <c r="AW95" s="71">
        <f>IFERROR(__xludf.DUMMYFUNCTION("""COMPUTED_VALUE"""),27329.0)</f>
        <v>27329</v>
      </c>
      <c r="AX95" s="71">
        <f>IFERROR(__xludf.DUMMYFUNCTION("""COMPUTED_VALUE"""),27329.0)</f>
        <v>27329</v>
      </c>
      <c r="AY95" s="71">
        <f>IFERROR(__xludf.DUMMYFUNCTION("""COMPUTED_VALUE"""),27329.0)</f>
        <v>27329</v>
      </c>
      <c r="AZ95" s="71">
        <f>IFERROR(__xludf.DUMMYFUNCTION("""COMPUTED_VALUE"""),27329.0)</f>
        <v>27329</v>
      </c>
    </row>
    <row r="96">
      <c r="B96" s="41"/>
      <c r="C96" s="41"/>
      <c r="D96" s="41"/>
      <c r="E96" s="41"/>
      <c r="F96" s="41"/>
      <c r="G96" s="41"/>
      <c r="H96" s="41"/>
      <c r="I96" s="41">
        <f>IFERROR(__xludf.DUMMYFUNCTION("""COMPUTED_VALUE"""),92.0)</f>
        <v>92</v>
      </c>
      <c r="J96" s="41"/>
      <c r="K96" s="41"/>
      <c r="L96" s="41"/>
      <c r="M96" s="41" t="str">
        <f>IFERROR(__xludf.DUMMYFUNCTION("""COMPUTED_VALUE"""),"Bill")</f>
        <v>Bill</v>
      </c>
      <c r="N96" s="66">
        <f>IFERROR(__xludf.DUMMYFUNCTION("""COMPUTED_VALUE"""),45891.0)</f>
        <v>45891</v>
      </c>
      <c r="O96" s="41">
        <f>IFERROR(__xludf.DUMMYFUNCTION("""COMPUTED_VALUE"""),6024.0)</f>
        <v>6024</v>
      </c>
      <c r="P96" s="41"/>
      <c r="Q96" s="41"/>
      <c r="R96" s="41"/>
      <c r="S96" s="41"/>
      <c r="T96" s="41"/>
      <c r="U96" s="41" t="str">
        <f>IFERROR(__xludf.DUMMYFUNCTION("""COMPUTED_VALUE"""),"富邦人壽保險股份有限公司_202508_2025年度團體保險費用(1140801-1150731)_PCAR-3649")</f>
        <v>富邦人壽保險股份有限公司_202508_2025年度團體保險費用(1140801-1150731)_PCAR-3649</v>
      </c>
      <c r="V96" s="41"/>
      <c r="W96" s="41"/>
      <c r="X96" s="41"/>
      <c r="Y96" s="71">
        <f>IFERROR(__xludf.DUMMYFUNCTION("""COMPUTED_VALUE"""),213756.0)</f>
        <v>213756</v>
      </c>
      <c r="Z96" s="41">
        <f>IFERROR(__xludf.DUMMYFUNCTION("""COMPUTED_VALUE"""),611903.0)</f>
        <v>611903</v>
      </c>
      <c r="AA96" s="41" t="str">
        <f>IFERROR(__xludf.DUMMYFUNCTION("""COMPUTED_VALUE"""),"管理中心")</f>
        <v>管理中心</v>
      </c>
      <c r="AB96" s="70" t="str">
        <f>IFERROR(__xludf.DUMMYFUNCTION("""COMPUTED_VALUE"""),"執行長室 : 管理中心 : 管理中心")</f>
        <v>執行長室 : 管理中心 : 管理中心</v>
      </c>
      <c r="AC96" s="70" t="str">
        <f>IFERROR(__xludf.DUMMYFUNCTION("""COMPUTED_VALUE"""),"No_Product_Line")</f>
        <v>No_Product_Line</v>
      </c>
      <c r="AD96" s="70" t="str">
        <f>IFERROR(__xludf.DUMMYFUNCTION("""COMPUTED_VALUE"""),"Baseline")</f>
        <v>Baseline</v>
      </c>
      <c r="AE96" s="70" t="str">
        <f>IFERROR(__xludf.DUMMYFUNCTION("""COMPUTED_VALUE"""),"Baseline")</f>
        <v>Baseline</v>
      </c>
      <c r="AF96" s="71">
        <f>IFERROR(__xludf.DUMMYFUNCTION("""COMPUTED_VALUE"""),256610.0)</f>
        <v>256610</v>
      </c>
      <c r="AG96" s="71">
        <f>IFERROR(__xludf.DUMMYFUNCTION("""COMPUTED_VALUE"""),12.0)</f>
        <v>12</v>
      </c>
      <c r="AH96" s="71">
        <f>IFERROR(__xludf.DUMMYFUNCTION("""COMPUTED_VALUE"""),42854.0)</f>
        <v>42854</v>
      </c>
      <c r="AI96" s="71">
        <f>IFERROR(__xludf.DUMMYFUNCTION("""COMPUTED_VALUE"""),0.0)</f>
        <v>0</v>
      </c>
      <c r="AJ96" s="41"/>
      <c r="AK96" s="41"/>
      <c r="AL96" s="41"/>
      <c r="AM96" s="41"/>
      <c r="AN96" s="41"/>
      <c r="AO96" s="41"/>
      <c r="AP96" s="41"/>
      <c r="AQ96" s="71">
        <f>IFERROR(__xludf.DUMMYFUNCTION("""COMPUTED_VALUE"""),21478.0)</f>
        <v>21478</v>
      </c>
      <c r="AR96" s="71">
        <f>IFERROR(__xludf.DUMMYFUNCTION("""COMPUTED_VALUE"""),21376.0)</f>
        <v>21376</v>
      </c>
      <c r="AS96" s="71">
        <f>IFERROR(__xludf.DUMMYFUNCTION("""COMPUTED_VALUE"""),21376.0)</f>
        <v>21376</v>
      </c>
      <c r="AT96" s="71">
        <f>IFERROR(__xludf.DUMMYFUNCTION("""COMPUTED_VALUE"""),21376.0)</f>
        <v>21376</v>
      </c>
      <c r="AU96" s="71">
        <f>IFERROR(__xludf.DUMMYFUNCTION("""COMPUTED_VALUE"""),21376.0)</f>
        <v>21376</v>
      </c>
      <c r="AV96" s="71">
        <f>IFERROR(__xludf.DUMMYFUNCTION("""COMPUTED_VALUE"""),21376.0)</f>
        <v>21376</v>
      </c>
      <c r="AW96" s="71">
        <f>IFERROR(__xludf.DUMMYFUNCTION("""COMPUTED_VALUE"""),21376.0)</f>
        <v>21376</v>
      </c>
      <c r="AX96" s="71">
        <f>IFERROR(__xludf.DUMMYFUNCTION("""COMPUTED_VALUE"""),21376.0)</f>
        <v>21376</v>
      </c>
      <c r="AY96" s="71">
        <f>IFERROR(__xludf.DUMMYFUNCTION("""COMPUTED_VALUE"""),21376.0)</f>
        <v>21376</v>
      </c>
      <c r="AZ96" s="71">
        <f>IFERROR(__xludf.DUMMYFUNCTION("""COMPUTED_VALUE"""),21376.0)</f>
        <v>21376</v>
      </c>
    </row>
    <row r="97">
      <c r="B97" s="41"/>
      <c r="C97" s="41"/>
      <c r="D97" s="41"/>
      <c r="E97" s="41"/>
      <c r="F97" s="41"/>
      <c r="G97" s="41"/>
      <c r="H97" s="41"/>
      <c r="I97" s="41">
        <f>IFERROR(__xludf.DUMMYFUNCTION("""COMPUTED_VALUE"""),93.0)</f>
        <v>93</v>
      </c>
      <c r="J97" s="41"/>
      <c r="K97" s="41"/>
      <c r="L97" s="41"/>
      <c r="M97" s="41" t="str">
        <f>IFERROR(__xludf.DUMMYFUNCTION("""COMPUTED_VALUE"""),"Journal")</f>
        <v>Journal</v>
      </c>
      <c r="N97" s="66">
        <f>IFERROR(__xludf.DUMMYFUNCTION("""COMPUTED_VALUE"""),45900.0)</f>
        <v>45900</v>
      </c>
      <c r="O97" s="41">
        <f>IFERROR(__xludf.DUMMYFUNCTION("""COMPUTED_VALUE"""),18585.0)</f>
        <v>18585</v>
      </c>
      <c r="P97" s="41"/>
      <c r="Q97" s="41"/>
      <c r="R97" s="41"/>
      <c r="S97" s="41"/>
      <c r="T97" s="41"/>
      <c r="U97" s="41" t="str">
        <f>IFERROR(__xludf.DUMMYFUNCTION("""COMPUTED_VALUE"""),"簡單行動支付股份有限公司_202508_ezpay 電子發票年費制 - 尊榮型 (2025.10.17-2026.10.16)")</f>
        <v>簡單行動支付股份有限公司_202508_ezpay 電子發票年費制 - 尊榮型 (2025.10.17-2026.10.16)</v>
      </c>
      <c r="V97" s="41"/>
      <c r="W97" s="41"/>
      <c r="X97" s="41"/>
      <c r="Y97" s="71">
        <f>IFERROR(__xludf.DUMMYFUNCTION("""COMPUTED_VALUE"""),13714.0)</f>
        <v>13714</v>
      </c>
      <c r="Z97" s="41">
        <f>IFERROR(__xludf.DUMMYFUNCTION("""COMPUTED_VALUE"""),613201.0)</f>
        <v>613201</v>
      </c>
      <c r="AA97" s="41" t="str">
        <f>IFERROR(__xludf.DUMMYFUNCTION("""COMPUTED_VALUE"""),"財務中心")</f>
        <v>財務中心</v>
      </c>
      <c r="AB97" s="70" t="str">
        <f>IFERROR(__xludf.DUMMYFUNCTION("""COMPUTED_VALUE"""),"執行長室 : 財務中心 : 財務中心")</f>
        <v>執行長室 : 財務中心 : 財務中心</v>
      </c>
      <c r="AC97" s="70" t="str">
        <f>IFERROR(__xludf.DUMMYFUNCTION("""COMPUTED_VALUE"""),"No_Product_Line")</f>
        <v>No_Product_Line</v>
      </c>
      <c r="AD97" s="70" t="str">
        <f>IFERROR(__xludf.DUMMYFUNCTION("""COMPUTED_VALUE"""),"Baseline")</f>
        <v>Baseline</v>
      </c>
      <c r="AE97" s="70" t="str">
        <f>IFERROR(__xludf.DUMMYFUNCTION("""COMPUTED_VALUE"""),"Baseline")</f>
        <v>Baseline</v>
      </c>
      <c r="AF97" s="71">
        <f>IFERROR(__xludf.DUMMYFUNCTION("""COMPUTED_VALUE"""),13714.0)</f>
        <v>13714</v>
      </c>
      <c r="AG97" s="71">
        <f>IFERROR(__xludf.DUMMYFUNCTION("""COMPUTED_VALUE"""),12.0)</f>
        <v>12</v>
      </c>
      <c r="AH97" s="71">
        <f>IFERROR(__xludf.DUMMYFUNCTION("""COMPUTED_VALUE"""),0.0)</f>
        <v>0</v>
      </c>
      <c r="AI97" s="71">
        <f>IFERROR(__xludf.DUMMYFUNCTION("""COMPUTED_VALUE"""),0.0)</f>
        <v>0</v>
      </c>
      <c r="AJ97" s="41"/>
      <c r="AK97" s="41"/>
      <c r="AL97" s="41"/>
      <c r="AM97" s="41"/>
      <c r="AN97" s="41"/>
      <c r="AO97" s="41"/>
      <c r="AP97" s="41"/>
      <c r="AQ97" s="41"/>
      <c r="AR97" s="41"/>
      <c r="AS97" s="71">
        <f>IFERROR(__xludf.DUMMYFUNCTION("""COMPUTED_VALUE"""),1148.0)</f>
        <v>1148</v>
      </c>
      <c r="AT97" s="71">
        <f>IFERROR(__xludf.DUMMYFUNCTION("""COMPUTED_VALUE"""),1142.0)</f>
        <v>1142</v>
      </c>
      <c r="AU97" s="71">
        <f>IFERROR(__xludf.DUMMYFUNCTION("""COMPUTED_VALUE"""),1142.0)</f>
        <v>1142</v>
      </c>
      <c r="AV97" s="71">
        <f>IFERROR(__xludf.DUMMYFUNCTION("""COMPUTED_VALUE"""),1142.0)</f>
        <v>1142</v>
      </c>
      <c r="AW97" s="71">
        <f>IFERROR(__xludf.DUMMYFUNCTION("""COMPUTED_VALUE"""),1142.0)</f>
        <v>1142</v>
      </c>
      <c r="AX97" s="71">
        <f>IFERROR(__xludf.DUMMYFUNCTION("""COMPUTED_VALUE"""),1142.0)</f>
        <v>1142</v>
      </c>
      <c r="AY97" s="71">
        <f>IFERROR(__xludf.DUMMYFUNCTION("""COMPUTED_VALUE"""),1142.0)</f>
        <v>1142</v>
      </c>
      <c r="AZ97" s="71">
        <f>IFERROR(__xludf.DUMMYFUNCTION("""COMPUTED_VALUE"""),1142.0)</f>
        <v>1142</v>
      </c>
    </row>
    <row r="98">
      <c r="B98" s="41"/>
      <c r="C98" s="41"/>
      <c r="D98" s="41"/>
      <c r="E98" s="41"/>
      <c r="F98" s="41"/>
      <c r="G98" s="41"/>
      <c r="H98" s="41"/>
      <c r="I98" s="41">
        <f>IFERROR(__xludf.DUMMYFUNCTION("""COMPUTED_VALUE"""),94.0)</f>
        <v>94</v>
      </c>
      <c r="J98" s="41"/>
      <c r="K98" s="41"/>
      <c r="L98" s="41"/>
      <c r="M98" s="41" t="str">
        <f>IFERROR(__xludf.DUMMYFUNCTION("""COMPUTED_VALUE"""),"Journal")</f>
        <v>Journal</v>
      </c>
      <c r="N98" s="66">
        <f>IFERROR(__xludf.DUMMYFUNCTION("""COMPUTED_VALUE"""),45900.0)</f>
        <v>45900</v>
      </c>
      <c r="O98" s="41">
        <f>IFERROR(__xludf.DUMMYFUNCTION("""COMPUTED_VALUE"""),18674.0)</f>
        <v>18674</v>
      </c>
      <c r="P98" s="41"/>
      <c r="Q98" s="41"/>
      <c r="R98" s="41"/>
      <c r="S98" s="41"/>
      <c r="T98" s="41"/>
      <c r="U98" s="41" t="str">
        <f>IFERROR(__xludf.DUMMYFUNCTION("""COMPUTED_VALUE"""),"WordPress.com _2025.08_iCHEF 部落格年費 (20250815-20260814)")</f>
        <v>WordPress.com _2025.08_iCHEF 部落格年費 (20250815-20260814)</v>
      </c>
      <c r="V98" s="41"/>
      <c r="W98" s="41"/>
      <c r="X98" s="41"/>
      <c r="Y98" s="71">
        <f>IFERROR(__xludf.DUMMYFUNCTION("""COMPUTED_VALUE"""),7888.0)</f>
        <v>7888</v>
      </c>
      <c r="Z98" s="41">
        <f>IFERROR(__xludf.DUMMYFUNCTION("""COMPUTED_VALUE"""),603201.0)</f>
        <v>603201</v>
      </c>
      <c r="AA98" s="41" t="str">
        <f>IFERROR(__xludf.DUMMYFUNCTION("""COMPUTED_VALUE"""),"行銷營運中心")</f>
        <v>行銷營運中心</v>
      </c>
      <c r="AB98" s="70" t="str">
        <f>IFERROR(__xludf.DUMMYFUNCTION("""COMPUTED_VALUE"""),"執行長室 : 行銷營運中心 : 社群關係部 : 餐廳社群團隊")</f>
        <v>執行長室 : 行銷營運中心 : 社群關係部 : 餐廳社群團隊</v>
      </c>
      <c r="AC98" s="70" t="str">
        <f>IFERROR(__xludf.DUMMYFUNCTION("""COMPUTED_VALUE"""),"No_Product_Line")</f>
        <v>No_Product_Line</v>
      </c>
      <c r="AD98" s="70" t="str">
        <f>IFERROR(__xludf.DUMMYFUNCTION("""COMPUTED_VALUE"""),"Baseline")</f>
        <v>Baseline</v>
      </c>
      <c r="AE98" s="70" t="str">
        <f>IFERROR(__xludf.DUMMYFUNCTION("""COMPUTED_VALUE"""),"Baseline")</f>
        <v>Baseline</v>
      </c>
      <c r="AF98" s="71">
        <f>IFERROR(__xludf.DUMMYFUNCTION("""COMPUTED_VALUE"""),9470.0)</f>
        <v>9470</v>
      </c>
      <c r="AG98" s="71">
        <f>IFERROR(__xludf.DUMMYFUNCTION("""COMPUTED_VALUE"""),12.0)</f>
        <v>12</v>
      </c>
      <c r="AH98" s="71">
        <f>IFERROR(__xludf.DUMMYFUNCTION("""COMPUTED_VALUE"""),1582.0)</f>
        <v>1582</v>
      </c>
      <c r="AI98" s="71">
        <f>IFERROR(__xludf.DUMMYFUNCTION("""COMPUTED_VALUE"""),0.0)</f>
        <v>0</v>
      </c>
      <c r="AJ98" s="41"/>
      <c r="AK98" s="41"/>
      <c r="AL98" s="41"/>
      <c r="AM98" s="41"/>
      <c r="AN98" s="41"/>
      <c r="AO98" s="41"/>
      <c r="AP98" s="41"/>
      <c r="AQ98" s="71">
        <f>IFERROR(__xludf.DUMMYFUNCTION("""COMPUTED_VALUE"""),793.0)</f>
        <v>793</v>
      </c>
      <c r="AR98" s="71">
        <f>IFERROR(__xludf.DUMMYFUNCTION("""COMPUTED_VALUE"""),789.0)</f>
        <v>789</v>
      </c>
      <c r="AS98" s="71">
        <f>IFERROR(__xludf.DUMMYFUNCTION("""COMPUTED_VALUE"""),789.0)</f>
        <v>789</v>
      </c>
      <c r="AT98" s="71">
        <f>IFERROR(__xludf.DUMMYFUNCTION("""COMPUTED_VALUE"""),789.0)</f>
        <v>789</v>
      </c>
      <c r="AU98" s="71">
        <f>IFERROR(__xludf.DUMMYFUNCTION("""COMPUTED_VALUE"""),789.0)</f>
        <v>789</v>
      </c>
      <c r="AV98" s="71">
        <f>IFERROR(__xludf.DUMMYFUNCTION("""COMPUTED_VALUE"""),789.0)</f>
        <v>789</v>
      </c>
      <c r="AW98" s="71">
        <f>IFERROR(__xludf.DUMMYFUNCTION("""COMPUTED_VALUE"""),789.0)</f>
        <v>789</v>
      </c>
      <c r="AX98" s="71">
        <f>IFERROR(__xludf.DUMMYFUNCTION("""COMPUTED_VALUE"""),789.0)</f>
        <v>789</v>
      </c>
      <c r="AY98" s="71">
        <f>IFERROR(__xludf.DUMMYFUNCTION("""COMPUTED_VALUE"""),789.0)</f>
        <v>789</v>
      </c>
      <c r="AZ98" s="71">
        <f>IFERROR(__xludf.DUMMYFUNCTION("""COMPUTED_VALUE"""),789.0)</f>
        <v>789</v>
      </c>
    </row>
    <row r="99">
      <c r="B99" s="41"/>
      <c r="C99" s="41"/>
      <c r="D99" s="41"/>
      <c r="E99" s="41"/>
      <c r="F99" s="41"/>
      <c r="G99" s="41"/>
      <c r="H99" s="41"/>
      <c r="I99" s="41">
        <f>IFERROR(__xludf.DUMMYFUNCTION("""COMPUTED_VALUE"""),95.0)</f>
        <v>95</v>
      </c>
      <c r="J99" s="41"/>
      <c r="K99" s="41"/>
      <c r="L99" s="41"/>
      <c r="M99" s="41" t="str">
        <f>IFERROR(__xludf.DUMMYFUNCTION("""COMPUTED_VALUE"""),"Journal")</f>
        <v>Journal</v>
      </c>
      <c r="N99" s="66">
        <f>IFERROR(__xludf.DUMMYFUNCTION("""COMPUTED_VALUE"""),45900.0)</f>
        <v>45900</v>
      </c>
      <c r="O99" s="41">
        <f>IFERROR(__xludf.DUMMYFUNCTION("""COMPUTED_VALUE"""),18674.0)</f>
        <v>18674</v>
      </c>
      <c r="P99" s="41"/>
      <c r="Q99" s="41"/>
      <c r="R99" s="41"/>
      <c r="S99" s="41"/>
      <c r="T99" s="41"/>
      <c r="U99" s="41" t="str">
        <f>IFERROR(__xludf.DUMMYFUNCTION("""COMPUTED_VALUE"""),"資廚管理顧問股份有限公司(公司卡)_202508_Sentry (20250823-20260822)")</f>
        <v>資廚管理顧問股份有限公司(公司卡)_202508_Sentry (20250823-20260822)</v>
      </c>
      <c r="V99" s="41"/>
      <c r="W99" s="41"/>
      <c r="X99" s="41"/>
      <c r="Y99" s="71">
        <f>IFERROR(__xludf.DUMMYFUNCTION("""COMPUTED_VALUE"""),12478.0)</f>
        <v>12478</v>
      </c>
      <c r="Z99" s="41">
        <f>IFERROR(__xludf.DUMMYFUNCTION("""COMPUTED_VALUE"""),520001.0)</f>
        <v>520001</v>
      </c>
      <c r="AA99" s="41" t="str">
        <f>IFERROR(__xludf.DUMMYFUNCTION("""COMPUTED_VALUE"""),"研發中心")</f>
        <v>研發中心</v>
      </c>
      <c r="AB99" s="70" t="str">
        <f>IFERROR(__xludf.DUMMYFUNCTION("""COMPUTED_VALUE"""),"執行長室 : 研發中心 : 軟體工程部")</f>
        <v>執行長室 : 研發中心 : 軟體工程部</v>
      </c>
      <c r="AC99" s="70" t="str">
        <f>IFERROR(__xludf.DUMMYFUNCTION("""COMPUTED_VALUE"""),"No_Product_Line")</f>
        <v>No_Product_Line</v>
      </c>
      <c r="AD99" s="70" t="str">
        <f>IFERROR(__xludf.DUMMYFUNCTION("""COMPUTED_VALUE"""),"Baseline")</f>
        <v>Baseline</v>
      </c>
      <c r="AE99" s="70" t="str">
        <f>IFERROR(__xludf.DUMMYFUNCTION("""COMPUTED_VALUE"""),"Baseline")</f>
        <v>Baseline</v>
      </c>
      <c r="AF99" s="71">
        <f>IFERROR(__xludf.DUMMYFUNCTION("""COMPUTED_VALUE"""),14980.0)</f>
        <v>14980</v>
      </c>
      <c r="AG99" s="71">
        <f>IFERROR(__xludf.DUMMYFUNCTION("""COMPUTED_VALUE"""),12.0)</f>
        <v>12</v>
      </c>
      <c r="AH99" s="71">
        <f>IFERROR(__xludf.DUMMYFUNCTION("""COMPUTED_VALUE"""),2502.0)</f>
        <v>2502</v>
      </c>
      <c r="AI99" s="71">
        <f>IFERROR(__xludf.DUMMYFUNCTION("""COMPUTED_VALUE"""),0.0)</f>
        <v>0</v>
      </c>
      <c r="AJ99" s="41"/>
      <c r="AK99" s="41"/>
      <c r="AL99" s="41"/>
      <c r="AM99" s="41"/>
      <c r="AN99" s="41"/>
      <c r="AO99" s="41"/>
      <c r="AP99" s="41"/>
      <c r="AQ99" s="71">
        <f>IFERROR(__xludf.DUMMYFUNCTION("""COMPUTED_VALUE"""),1254.0)</f>
        <v>1254</v>
      </c>
      <c r="AR99" s="71">
        <f>IFERROR(__xludf.DUMMYFUNCTION("""COMPUTED_VALUE"""),1248.0)</f>
        <v>1248</v>
      </c>
      <c r="AS99" s="71">
        <f>IFERROR(__xludf.DUMMYFUNCTION("""COMPUTED_VALUE"""),1248.0)</f>
        <v>1248</v>
      </c>
      <c r="AT99" s="71">
        <f>IFERROR(__xludf.DUMMYFUNCTION("""COMPUTED_VALUE"""),1248.0)</f>
        <v>1248</v>
      </c>
      <c r="AU99" s="71">
        <f>IFERROR(__xludf.DUMMYFUNCTION("""COMPUTED_VALUE"""),1248.0)</f>
        <v>1248</v>
      </c>
      <c r="AV99" s="71">
        <f>IFERROR(__xludf.DUMMYFUNCTION("""COMPUTED_VALUE"""),1248.0)</f>
        <v>1248</v>
      </c>
      <c r="AW99" s="71">
        <f>IFERROR(__xludf.DUMMYFUNCTION("""COMPUTED_VALUE"""),1248.0)</f>
        <v>1248</v>
      </c>
      <c r="AX99" s="71">
        <f>IFERROR(__xludf.DUMMYFUNCTION("""COMPUTED_VALUE"""),1248.0)</f>
        <v>1248</v>
      </c>
      <c r="AY99" s="71">
        <f>IFERROR(__xludf.DUMMYFUNCTION("""COMPUTED_VALUE"""),1248.0)</f>
        <v>1248</v>
      </c>
      <c r="AZ99" s="71">
        <f>IFERROR(__xludf.DUMMYFUNCTION("""COMPUTED_VALUE"""),1248.0)</f>
        <v>1248</v>
      </c>
    </row>
    <row r="100">
      <c r="B100" s="41"/>
      <c r="C100" s="41"/>
      <c r="D100" s="41"/>
      <c r="E100" s="41"/>
      <c r="F100" s="41"/>
      <c r="G100" s="41"/>
      <c r="H100" s="41"/>
      <c r="I100" s="41">
        <f>IFERROR(__xludf.DUMMYFUNCTION("""COMPUTED_VALUE"""),96.0)</f>
        <v>96</v>
      </c>
      <c r="J100" s="41"/>
      <c r="K100" s="41"/>
      <c r="L100" s="41"/>
      <c r="M100" s="41" t="str">
        <f>IFERROR(__xludf.DUMMYFUNCTION("""COMPUTED_VALUE"""),"Journal")</f>
        <v>Journal</v>
      </c>
      <c r="N100" s="66">
        <f>IFERROR(__xludf.DUMMYFUNCTION("""COMPUTED_VALUE"""),45909.0)</f>
        <v>45909</v>
      </c>
      <c r="O100" s="41">
        <f>IFERROR(__xludf.DUMMYFUNCTION("""COMPUTED_VALUE"""),18723.0)</f>
        <v>18723</v>
      </c>
      <c r="P100" s="41"/>
      <c r="Q100" s="41"/>
      <c r="R100" s="41"/>
      <c r="S100" s="41"/>
      <c r="T100" s="41"/>
      <c r="U100" s="41" t="str">
        <f>IFERROR(__xludf.DUMMYFUNCTION("""COMPUTED_VALUE"""),"資廚管理顧問股份有限公司(公司卡)_202509_就愛開餐廳 Wordpress (20250924-20260924)")</f>
        <v>資廚管理顧問股份有限公司(公司卡)_202509_就愛開餐廳 Wordpress (20250924-20260924)</v>
      </c>
      <c r="V100" s="41"/>
      <c r="W100" s="41"/>
      <c r="X100" s="41"/>
      <c r="Y100" s="71">
        <f>IFERROR(__xludf.DUMMYFUNCTION("""COMPUTED_VALUE"""),8334.0)</f>
        <v>8334</v>
      </c>
      <c r="Z100" s="41">
        <f>IFERROR(__xludf.DUMMYFUNCTION("""COMPUTED_VALUE"""),603201.0)</f>
        <v>603201</v>
      </c>
      <c r="AA100" s="41" t="str">
        <f>IFERROR(__xludf.DUMMYFUNCTION("""COMPUTED_VALUE"""),"行銷營運中心")</f>
        <v>行銷營運中心</v>
      </c>
      <c r="AB100" s="70" t="str">
        <f>IFERROR(__xludf.DUMMYFUNCTION("""COMPUTED_VALUE"""),"執行長室 : 行銷營運中心 : 產品行銷部")</f>
        <v>執行長室 : 行銷營運中心 : 產品行銷部</v>
      </c>
      <c r="AC100" s="70" t="str">
        <f>IFERROR(__xludf.DUMMYFUNCTION("""COMPUTED_VALUE"""),"No_Product_Line")</f>
        <v>No_Product_Line</v>
      </c>
      <c r="AD100" s="70" t="str">
        <f>IFERROR(__xludf.DUMMYFUNCTION("""COMPUTED_VALUE"""),"Baseline")</f>
        <v>Baseline</v>
      </c>
      <c r="AE100" s="70" t="str">
        <f>IFERROR(__xludf.DUMMYFUNCTION("""COMPUTED_VALUE"""),"Baseline")</f>
        <v>Baseline</v>
      </c>
      <c r="AF100" s="71">
        <f>IFERROR(__xludf.DUMMYFUNCTION("""COMPUTED_VALUE"""),9095.0)</f>
        <v>9095</v>
      </c>
      <c r="AG100" s="71">
        <f>IFERROR(__xludf.DUMMYFUNCTION("""COMPUTED_VALUE"""),12.0)</f>
        <v>12</v>
      </c>
      <c r="AH100" s="71">
        <f>IFERROR(__xludf.DUMMYFUNCTION("""COMPUTED_VALUE"""),761.0)</f>
        <v>761</v>
      </c>
      <c r="AI100" s="71">
        <f>IFERROR(__xludf.DUMMYFUNCTION("""COMPUTED_VALUE"""),0.0)</f>
        <v>0</v>
      </c>
      <c r="AJ100" s="41"/>
      <c r="AK100" s="41"/>
      <c r="AL100" s="41"/>
      <c r="AM100" s="41"/>
      <c r="AN100" s="41"/>
      <c r="AO100" s="41"/>
      <c r="AP100" s="41"/>
      <c r="AQ100" s="41"/>
      <c r="AR100" s="71">
        <f>IFERROR(__xludf.DUMMYFUNCTION("""COMPUTED_VALUE"""),761.0)</f>
        <v>761</v>
      </c>
      <c r="AS100" s="71">
        <f>IFERROR(__xludf.DUMMYFUNCTION("""COMPUTED_VALUE"""),758.0)</f>
        <v>758</v>
      </c>
      <c r="AT100" s="71">
        <f>IFERROR(__xludf.DUMMYFUNCTION("""COMPUTED_VALUE"""),758.0)</f>
        <v>758</v>
      </c>
      <c r="AU100" s="71">
        <f>IFERROR(__xludf.DUMMYFUNCTION("""COMPUTED_VALUE"""),758.0)</f>
        <v>758</v>
      </c>
      <c r="AV100" s="71">
        <f>IFERROR(__xludf.DUMMYFUNCTION("""COMPUTED_VALUE"""),758.0)</f>
        <v>758</v>
      </c>
      <c r="AW100" s="71">
        <f>IFERROR(__xludf.DUMMYFUNCTION("""COMPUTED_VALUE"""),758.0)</f>
        <v>758</v>
      </c>
      <c r="AX100" s="71">
        <f>IFERROR(__xludf.DUMMYFUNCTION("""COMPUTED_VALUE"""),758.0)</f>
        <v>758</v>
      </c>
      <c r="AY100" s="71">
        <f>IFERROR(__xludf.DUMMYFUNCTION("""COMPUTED_VALUE"""),758.0)</f>
        <v>758</v>
      </c>
      <c r="AZ100" s="71">
        <f>IFERROR(__xludf.DUMMYFUNCTION("""COMPUTED_VALUE"""),758.0)</f>
        <v>758</v>
      </c>
    </row>
    <row r="10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</row>
    <row r="10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70">
        <f>IFERROR(__xludf.DUMMYFUNCTION("""COMPUTED_VALUE"""),5487592.0)</f>
        <v>5487592</v>
      </c>
      <c r="Z102" s="41"/>
      <c r="AA102" s="41"/>
      <c r="AB102" s="41"/>
      <c r="AC102" s="41"/>
      <c r="AD102" s="41"/>
      <c r="AE102" s="41"/>
      <c r="AF102" s="70">
        <f>IFERROR(__xludf.DUMMYFUNCTION("""COMPUTED_VALUE"""),1.3525931E7)</f>
        <v>13525931</v>
      </c>
      <c r="AG102" s="41"/>
      <c r="AH102" s="70">
        <f>IFERROR(__xludf.DUMMYFUNCTION("""COMPUTED_VALUE"""),8038339.0)</f>
        <v>8038339</v>
      </c>
      <c r="AI102" s="70">
        <f>IFERROR(__xludf.DUMMYFUNCTION("""COMPUTED_VALUE"""),617452.0)</f>
        <v>617452</v>
      </c>
      <c r="AJ102" s="70">
        <f>IFERROR(__xludf.DUMMYFUNCTION("""COMPUTED_VALUE"""),496392.0)</f>
        <v>496392</v>
      </c>
      <c r="AK102" s="70">
        <f>IFERROR(__xludf.DUMMYFUNCTION("""COMPUTED_VALUE"""),527111.0)</f>
        <v>527111</v>
      </c>
      <c r="AL102" s="70">
        <f>IFERROR(__xludf.DUMMYFUNCTION("""COMPUTED_VALUE"""),723901.0)</f>
        <v>723901</v>
      </c>
      <c r="AM102" s="70">
        <f>IFERROR(__xludf.DUMMYFUNCTION("""COMPUTED_VALUE"""),701075.0)</f>
        <v>701075</v>
      </c>
      <c r="AN102" s="70">
        <f>IFERROR(__xludf.DUMMYFUNCTION("""COMPUTED_VALUE"""),807801.0)</f>
        <v>807801</v>
      </c>
      <c r="AO102" s="70">
        <f>IFERROR(__xludf.DUMMYFUNCTION("""COMPUTED_VALUE"""),794222.0)</f>
        <v>794222</v>
      </c>
      <c r="AP102" s="70">
        <f>IFERROR(__xludf.DUMMYFUNCTION("""COMPUTED_VALUE"""),815031.0)</f>
        <v>815031</v>
      </c>
      <c r="AQ102" s="70">
        <f>IFERROR(__xludf.DUMMYFUNCTION("""COMPUTED_VALUE"""),1277995.0)</f>
        <v>1277995</v>
      </c>
      <c r="AR102" s="70">
        <f>IFERROR(__xludf.DUMMYFUNCTION("""COMPUTED_VALUE"""),1277359.0)</f>
        <v>1277359</v>
      </c>
      <c r="AS102" s="70">
        <f>IFERROR(__xludf.DUMMYFUNCTION("""COMPUTED_VALUE"""),1130716.0)</f>
        <v>1130716</v>
      </c>
      <c r="AT102" s="70">
        <f>IFERROR(__xludf.DUMMYFUNCTION("""COMPUTED_VALUE"""),887689.0)</f>
        <v>887689</v>
      </c>
      <c r="AU102" s="70">
        <f>IFERROR(__xludf.DUMMYFUNCTION("""COMPUTED_VALUE"""),796420.0)</f>
        <v>796420</v>
      </c>
      <c r="AV102" s="70">
        <f>IFERROR(__xludf.DUMMYFUNCTION("""COMPUTED_VALUE"""),536383.0)</f>
        <v>536383</v>
      </c>
      <c r="AW102" s="70">
        <f>IFERROR(__xludf.DUMMYFUNCTION("""COMPUTED_VALUE"""),462303.0)</f>
        <v>462303</v>
      </c>
      <c r="AX102" s="70">
        <f>IFERROR(__xludf.DUMMYFUNCTION("""COMPUTED_VALUE"""),362711.0)</f>
        <v>362711</v>
      </c>
      <c r="AY102" s="70">
        <f>IFERROR(__xludf.DUMMYFUNCTION("""COMPUTED_VALUE"""),358751.0)</f>
        <v>358751</v>
      </c>
      <c r="AZ102" s="70">
        <f>IFERROR(__xludf.DUMMYFUNCTION("""COMPUTED_VALUE"""),318830.0)</f>
        <v>318830</v>
      </c>
    </row>
    <row r="103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</row>
    <row r="104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</row>
    <row r="105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</row>
    <row r="106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</row>
    <row r="107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</row>
    <row r="108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</row>
    <row r="109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</row>
    <row r="110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</row>
    <row r="11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</row>
    <row r="112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</row>
    <row r="118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</row>
    <row r="119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</row>
    <row r="120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</row>
    <row r="12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</row>
    <row r="122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</row>
    <row r="123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</row>
    <row r="124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</row>
    <row r="125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</row>
    <row r="126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</row>
    <row r="127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</row>
    <row r="128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</row>
    <row r="129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</row>
    <row r="130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</row>
    <row r="13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</row>
    <row r="132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</row>
    <row r="133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</row>
    <row r="134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</row>
    <row r="135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</row>
    <row r="136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</row>
    <row r="142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</row>
    <row r="143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</row>
    <row r="144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</row>
    <row r="145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</row>
    <row r="146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</row>
    <row r="147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</row>
    <row r="148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</row>
    <row r="152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</row>
    <row r="154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</row>
    <row r="155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</row>
    <row r="156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</row>
    <row r="157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</row>
    <row r="158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</row>
    <row r="159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</row>
    <row r="160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</row>
    <row r="16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</row>
    <row r="162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</row>
    <row r="163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</row>
    <row r="164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</row>
    <row r="165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</row>
    <row r="166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</row>
    <row r="167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</row>
    <row r="168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</row>
    <row r="169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</row>
    <row r="170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</row>
    <row r="17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</row>
    <row r="172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</row>
    <row r="173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</row>
    <row r="174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</row>
    <row r="175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</row>
    <row r="176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</row>
    <row r="177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</row>
    <row r="178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</row>
    <row r="179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</row>
    <row r="180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</row>
    <row r="18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</row>
    <row r="182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</row>
    <row r="183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</row>
    <row r="185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</row>
    <row r="186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</row>
    <row r="187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</row>
    <row r="188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</row>
    <row r="189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</row>
    <row r="190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</row>
    <row r="196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</row>
    <row r="197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</row>
    <row r="198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</row>
    <row r="199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</row>
    <row r="200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</row>
    <row r="20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</row>
    <row r="202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</row>
    <row r="203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</row>
    <row r="204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</row>
    <row r="205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</row>
    <row r="206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</row>
    <row r="207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</row>
    <row r="208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</row>
    <row r="209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</row>
    <row r="210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</row>
    <row r="21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</row>
    <row r="212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</row>
    <row r="213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</row>
    <row r="214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</row>
    <row r="215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</row>
    <row r="216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</row>
    <row r="217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</row>
    <row r="218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</row>
    <row r="219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</row>
    <row r="220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</row>
    <row r="22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</row>
    <row r="222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</row>
    <row r="223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</row>
    <row r="224"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</row>
    <row r="225"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</row>
    <row r="226"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</row>
    <row r="227"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</row>
    <row r="228"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</row>
    <row r="229"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</row>
    <row r="230"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</row>
    <row r="231"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</row>
    <row r="232"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</row>
    <row r="233"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</row>
    <row r="234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</row>
    <row r="235"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</row>
    <row r="236"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</row>
    <row r="237"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</row>
    <row r="238"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</row>
    <row r="239"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</row>
    <row r="240"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</row>
    <row r="241"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</row>
    <row r="242"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</row>
    <row r="243"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</row>
    <row r="244"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</row>
    <row r="245"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</row>
    <row r="246"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</row>
    <row r="247"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</row>
    <row r="248"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</row>
    <row r="249"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</row>
    <row r="250"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</row>
    <row r="251"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</row>
    <row r="252"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</row>
    <row r="253"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</row>
    <row r="254"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</row>
    <row r="255"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</row>
    <row r="256"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</row>
    <row r="257"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</row>
    <row r="258"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</row>
    <row r="259"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</row>
    <row r="260"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</row>
    <row r="261"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</row>
    <row r="262"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</row>
    <row r="263"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</row>
    <row r="264"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</row>
    <row r="265"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</row>
    <row r="266"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</row>
    <row r="267"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</row>
    <row r="268"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</row>
    <row r="269"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</row>
    <row r="270"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</row>
    <row r="271"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</row>
    <row r="272"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</row>
    <row r="273"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</row>
    <row r="274"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</row>
    <row r="275"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</row>
    <row r="276"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</row>
    <row r="277"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</row>
    <row r="278"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</row>
    <row r="279"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</row>
    <row r="280"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</row>
    <row r="281"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</row>
    <row r="282"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</row>
    <row r="283"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</row>
    <row r="284"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</row>
    <row r="285"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</row>
    <row r="286"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</row>
    <row r="287"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</row>
    <row r="288"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</row>
    <row r="289"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</row>
    <row r="290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</row>
    <row r="291"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</row>
    <row r="292"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</row>
    <row r="293"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</row>
    <row r="294"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</row>
    <row r="295"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</row>
    <row r="296"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</row>
    <row r="297"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</row>
    <row r="298"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</row>
    <row r="299"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</row>
    <row r="300"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</row>
    <row r="301"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</row>
    <row r="302"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</row>
    <row r="303"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</row>
    <row r="304"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</row>
    <row r="305"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</row>
    <row r="306"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</row>
    <row r="307"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</row>
    <row r="308"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</row>
    <row r="309"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</row>
    <row r="310"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</row>
    <row r="311"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</row>
    <row r="312"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</row>
    <row r="313"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</row>
    <row r="314"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</row>
    <row r="315"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</row>
    <row r="316"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</row>
    <row r="317"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</row>
    <row r="318"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</row>
    <row r="319"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</row>
    <row r="320"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</row>
    <row r="321"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</row>
    <row r="322"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</row>
    <row r="323"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</row>
    <row r="324"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</row>
    <row r="325"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</row>
    <row r="326"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</row>
    <row r="327"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</row>
    <row r="328"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</row>
    <row r="329"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</row>
    <row r="330"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</row>
    <row r="331"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</row>
    <row r="332"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</row>
    <row r="333"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</row>
    <row r="334"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</row>
    <row r="335"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</row>
    <row r="336"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</row>
    <row r="337"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</row>
    <row r="338"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</row>
    <row r="339"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</row>
    <row r="340"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</row>
    <row r="341"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</row>
    <row r="342"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</row>
    <row r="343"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</row>
    <row r="344"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</row>
    <row r="345"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</row>
    <row r="346"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</row>
    <row r="347"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</row>
    <row r="348"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</row>
    <row r="349"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</row>
    <row r="350"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</row>
    <row r="351"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</row>
    <row r="352"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</row>
    <row r="353"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</row>
    <row r="354"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</row>
    <row r="355"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</row>
    <row r="356"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</row>
    <row r="357"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</row>
    <row r="358"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</row>
    <row r="359"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</row>
    <row r="360"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</row>
    <row r="361"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</row>
    <row r="362"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</row>
    <row r="363"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</row>
    <row r="364"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</row>
    <row r="365"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</row>
    <row r="366"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</row>
    <row r="367"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</row>
    <row r="368"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</row>
    <row r="369"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</row>
    <row r="370"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</row>
    <row r="371"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</row>
    <row r="372"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</row>
    <row r="373"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</row>
    <row r="374"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</row>
    <row r="375"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</row>
    <row r="376"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</row>
    <row r="377"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</row>
    <row r="378"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</row>
    <row r="379"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</row>
    <row r="380"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</row>
    <row r="381"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</row>
    <row r="382"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</row>
    <row r="383"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</row>
    <row r="384"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</row>
    <row r="385"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</row>
    <row r="386"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</row>
    <row r="387"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</row>
    <row r="388"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</row>
    <row r="389"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</row>
    <row r="390"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</row>
    <row r="391"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</row>
    <row r="392"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</row>
    <row r="393"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</row>
    <row r="394"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</row>
    <row r="395"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</row>
    <row r="396"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</row>
    <row r="397"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</row>
    <row r="398"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</row>
    <row r="399"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</row>
    <row r="400"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</row>
    <row r="401"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</row>
    <row r="402"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</row>
    <row r="403"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</row>
    <row r="404"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</row>
    <row r="405"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</row>
    <row r="406"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</row>
    <row r="407"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</row>
    <row r="408"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</row>
    <row r="409"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</row>
    <row r="410"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</row>
    <row r="411"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</row>
    <row r="412"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</row>
    <row r="413"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</row>
    <row r="414"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</row>
    <row r="415"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</row>
    <row r="416"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</row>
    <row r="417"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</row>
    <row r="418"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</row>
    <row r="419"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</row>
    <row r="420"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</row>
    <row r="421"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</row>
    <row r="422"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</row>
    <row r="423"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</row>
    <row r="424"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</row>
    <row r="425"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</row>
    <row r="426"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</row>
    <row r="427"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</row>
    <row r="428"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</row>
    <row r="429"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</row>
    <row r="430"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</row>
    <row r="431"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</row>
    <row r="432"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</row>
    <row r="433"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</row>
    <row r="434"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</row>
    <row r="435"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</row>
    <row r="436"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</row>
    <row r="437"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</row>
    <row r="438"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</row>
    <row r="439"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</row>
    <row r="440"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</row>
    <row r="441"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</row>
    <row r="442"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</row>
    <row r="443"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</row>
    <row r="444"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</row>
    <row r="445"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</row>
    <row r="446"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</row>
    <row r="447"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</row>
    <row r="448"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</row>
    <row r="449"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</row>
    <row r="450"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</row>
    <row r="451"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</row>
    <row r="452"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</row>
    <row r="453"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</row>
    <row r="454"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</row>
    <row r="455"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</row>
    <row r="456"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</row>
    <row r="457"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</row>
    <row r="458"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</row>
    <row r="459"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</row>
    <row r="460"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</row>
    <row r="461"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</row>
    <row r="462"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</row>
    <row r="463"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</row>
    <row r="464"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</row>
    <row r="465"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</row>
    <row r="466"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</row>
    <row r="467"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</row>
    <row r="468"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</row>
    <row r="469"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</row>
    <row r="470"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</row>
    <row r="471"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</row>
    <row r="472"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</row>
    <row r="473"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</row>
    <row r="474"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</row>
    <row r="475"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</row>
    <row r="476"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</row>
    <row r="477"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</row>
    <row r="478"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</row>
    <row r="479"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</row>
    <row r="480"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</row>
    <row r="481"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</row>
    <row r="482"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</row>
    <row r="483"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</row>
    <row r="484"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</row>
    <row r="485"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</row>
    <row r="486"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</row>
    <row r="487"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</row>
    <row r="488"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</row>
    <row r="489"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</row>
    <row r="490"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</row>
    <row r="491"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</row>
    <row r="492"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</row>
    <row r="493"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</row>
    <row r="494"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</row>
    <row r="495"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</row>
    <row r="496"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</row>
    <row r="497"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</row>
    <row r="498"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</row>
    <row r="499"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</row>
    <row r="500"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</row>
    <row r="501"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</row>
    <row r="502"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</row>
    <row r="503"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</row>
    <row r="504"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</row>
    <row r="505"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</row>
    <row r="506"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</row>
    <row r="507"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</row>
    <row r="508"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</row>
    <row r="509"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</row>
    <row r="510"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</row>
    <row r="511"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</row>
    <row r="512"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</row>
    <row r="513"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</row>
    <row r="514"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</row>
    <row r="515"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</row>
    <row r="516"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</row>
    <row r="517"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</row>
    <row r="518"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</row>
    <row r="519"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</row>
    <row r="520"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</row>
    <row r="521"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</row>
    <row r="522"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</row>
    <row r="523"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</row>
    <row r="524"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</row>
    <row r="525"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</row>
    <row r="526"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</row>
    <row r="527"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</row>
    <row r="528"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</row>
    <row r="529"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</row>
    <row r="530"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</row>
    <row r="531"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</row>
    <row r="532"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</row>
    <row r="533"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</row>
    <row r="534"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</row>
    <row r="535"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</row>
    <row r="536"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</row>
    <row r="537"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</row>
    <row r="538"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</row>
    <row r="539"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</row>
    <row r="540"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</row>
    <row r="541"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</row>
    <row r="542"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</row>
    <row r="543"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</row>
    <row r="544"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</row>
    <row r="545"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</row>
    <row r="546"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</row>
    <row r="547"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</row>
    <row r="548"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</row>
    <row r="549"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</row>
    <row r="550"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</row>
    <row r="551"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</row>
    <row r="552"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</row>
    <row r="553"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</row>
    <row r="554"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</row>
    <row r="555"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</row>
    <row r="556"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</row>
    <row r="557"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</row>
    <row r="558"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</row>
    <row r="559"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</row>
    <row r="560"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</row>
    <row r="561"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</row>
    <row r="562"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</row>
    <row r="563"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</row>
    <row r="564"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</row>
    <row r="565"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</row>
    <row r="566"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</row>
    <row r="567"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</row>
    <row r="568"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</row>
    <row r="569"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</row>
    <row r="570"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</row>
    <row r="571"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</row>
    <row r="572"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</row>
    <row r="573"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</row>
    <row r="574"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</row>
    <row r="575"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</row>
    <row r="576"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</row>
    <row r="577"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</row>
    <row r="578"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</row>
    <row r="579"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</row>
    <row r="580"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</row>
    <row r="581"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</row>
    <row r="582"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</row>
    <row r="583"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</row>
    <row r="584"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</row>
    <row r="585"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</row>
    <row r="586"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</row>
    <row r="587"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</row>
    <row r="588"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</row>
    <row r="589"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</row>
    <row r="590"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</row>
    <row r="591"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</row>
    <row r="592"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</row>
    <row r="593"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</row>
    <row r="594"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</row>
    <row r="595"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</row>
    <row r="596"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</row>
    <row r="597"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</row>
    <row r="598"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</row>
    <row r="599"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</row>
    <row r="600"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</row>
    <row r="601"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</row>
    <row r="602"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</row>
    <row r="603"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</row>
    <row r="604"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</row>
    <row r="605"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</row>
    <row r="606"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</row>
    <row r="607"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</row>
    <row r="608"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</row>
    <row r="609"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</row>
    <row r="610"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</row>
    <row r="611"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</row>
    <row r="612"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</row>
    <row r="613"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</row>
    <row r="614"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</row>
    <row r="615"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</row>
    <row r="616"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</row>
    <row r="617"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</row>
    <row r="618"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</row>
    <row r="619"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</row>
    <row r="620"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</row>
    <row r="621"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</row>
    <row r="622"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</row>
    <row r="623"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</row>
    <row r="624"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</row>
    <row r="625"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</row>
    <row r="626"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</row>
    <row r="627"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</row>
    <row r="628"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</row>
    <row r="629"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</row>
    <row r="630"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</row>
    <row r="631"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</row>
    <row r="632"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</row>
    <row r="633"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</row>
    <row r="634"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</row>
    <row r="635"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</row>
    <row r="636"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</row>
    <row r="637"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</row>
    <row r="638"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</row>
    <row r="639"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</row>
    <row r="640"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</row>
    <row r="641"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</row>
    <row r="642"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</row>
    <row r="643"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</row>
    <row r="644"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</row>
    <row r="645"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</row>
    <row r="646"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</row>
    <row r="647"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</row>
    <row r="648"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</row>
    <row r="649"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</row>
    <row r="650"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</row>
    <row r="651"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</row>
    <row r="652"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</row>
    <row r="653"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</row>
    <row r="654"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</row>
    <row r="655"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</row>
    <row r="656"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</row>
    <row r="657"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</row>
    <row r="658"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</row>
    <row r="659"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</row>
    <row r="660"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</row>
    <row r="661"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</row>
    <row r="662"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</row>
    <row r="663"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</row>
    <row r="664"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</row>
    <row r="665"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</row>
    <row r="666"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</row>
    <row r="667"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</row>
    <row r="668"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</row>
    <row r="669"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</row>
    <row r="670"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</row>
    <row r="671"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</row>
    <row r="672"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</row>
    <row r="673"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</row>
    <row r="674"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</row>
    <row r="675"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</row>
    <row r="676"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</row>
    <row r="677"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</row>
    <row r="678"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</row>
    <row r="679"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</row>
    <row r="680"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</row>
    <row r="681"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</row>
    <row r="682"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</row>
    <row r="683"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</row>
    <row r="684"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</row>
    <row r="685"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</row>
    <row r="686"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</row>
    <row r="687"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</row>
    <row r="688"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</row>
    <row r="689"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</row>
    <row r="690"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</row>
    <row r="691"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</row>
    <row r="692"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</row>
    <row r="693"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</row>
    <row r="694"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</row>
    <row r="695"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</row>
    <row r="696"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</row>
    <row r="697"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</row>
    <row r="698"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</row>
    <row r="699"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</row>
    <row r="700"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</row>
    <row r="701"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</row>
    <row r="702"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</row>
    <row r="703"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</row>
    <row r="704"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</row>
    <row r="705"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</row>
    <row r="706"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</row>
    <row r="707"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</row>
    <row r="708"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</row>
    <row r="709"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</row>
    <row r="710"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</row>
    <row r="711"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</row>
    <row r="712"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</row>
    <row r="713"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</row>
    <row r="714"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</row>
    <row r="715"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</row>
    <row r="716"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</row>
    <row r="717"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</row>
    <row r="718"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</row>
    <row r="719"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</row>
    <row r="720"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</row>
    <row r="721"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</row>
    <row r="722"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</row>
    <row r="723"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</row>
    <row r="724"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</row>
    <row r="725"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</row>
    <row r="726"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</row>
    <row r="727"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</row>
    <row r="728"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</row>
    <row r="729"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</row>
    <row r="730"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</row>
    <row r="731"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</row>
    <row r="732"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</row>
    <row r="733"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</row>
    <row r="734"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</row>
    <row r="735"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</row>
    <row r="736"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</row>
    <row r="737"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</row>
    <row r="738"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</row>
    <row r="739"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</row>
    <row r="740"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</row>
    <row r="741"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</row>
    <row r="742"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</row>
    <row r="743"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</row>
    <row r="744"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</row>
    <row r="745"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</row>
    <row r="746"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</row>
    <row r="747"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</row>
    <row r="748"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</row>
    <row r="749"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</row>
    <row r="750"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</row>
    <row r="751"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</row>
    <row r="752"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</row>
    <row r="753"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</row>
    <row r="754"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</row>
    <row r="755"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</row>
    <row r="756"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</row>
    <row r="757"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</row>
    <row r="758"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</row>
    <row r="759"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</row>
    <row r="760"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</row>
    <row r="761"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</row>
    <row r="762"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</row>
    <row r="763"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</row>
    <row r="764"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</row>
    <row r="765"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</row>
    <row r="766"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</row>
    <row r="767"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</row>
    <row r="768"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</row>
    <row r="769"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</row>
    <row r="770"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</row>
    <row r="771"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</row>
    <row r="772"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</row>
    <row r="773"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</row>
    <row r="774"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</row>
    <row r="775"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</row>
    <row r="776"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</row>
    <row r="777"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</row>
    <row r="778"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</row>
    <row r="779"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</row>
    <row r="780"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</row>
    <row r="781"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</row>
    <row r="782"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</row>
    <row r="783"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</row>
    <row r="784"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</row>
    <row r="785"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</row>
    <row r="786"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</row>
    <row r="787"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</row>
    <row r="788"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</row>
    <row r="789"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</row>
    <row r="790"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</row>
    <row r="791"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</row>
    <row r="792"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</row>
    <row r="793"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</row>
    <row r="794"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</row>
    <row r="795"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</row>
    <row r="796"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</row>
    <row r="797"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</row>
    <row r="798"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</row>
    <row r="799"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</row>
    <row r="800"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</row>
    <row r="801"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</row>
    <row r="802"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</row>
    <row r="803"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</row>
    <row r="804"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</row>
    <row r="805"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</row>
    <row r="806"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</row>
    <row r="807"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</row>
    <row r="808"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</row>
    <row r="809"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</row>
    <row r="810"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</row>
    <row r="811"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</row>
    <row r="812"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</row>
    <row r="813"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</row>
    <row r="814"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</row>
    <row r="815"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</row>
    <row r="816"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</row>
    <row r="817"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</row>
    <row r="818"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</row>
    <row r="819"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</row>
    <row r="820"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</row>
    <row r="821"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</row>
    <row r="822"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</row>
    <row r="823"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</row>
    <row r="824"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</row>
    <row r="825"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</row>
    <row r="826"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</row>
    <row r="827"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</row>
    <row r="828"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</row>
    <row r="829"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</row>
    <row r="830"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</row>
    <row r="831"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</row>
    <row r="832"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</row>
    <row r="833"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</row>
    <row r="834"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</row>
    <row r="835"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</row>
    <row r="836"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</row>
    <row r="837"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</row>
    <row r="838"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</row>
    <row r="839"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</row>
    <row r="840"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</row>
    <row r="841"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</row>
    <row r="842"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</row>
    <row r="843"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</row>
    <row r="844"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</row>
    <row r="845"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</row>
    <row r="846"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</row>
    <row r="847"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</row>
    <row r="848"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</row>
    <row r="849"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</row>
    <row r="850"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</row>
    <row r="851"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</row>
    <row r="852"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</row>
    <row r="853"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</row>
    <row r="854"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</row>
    <row r="855"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</row>
    <row r="856"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</row>
    <row r="857"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</row>
    <row r="858"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</row>
    <row r="859"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</row>
    <row r="860"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</row>
    <row r="861"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</row>
    <row r="862"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</row>
    <row r="863"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</row>
    <row r="864"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</row>
    <row r="865"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</row>
    <row r="866"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</row>
    <row r="867"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</row>
    <row r="868"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</row>
    <row r="869"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</row>
    <row r="870"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</row>
    <row r="871"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</row>
    <row r="872"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</row>
    <row r="873"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</row>
    <row r="874"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</row>
    <row r="875"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</row>
    <row r="876"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</row>
    <row r="877"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</row>
    <row r="878"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</row>
    <row r="879"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</row>
    <row r="880"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</row>
    <row r="881"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</row>
    <row r="882"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</row>
    <row r="883"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</row>
    <row r="884"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</row>
    <row r="885"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</row>
    <row r="886"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</row>
    <row r="887"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</row>
    <row r="888"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</row>
    <row r="889"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</row>
    <row r="890"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</row>
    <row r="891"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</row>
    <row r="892"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</row>
    <row r="893"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</row>
    <row r="894"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</row>
    <row r="895"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</row>
    <row r="896"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</row>
    <row r="897"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</row>
    <row r="898"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</row>
    <row r="899"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</row>
    <row r="900"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</row>
    <row r="901"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</row>
    <row r="902"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</row>
    <row r="903"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</row>
    <row r="904"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</row>
    <row r="905"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</row>
    <row r="906"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</row>
    <row r="907"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</row>
    <row r="908"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</row>
    <row r="909"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</row>
    <row r="910"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</row>
    <row r="911"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</row>
    <row r="912"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</row>
    <row r="913"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</row>
    <row r="914"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</row>
    <row r="915"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</row>
    <row r="916"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</row>
    <row r="917"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</row>
    <row r="918"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</row>
    <row r="919"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</row>
    <row r="920"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</row>
    <row r="921"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</row>
    <row r="922"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</row>
    <row r="923"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</row>
    <row r="924"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</row>
    <row r="925"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</row>
    <row r="926"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</row>
    <row r="927"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</row>
    <row r="928"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</row>
    <row r="929"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</row>
    <row r="930"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</row>
    <row r="931"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</row>
    <row r="932"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</row>
    <row r="933"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</row>
    <row r="934"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</row>
    <row r="935"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</row>
    <row r="936"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</row>
    <row r="937"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</row>
    <row r="938"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</row>
    <row r="939"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</row>
    <row r="940"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</row>
    <row r="941"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</row>
    <row r="942"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</row>
    <row r="943"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</row>
    <row r="944"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</row>
    <row r="945"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</row>
    <row r="946"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</row>
    <row r="947"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</row>
    <row r="948"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</row>
    <row r="949"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</row>
    <row r="950"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</row>
    <row r="951"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</row>
    <row r="952"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</row>
    <row r="953"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</row>
    <row r="954"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</row>
    <row r="955"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</row>
    <row r="956"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</row>
    <row r="957"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</row>
    <row r="958"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</row>
    <row r="959"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</row>
    <row r="960"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</row>
    <row r="961"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</row>
    <row r="962"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</row>
    <row r="963"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</row>
    <row r="964"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</row>
    <row r="965"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</row>
    <row r="966"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</row>
    <row r="967"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</row>
    <row r="968"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</row>
    <row r="969"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</row>
    <row r="970"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</row>
    <row r="971"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</row>
    <row r="972"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</row>
    <row r="973"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</row>
    <row r="974"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</row>
    <row r="975"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</row>
    <row r="976"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</row>
    <row r="977"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</row>
    <row r="978"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</row>
    <row r="979"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</row>
    <row r="980"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</row>
    <row r="981"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</row>
    <row r="982"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</row>
    <row r="983"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</row>
    <row r="984"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</row>
    <row r="985"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</row>
    <row r="986"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</row>
    <row r="987"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</row>
    <row r="988"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</row>
    <row r="989"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</row>
    <row r="990"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</row>
    <row r="991"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</row>
    <row r="992"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</row>
    <row r="993"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</row>
    <row r="994"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</row>
    <row r="995"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</row>
    <row r="996"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</row>
    <row r="997"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</row>
    <row r="998"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</row>
    <row r="999"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</row>
    <row r="1000"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</cols>
  <sheetData>
    <row r="1">
      <c r="A1" s="73"/>
      <c r="B1" s="41" t="str">
        <f>IFERROR(__xludf.DUMMYFUNCTION("IMPORTRANGE(""https://docs.google.com/spreadsheets/d/1D7zntyA3r2ZrAAhZiCjjSVrtI4-uCXkrglxCIHZP9AE/edit?gid=0#gid=0"",""重大資本支出分攤!A1:AY"")"),"")</f>
        <v/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9.38"/>
    <col customWidth="1" min="3" max="3" width="14.38"/>
    <col customWidth="1" min="4" max="4" width="13.0"/>
    <col customWidth="1" min="5" max="5" width="16.75"/>
    <col customWidth="1" min="6" max="6" width="14.63"/>
    <col customWidth="1" min="7" max="7" width="17.25"/>
    <col customWidth="1" min="8" max="9" width="44.0"/>
    <col customWidth="1" min="10" max="10" width="30.5"/>
    <col customWidth="1" min="11" max="12" width="44.0"/>
    <col customWidth="1" min="13" max="13" width="30.5"/>
  </cols>
  <sheetData>
    <row r="1">
      <c r="A1" s="41" t="str">
        <f>IFERROR(__xludf.DUMMYFUNCTION("IMPORTRANGE(""https://docs.google.com/spreadsheets/d/1-YuSlnwICv7dSIIRxQFJU2gwgM9OHTbandHa0RE3CW8/edit?gid=1671067433#gid=1671067433"",""預算欄位參數表!A1:Z100"")")," ")</f>
        <v> </v>
      </c>
      <c r="B1" s="41" t="str">
        <f>IFERROR(__xludf.DUMMYFUNCTION("""COMPUTED_VALUE"""),"事業單位")</f>
        <v>事業單位</v>
      </c>
      <c r="C1" s="41" t="str">
        <f>IFERROR(__xludf.DUMMYFUNCTION("""COMPUTED_VALUE"""),"Si 編號")</f>
        <v>Si 編號</v>
      </c>
      <c r="D1" s="41" t="str">
        <f>IFERROR(__xludf.DUMMYFUNCTION("""COMPUTED_VALUE"""),"TA 編號")</f>
        <v>TA 編號</v>
      </c>
      <c r="E1" s="41" t="str">
        <f>IFERROR(__xludf.DUMMYFUNCTION("""COMPUTED_VALUE"""),"TA 編號（維運/集團）")</f>
        <v>TA 編號（維運/集團）</v>
      </c>
      <c r="F1" s="41" t="str">
        <f>IFERROR(__xludf.DUMMYFUNCTION("""COMPUTED_VALUE"""),"價值鏈任務代號")</f>
        <v>價值鏈任務代號</v>
      </c>
      <c r="G1" s="41" t="str">
        <f>IFERROR(__xludf.DUMMYFUNCTION("""COMPUTED_VALUE"""),"費用類型")</f>
        <v>費用類型</v>
      </c>
      <c r="H1" s="41" t="str">
        <f>IFERROR(__xludf.DUMMYFUNCTION("""COMPUTED_VALUE"""),"專案費用單位")</f>
        <v>專案費用單位</v>
      </c>
      <c r="I1" s="41" t="str">
        <f>IFERROR(__xludf.DUMMYFUNCTION("""COMPUTED_VALUE"""),"維運費用單位")</f>
        <v>維運費用單位</v>
      </c>
      <c r="J1" s="41" t="str">
        <f>IFERROR(__xludf.DUMMYFUNCTION("""COMPUTED_VALUE"""),"集團共同攤分單位")</f>
        <v>集團共同攤分單位</v>
      </c>
      <c r="K1" s="41" t="str">
        <f>IFERROR(__xludf.DUMMYFUNCTION("""COMPUTED_VALUE"""),"職等")</f>
        <v>職等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 t="str">
        <f>IFERROR(__xludf.DUMMYFUNCTION("""COMPUTED_VALUE"""),"TW")</f>
        <v>TW</v>
      </c>
      <c r="B2" s="41" t="str">
        <f>IFERROR(__xludf.DUMMYFUNCTION("""COMPUTED_VALUE"""),"OMO")</f>
        <v>OMO</v>
      </c>
      <c r="C2" s="41" t="str">
        <f>IFERROR(__xludf.DUMMYFUNCTION("""COMPUTED_VALUE"""),"OrderingSi1")</f>
        <v>OrderingSi1</v>
      </c>
      <c r="D2" s="41" t="str">
        <f>IFERROR(__xludf.DUMMYFUNCTION("""COMPUTED_VALUE"""),"Ordering26TA1")</f>
        <v>Ordering26TA1</v>
      </c>
      <c r="E2" s="41" t="str">
        <f>IFERROR(__xludf.DUMMYFUNCTION("""COMPUTED_VALUE"""),"Baseline")</f>
        <v>Baseline</v>
      </c>
      <c r="F2" s="41" t="str">
        <f>IFERROR(__xludf.DUMMYFUNCTION("""COMPUTED_VALUE"""),"NA")</f>
        <v>NA</v>
      </c>
      <c r="G2" s="41" t="str">
        <f>IFERROR(__xludf.DUMMYFUNCTION("""COMPUTED_VALUE"""),"人事費用")</f>
        <v>人事費用</v>
      </c>
      <c r="H2" s="41" t="str">
        <f>IFERROR(__xludf.DUMMYFUNCTION("""COMPUTED_VALUE"""),"執行長室 : 稽核部")</f>
        <v>執行長室 : 稽核部</v>
      </c>
      <c r="I2" s="41" t="str">
        <f>IFERROR(__xludf.DUMMYFUNCTION("""COMPUTED_VALUE"""),"執行長室 : 行銷營運中心 : 銷售營運部 : 客戶導入團隊")</f>
        <v>執行長室 : 行銷營運中心 : 銷售營運部 : 客戶導入團隊</v>
      </c>
      <c r="J2" s="41" t="str">
        <f>IFERROR(__xludf.DUMMYFUNCTION("""COMPUTED_VALUE"""),"執行長室 : 研發中心 : 研發中心")</f>
        <v>執行長室 : 研發中心 : 研發中心</v>
      </c>
      <c r="K2" s="41" t="str">
        <f>IFERROR(__xludf.DUMMYFUNCTION("""COMPUTED_VALUE"""),"IC4")</f>
        <v>IC4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 t="str">
        <f>IFERROR(__xludf.DUMMYFUNCTION("""COMPUTED_VALUE"""),"QLR")</f>
        <v>QLR</v>
      </c>
      <c r="B3" s="41" t="str">
        <f>IFERROR(__xludf.DUMMYFUNCTION("""COMPUTED_VALUE"""),"POS")</f>
        <v>POS</v>
      </c>
      <c r="C3" s="41" t="str">
        <f>IFERROR(__xludf.DUMMYFUNCTION("""COMPUTED_VALUE"""),"ReservationSi1")</f>
        <v>ReservationSi1</v>
      </c>
      <c r="D3" s="41" t="str">
        <f>IFERROR(__xludf.DUMMYFUNCTION("""COMPUTED_VALUE"""),"Ordering26TA2")</f>
        <v>Ordering26TA2</v>
      </c>
      <c r="E3" s="41" t="str">
        <f>IFERROR(__xludf.DUMMYFUNCTION("""COMPUTED_VALUE"""),"Corporation")</f>
        <v>Corporation</v>
      </c>
      <c r="F3" s="41" t="str">
        <f>IFERROR(__xludf.DUMMYFUNCTION("""COMPUTED_VALUE"""),"VC06P1")</f>
        <v>VC06P1</v>
      </c>
      <c r="G3" s="41" t="str">
        <f>IFERROR(__xludf.DUMMYFUNCTION("""COMPUTED_VALUE"""),"非人事費用")</f>
        <v>非人事費用</v>
      </c>
      <c r="H3" s="41" t="str">
        <f>IFERROR(__xludf.DUMMYFUNCTION("""COMPUTED_VALUE"""),"執行長室")</f>
        <v>執行長室</v>
      </c>
      <c r="I3" s="41" t="str">
        <f>IFERROR(__xludf.DUMMYFUNCTION("""COMPUTED_VALUE"""),"執行長室 : 客戶價值中心 : 客戶關係管理部")</f>
        <v>執行長室 : 客戶價值中心 : 客戶關係管理部</v>
      </c>
      <c r="J3" s="41" t="str">
        <f>IFERROR(__xludf.DUMMYFUNCTION("""COMPUTED_VALUE"""),"執行長室 : 財務中心 : 財務中心")</f>
        <v>執行長室 : 財務中心 : 財務中心</v>
      </c>
      <c r="K3" s="41" t="str">
        <f>IFERROR(__xludf.DUMMYFUNCTION("""COMPUTED_VALUE"""),"IC5")</f>
        <v>IC5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 t="str">
        <f>IFERROR(__xludf.DUMMYFUNCTION("""COMPUTED_VALUE"""),"SG")</f>
        <v>SG</v>
      </c>
      <c r="B4" s="41" t="str">
        <f>IFERROR(__xludf.DUMMYFUNCTION("""COMPUTED_VALUE"""),"2C")</f>
        <v>2C</v>
      </c>
      <c r="C4" s="41" t="str">
        <f>IFERROR(__xludf.DUMMYFUNCTION("""COMPUTED_VALUE"""),"SMBSi1")</f>
        <v>SMBSi1</v>
      </c>
      <c r="D4" s="41" t="str">
        <f>IFERROR(__xludf.DUMMYFUNCTION("""COMPUTED_VALUE"""),"Ordering26TA3")</f>
        <v>Ordering26TA3</v>
      </c>
      <c r="E4" s="41"/>
      <c r="F4" s="41" t="str">
        <f>IFERROR(__xludf.DUMMYFUNCTION("""COMPUTED_VALUE"""),"VC04P1")</f>
        <v>VC04P1</v>
      </c>
      <c r="G4" s="41"/>
      <c r="H4" s="41" t="str">
        <f>IFERROR(__xludf.DUMMYFUNCTION("""COMPUTED_VALUE"""),"執行長室 : 研發中心 : 研發中心")</f>
        <v>執行長室 : 研發中心 : 研發中心</v>
      </c>
      <c r="I4" s="41" t="str">
        <f>IFERROR(__xludf.DUMMYFUNCTION("""COMPUTED_VALUE"""),"執行長室 : 客戶價值中心 : 客戶關係管理部 : TSE 團隊")</f>
        <v>執行長室 : 客戶價值中心 : 客戶關係管理部 : TSE 團隊</v>
      </c>
      <c r="J4" s="41" t="str">
        <f>IFERROR(__xludf.DUMMYFUNCTION("""COMPUTED_VALUE"""),"執行長室 : 管理中心 : 管理中心")</f>
        <v>執行長室 : 管理中心 : 管理中心</v>
      </c>
      <c r="K4" s="41" t="str">
        <f>IFERROR(__xludf.DUMMYFUNCTION("""COMPUTED_VALUE"""),"IC6")</f>
        <v>IC6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 t="str">
        <f>IFERROR(__xludf.DUMMYFUNCTION("""COMPUTED_VALUE"""),"HK")</f>
        <v>HK</v>
      </c>
      <c r="B5" s="12" t="str">
        <f>IFERROR(__xludf.DUMMYFUNCTION("""COMPUTED_VALUE"""),"Corporation")</f>
        <v>Corporation</v>
      </c>
      <c r="C5" s="41" t="str">
        <f>IFERROR(__xludf.DUMMYFUNCTION("""COMPUTED_VALUE"""),"ENTSi1")</f>
        <v>ENTSi1</v>
      </c>
      <c r="D5" s="41" t="str">
        <f>IFERROR(__xludf.DUMMYFUNCTION("""COMPUTED_VALUE"""),"Ordering26TA4")</f>
        <v>Ordering26TA4</v>
      </c>
      <c r="E5" s="41"/>
      <c r="F5" s="41" t="str">
        <f>IFERROR(__xludf.DUMMYFUNCTION("""COMPUTED_VALUE"""),"VC01P4")</f>
        <v>VC01P4</v>
      </c>
      <c r="G5" s="41"/>
      <c r="H5" s="41" t="str">
        <f>IFERROR(__xludf.DUMMYFUNCTION("""COMPUTED_VALUE"""),"執行長室 : 研發中心 : 軟體工程部")</f>
        <v>執行長室 : 研發中心 : 軟體工程部</v>
      </c>
      <c r="I5" s="41" t="str">
        <f>IFERROR(__xludf.DUMMYFUNCTION("""COMPUTED_VALUE"""),"執行長室 : 客戶價值中心 : 客戶關係管理部 : 客服團隊")</f>
        <v>執行長室 : 客戶價值中心 : 客戶關係管理部 : 客服團隊</v>
      </c>
      <c r="J5" s="41" t="str">
        <f>IFERROR(__xludf.DUMMYFUNCTION("""COMPUTED_VALUE"""),"執行長室 : 管理中心 : 行政總務部")</f>
        <v>執行長室 : 管理中心 : 行政總務部</v>
      </c>
      <c r="K5" s="41" t="str">
        <f>IFERROR(__xludf.DUMMYFUNCTION("""COMPUTED_VALUE"""),"IC7")</f>
        <v>IC7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1"/>
      <c r="C6" s="41" t="str">
        <f>IFERROR(__xludf.DUMMYFUNCTION("""COMPUTED_VALUE"""),"ENTSi2")</f>
        <v>ENTSi2</v>
      </c>
      <c r="D6" s="41" t="str">
        <f>IFERROR(__xludf.DUMMYFUNCTION("""COMPUTED_VALUE"""),"Reservation26TA1")</f>
        <v>Reservation26TA1</v>
      </c>
      <c r="E6" s="41"/>
      <c r="F6" s="41" t="str">
        <f>IFERROR(__xludf.DUMMYFUNCTION("""COMPUTED_VALUE"""),"VC01P3")</f>
        <v>VC01P3</v>
      </c>
      <c r="G6" s="41"/>
      <c r="H6" s="41" t="str">
        <f>IFERROR(__xludf.DUMMYFUNCTION("""COMPUTED_VALUE"""),"執行長室 : 研發中心 : 軟體工程部 : 前端團隊")</f>
        <v>執行長室 : 研發中心 : 軟體工程部 : 前端團隊</v>
      </c>
      <c r="I6" s="41" t="str">
        <f>IFERROR(__xludf.DUMMYFUNCTION("""COMPUTED_VALUE"""),"執行長室 : 客戶價值中心 : 客戶關係管理部 : 客戶經理團隊	")</f>
        <v>執行長室 : 客戶價值中心 : 客戶關係管理部 : 客戶經理團隊	</v>
      </c>
      <c r="J6" s="41" t="str">
        <f>IFERROR(__xludf.DUMMYFUNCTION("""COMPUTED_VALUE"""),"執行長室 : 管理中心 : 人資部")</f>
        <v>執行長室 : 管理中心 : 人資部</v>
      </c>
      <c r="K6" s="41" t="str">
        <f>IFERROR(__xludf.DUMMYFUNCTION("""COMPUTED_VALUE"""),"M5")</f>
        <v>M5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1"/>
      <c r="C7" s="41" t="str">
        <f>IFERROR(__xludf.DUMMYFUNCTION("""COMPUTED_VALUE"""),"QLRSi1")</f>
        <v>QLRSi1</v>
      </c>
      <c r="D7" s="41" t="str">
        <f>IFERROR(__xludf.DUMMYFUNCTION("""COMPUTED_VALUE"""),"Reservation26TA2")</f>
        <v>Reservation26TA2</v>
      </c>
      <c r="E7" s="41"/>
      <c r="F7" s="41" t="str">
        <f>IFERROR(__xludf.DUMMYFUNCTION("""COMPUTED_VALUE"""),"VC01P2")</f>
        <v>VC01P2</v>
      </c>
      <c r="G7" s="41"/>
      <c r="H7" s="41" t="str">
        <f>IFERROR(__xludf.DUMMYFUNCTION("""COMPUTED_VALUE"""),"執行長室 : 研發中心 : 軟體工程部 : 後端團隊")</f>
        <v>執行長室 : 研發中心 : 軟體工程部 : 後端團隊</v>
      </c>
      <c r="I7" s="41"/>
      <c r="J7" s="41" t="str">
        <f>IFERROR(__xludf.DUMMYFUNCTION("""COMPUTED_VALUE"""),"執行長室 : 管理中心 : 法務部")</f>
        <v>執行長室 : 管理中心 : 法務部</v>
      </c>
      <c r="K7" s="41" t="str">
        <f>IFERROR(__xludf.DUMMYFUNCTION("""COMPUTED_VALUE"""),"M6")</f>
        <v>M6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1"/>
      <c r="C8" s="41" t="str">
        <f>IFERROR(__xludf.DUMMYFUNCTION("""COMPUTED_VALUE"""),"QLRSi2")</f>
        <v>QLRSi2</v>
      </c>
      <c r="D8" s="41" t="str">
        <f>IFERROR(__xludf.DUMMYFUNCTION("""COMPUTED_VALUE"""),"Reservation26TA3")</f>
        <v>Reservation26TA3</v>
      </c>
      <c r="E8" s="41"/>
      <c r="F8" s="41" t="str">
        <f>IFERROR(__xludf.DUMMYFUNCTION("""COMPUTED_VALUE"""),"VC01P1")</f>
        <v>VC01P1</v>
      </c>
      <c r="G8" s="41"/>
      <c r="H8" s="41" t="str">
        <f>IFERROR(__xludf.DUMMYFUNCTION("""COMPUTED_VALUE"""),"執行長室 : 研發中心 : 軟體工程部 : iOS 團隊")</f>
        <v>執行長室 : 研發中心 : 軟體工程部 : iOS 團隊</v>
      </c>
      <c r="I8" s="41"/>
      <c r="J8" s="41" t="str">
        <f>IFERROR(__xludf.DUMMYFUNCTION("""COMPUTED_VALUE"""),"執行長室 : 管理中心 : 資訊部")</f>
        <v>執行長室 : 管理中心 : 資訊部</v>
      </c>
      <c r="K8" s="41" t="str">
        <f>IFERROR(__xludf.DUMMYFUNCTION("""COMPUTED_VALUE"""),"M7")</f>
        <v>M7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1"/>
      <c r="C9" s="41" t="str">
        <f>IFERROR(__xludf.DUMMYFUNCTION("""COMPUTED_VALUE"""),"QLRSi3")</f>
        <v>QLRSi3</v>
      </c>
      <c r="D9" s="41" t="str">
        <f>IFERROR(__xludf.DUMMYFUNCTION("""COMPUTED_VALUE"""),"SMB26TA1")</f>
        <v>SMB26TA1</v>
      </c>
      <c r="E9" s="41"/>
      <c r="F9" s="41" t="str">
        <f>IFERROR(__xludf.DUMMYFUNCTION("""COMPUTED_VALUE"""),"VC04P3")</f>
        <v>VC04P3</v>
      </c>
      <c r="G9" s="41"/>
      <c r="H9" s="41" t="str">
        <f>IFERROR(__xludf.DUMMYFUNCTION("""COMPUTED_VALUE"""),"執行長室 : 研發中心 : 軟體工程部 : QE 團隊")</f>
        <v>執行長室 : 研發中心 : 軟體工程部 : QE 團隊</v>
      </c>
      <c r="I9" s="41"/>
      <c r="J9" s="41" t="str">
        <f>IFERROR(__xludf.DUMMYFUNCTION("""COMPUTED_VALUE"""),"執行長室 : 管理中心 : 採購部")</f>
        <v>執行長室 : 管理中心 : 採購部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1"/>
      <c r="C10" s="41" t="str">
        <f>IFERROR(__xludf.DUMMYFUNCTION("""COMPUTED_VALUE"""),"2CSi1")</f>
        <v>2CSi1</v>
      </c>
      <c r="D10" s="41" t="str">
        <f>IFERROR(__xludf.DUMMYFUNCTION("""COMPUTED_VALUE"""),"ENT26TA1")</f>
        <v>ENT26TA1</v>
      </c>
      <c r="E10" s="41"/>
      <c r="F10" s="41" t="str">
        <f>IFERROR(__xludf.DUMMYFUNCTION("""COMPUTED_VALUE"""),"VC04P4")</f>
        <v>VC04P4</v>
      </c>
      <c r="G10" s="41"/>
      <c r="H10" s="41" t="str">
        <f>IFERROR(__xludf.DUMMYFUNCTION("""COMPUTED_VALUE"""),"執行長室 : 研發中心 : 軟體工程部 : SRE 團隊")</f>
        <v>執行長室 : 研發中心 : 軟體工程部 : SRE 團隊</v>
      </c>
      <c r="I10" s="41"/>
      <c r="J10" s="41" t="str">
        <f>IFERROR(__xludf.DUMMYFUNCTION("""COMPUTED_VALUE"""),"執行長室 : 策略資料中心 : 策略資料中心")</f>
        <v>執行長室 : 策略資料中心 : 策略資料中心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1"/>
      <c r="C11" s="41" t="str">
        <f>IFERROR(__xludf.DUMMYFUNCTION("""COMPUTED_VALUE"""),"Maintenance")</f>
        <v>Maintenance</v>
      </c>
      <c r="D11" s="41" t="str">
        <f>IFERROR(__xludf.DUMMYFUNCTION("""COMPUTED_VALUE"""),"QLR26TA1")</f>
        <v>QLR26TA1</v>
      </c>
      <c r="E11" s="41"/>
      <c r="F11" s="41" t="str">
        <f>IFERROR(__xludf.DUMMYFUNCTION("""COMPUTED_VALUE"""),"VC02P10")</f>
        <v>VC02P10</v>
      </c>
      <c r="G11" s="41"/>
      <c r="H11" s="41" t="str">
        <f>IFERROR(__xludf.DUMMYFUNCTION("""COMPUTED_VALUE"""),"執行長室 : 研發中心 : 產品設計部")</f>
        <v>執行長室 : 研發中心 : 產品設計部</v>
      </c>
      <c r="I11" s="41"/>
      <c r="J11" s="41" t="str">
        <f>IFERROR(__xludf.DUMMYFUNCTION("""COMPUTED_VALUE"""),"執行長室 : 策略資料中心 : 策略規劃部")</f>
        <v>執行長室 : 策略資料中心 : 策略規劃部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41"/>
      <c r="C12" s="41" t="str">
        <f>IFERROR(__xludf.DUMMYFUNCTION("""COMPUTED_VALUE"""),"Corporation")</f>
        <v>Corporation</v>
      </c>
      <c r="D12" s="41" t="str">
        <f>IFERROR(__xludf.DUMMYFUNCTION("""COMPUTED_VALUE"""),"QLR26TA2")</f>
        <v>QLR26TA2</v>
      </c>
      <c r="E12" s="41"/>
      <c r="F12" s="41" t="str">
        <f>IFERROR(__xludf.DUMMYFUNCTION("""COMPUTED_VALUE"""),"VC02P9")</f>
        <v>VC02P9</v>
      </c>
      <c r="G12" s="41"/>
      <c r="H12" s="41" t="str">
        <f>IFERROR(__xludf.DUMMYFUNCTION("""COMPUTED_VALUE"""),"執行長室 : 研發中心 : 產品設計部 : 產品設計師團隊")</f>
        <v>執行長室 : 研發中心 : 產品設計部 : 產品設計師團隊</v>
      </c>
      <c r="I12" s="41"/>
      <c r="J12" s="41" t="str">
        <f>IFERROR(__xludf.DUMMYFUNCTION("""COMPUTED_VALUE"""),"執行長室 : 策略資料中心 : 數據管理部")</f>
        <v>執行長室 : 策略資料中心 : 數據管理部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 t="str">
        <f>IFERROR(__xludf.DUMMYFUNCTION("""COMPUTED_VALUE"""),"QLR26TA3")</f>
        <v>QLR26TA3</v>
      </c>
      <c r="E13" s="41"/>
      <c r="F13" s="41" t="str">
        <f>IFERROR(__xludf.DUMMYFUNCTION("""COMPUTED_VALUE"""),"VC02P8")</f>
        <v>VC02P8</v>
      </c>
      <c r="G13" s="41"/>
      <c r="H13" s="41" t="str">
        <f>IFERROR(__xludf.DUMMYFUNCTION("""COMPUTED_VALUE"""),"執行長室 : 研發中心 : 產品設計部 : 產品經理團隊")</f>
        <v>執行長室 : 研發中心 : 產品設計部 : 產品經理團隊</v>
      </c>
      <c r="I13" s="41"/>
      <c r="J13" s="41" t="str">
        <f>IFERROR(__xludf.DUMMYFUNCTION("""COMPUTED_VALUE"""),"執行長室 : 行銷營運中心 : 行銷營運中心")</f>
        <v>執行長室 : 行銷營運中心 : 行銷營運中心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 t="str">
        <f>IFERROR(__xludf.DUMMYFUNCTION("""COMPUTED_VALUE"""),"2C26TA1")</f>
        <v>2C26TA1</v>
      </c>
      <c r="E14" s="41"/>
      <c r="F14" s="41" t="str">
        <f>IFERROR(__xludf.DUMMYFUNCTION("""COMPUTED_VALUE"""),"VC02P7")</f>
        <v>VC02P7</v>
      </c>
      <c r="G14" s="41"/>
      <c r="H14" s="41" t="str">
        <f>IFERROR(__xludf.DUMMYFUNCTION("""COMPUTED_VALUE"""),"執行長室 : 研發中心 : 產品設計部 : 數據分析團隊")</f>
        <v>執行長室 : 研發中心 : 產品設計部 : 數據分析團隊</v>
      </c>
      <c r="I14" s="41"/>
      <c r="J14" s="41" t="str">
        <f>IFERROR(__xludf.DUMMYFUNCTION("""COMPUTED_VALUE"""),"執行長室 : 客戶價值中心 : 客戶價值中心")</f>
        <v>執行長室 : 客戶價值中心 : 客戶價值中心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 t="str">
        <f>IFERROR(__xludf.DUMMYFUNCTION("""COMPUTED_VALUE"""),"Corporation")</f>
        <v>Corporation</v>
      </c>
      <c r="E15" s="41"/>
      <c r="F15" s="41" t="str">
        <f>IFERROR(__xludf.DUMMYFUNCTION("""COMPUTED_VALUE"""),"VC02P6")</f>
        <v>VC02P6</v>
      </c>
      <c r="G15" s="41"/>
      <c r="H15" s="41" t="str">
        <f>IFERROR(__xludf.DUMMYFUNCTION("""COMPUTED_VALUE"""),"執行長室 : 財務中心 : 財務中心")</f>
        <v>執行長室 : 財務中心 : 財務中心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 t="str">
        <f>IFERROR(__xludf.DUMMYFUNCTION("""COMPUTED_VALUE"""),"Baseline")</f>
        <v>Baseline</v>
      </c>
      <c r="E16" s="41"/>
      <c r="F16" s="41" t="str">
        <f>IFERROR(__xludf.DUMMYFUNCTION("""COMPUTED_VALUE"""),"VC02P5")</f>
        <v>VC02P5</v>
      </c>
      <c r="G16" s="41"/>
      <c r="H16" s="41" t="str">
        <f>IFERROR(__xludf.DUMMYFUNCTION("""COMPUTED_VALUE"""),"執行長室 : 管理中心 : 管理中心")</f>
        <v>執行長室 : 管理中心 : 管理中心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 t="str">
        <f>IFERROR(__xludf.DUMMYFUNCTION("""COMPUTED_VALUE"""),"VC02P4")</f>
        <v>VC02P4</v>
      </c>
      <c r="G17" s="41"/>
      <c r="H17" s="41" t="str">
        <f>IFERROR(__xludf.DUMMYFUNCTION("""COMPUTED_VALUE"""),"執行長室 : 管理中心 : 行政總務部")</f>
        <v>執行長室 : 管理中心 : 行政總務部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41"/>
      <c r="F18" s="41" t="str">
        <f>IFERROR(__xludf.DUMMYFUNCTION("""COMPUTED_VALUE"""),"VC02P3")</f>
        <v>VC02P3</v>
      </c>
      <c r="G18" s="41"/>
      <c r="H18" s="41" t="str">
        <f>IFERROR(__xludf.DUMMYFUNCTION("""COMPUTED_VALUE"""),"執行長室 : 管理中心 : 人資部")</f>
        <v>執行長室 : 管理中心 : 人資部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 t="str">
        <f>IFERROR(__xludf.DUMMYFUNCTION("""COMPUTED_VALUE"""),"VC02P2")</f>
        <v>VC02P2</v>
      </c>
      <c r="G19" s="41"/>
      <c r="H19" s="41" t="str">
        <f>IFERROR(__xludf.DUMMYFUNCTION("""COMPUTED_VALUE"""),"執行長室 : 管理中心 : 法務部")</f>
        <v>執行長室 : 管理中心 : 法務部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 t="str">
        <f>IFERROR(__xludf.DUMMYFUNCTION("""COMPUTED_VALUE"""),"VC02P1")</f>
        <v>VC02P1</v>
      </c>
      <c r="G20" s="41"/>
      <c r="H20" s="41" t="str">
        <f>IFERROR(__xludf.DUMMYFUNCTION("""COMPUTED_VALUE"""),"執行長室 : 管理中心 : 資訊部")</f>
        <v>執行長室 : 管理中心 : 資訊部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 t="str">
        <f>IFERROR(__xludf.DUMMYFUNCTION("""COMPUTED_VALUE"""),"VC02P11")</f>
        <v>VC02P11</v>
      </c>
      <c r="G21" s="41"/>
      <c r="H21" s="41" t="str">
        <f>IFERROR(__xludf.DUMMYFUNCTION("""COMPUTED_VALUE"""),"執行長室 : 管理中心 : 採購部")</f>
        <v>執行長室 : 管理中心 : 採購部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 t="str">
        <f>IFERROR(__xludf.DUMMYFUNCTION("""COMPUTED_VALUE"""),"VC04P2")</f>
        <v>VC04P2</v>
      </c>
      <c r="G22" s="41"/>
      <c r="H22" s="41" t="str">
        <f>IFERROR(__xludf.DUMMYFUNCTION("""COMPUTED_VALUE"""),"執行長室 : 策略資料中心 : 策略資料中心")</f>
        <v>執行長室 : 策略資料中心 : 策略資料中心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 t="str">
        <f>IFERROR(__xludf.DUMMYFUNCTION("""COMPUTED_VALUE"""),"VC05P10")</f>
        <v>VC05P10</v>
      </c>
      <c r="G23" s="41"/>
      <c r="H23" s="41" t="str">
        <f>IFERROR(__xludf.DUMMYFUNCTION("""COMPUTED_VALUE"""),"執行長室 : 策略資料中心 : 策略規劃部")</f>
        <v>執行長室 : 策略資料中心 : 策略規劃部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 t="str">
        <f>IFERROR(__xludf.DUMMYFUNCTION("""COMPUTED_VALUE"""),"VC03P1")</f>
        <v>VC03P1</v>
      </c>
      <c r="G24" s="41"/>
      <c r="H24" s="41" t="str">
        <f>IFERROR(__xludf.DUMMYFUNCTION("""COMPUTED_VALUE"""),"執行長室 : 策略資料中心 : 數據管理部")</f>
        <v>執行長室 : 策略資料中心 : 數據管理部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 t="str">
        <f>IFERROR(__xludf.DUMMYFUNCTION("""COMPUTED_VALUE"""),"VC05P2")</f>
        <v>VC05P2</v>
      </c>
      <c r="G25" s="41"/>
      <c r="H25" s="41" t="str">
        <f>IFERROR(__xludf.DUMMYFUNCTION("""COMPUTED_VALUE"""),"執行長室 : 行銷營運中心 : 行銷營運中心")</f>
        <v>執行長室 : 行銷營運中心 : 行銷營運中心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 t="str">
        <f>IFERROR(__xludf.DUMMYFUNCTION("""COMPUTED_VALUE"""),"VC05P1")</f>
        <v>VC05P1</v>
      </c>
      <c r="G26" s="41"/>
      <c r="H26" s="41" t="str">
        <f>IFERROR(__xludf.DUMMYFUNCTION("""COMPUTED_VALUE"""),"執行長室 : 行銷營運中心 : 專案銷售部")</f>
        <v>執行長室 : 行銷營運中心 : 專案銷售部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 t="str">
        <f>IFERROR(__xludf.DUMMYFUNCTION("""COMPUTED_VALUE"""),"VC05P4")</f>
        <v>VC05P4</v>
      </c>
      <c r="G27" s="41"/>
      <c r="H27" s="41" t="str">
        <f>IFERROR(__xludf.DUMMYFUNCTION("""COMPUTED_VALUE"""),"執行長室 : 行銷營運中心 : 產品行銷部")</f>
        <v>執行長室 : 行銷營運中心 : 產品行銷部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 t="str">
        <f>IFERROR(__xludf.DUMMYFUNCTION("""COMPUTED_VALUE"""),"VC05P3")</f>
        <v>VC05P3</v>
      </c>
      <c r="G28" s="41"/>
      <c r="H28" s="41" t="str">
        <f>IFERROR(__xludf.DUMMYFUNCTION("""COMPUTED_VALUE"""),"執行長室 : 行銷營運中心 : 產品行銷部 : 產品行銷團隊")</f>
        <v>執行長室 : 行銷營運中心 : 產品行銷部 : 產品行銷團隊</v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 t="str">
        <f>IFERROR(__xludf.DUMMYFUNCTION("""COMPUTED_VALUE"""),"VC05P9")</f>
        <v>VC05P9</v>
      </c>
      <c r="G29" s="41"/>
      <c r="H29" s="41" t="str">
        <f>IFERROR(__xludf.DUMMYFUNCTION("""COMPUTED_VALUE"""),"執行長室 : 行銷營運中心 : 產品行銷部 : 設計管理團隊")</f>
        <v>執行長室 : 行銷營運中心 : 產品行銷部 : 設計管理團隊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 t="str">
        <f>IFERROR(__xludf.DUMMYFUNCTION("""COMPUTED_VALUE"""),"VC05P8")</f>
        <v>VC05P8</v>
      </c>
      <c r="G30" s="41"/>
      <c r="H30" s="41" t="str">
        <f>IFERROR(__xludf.DUMMYFUNCTION("""COMPUTED_VALUE"""),"執行長室 : 行銷營運中心 : 社群關係部")</f>
        <v>執行長室 : 行銷營運中心 : 社群關係部</v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 t="str">
        <f>IFERROR(__xludf.DUMMYFUNCTION("""COMPUTED_VALUE"""),"VC05P7")</f>
        <v>VC05P7</v>
      </c>
      <c r="G31" s="41"/>
      <c r="H31" s="41" t="str">
        <f>IFERROR(__xludf.DUMMYFUNCTION("""COMPUTED_VALUE"""),"執行長室 : 行銷營運中心 : 社群關係部 : 餐廳社群團隊")</f>
        <v>執行長室 : 行銷營運中心 : 社群關係部 : 餐廳社群團隊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 t="str">
        <f>IFERROR(__xludf.DUMMYFUNCTION("""COMPUTED_VALUE"""),"VC05P6")</f>
        <v>VC05P6</v>
      </c>
      <c r="G32" s="41"/>
      <c r="H32" s="41" t="str">
        <f>IFERROR(__xludf.DUMMYFUNCTION("""COMPUTED_VALUE"""),"執行長室 : 行銷營運中心 : 社群關係部 : 餐廳社群團隊")</f>
        <v>執行長室 : 行銷營運中心 : 社群關係部 : 餐廳社群團隊</v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 t="str">
        <f>IFERROR(__xludf.DUMMYFUNCTION("""COMPUTED_VALUE"""),"VC05P5")</f>
        <v>VC05P5</v>
      </c>
      <c r="G33" s="41"/>
      <c r="H33" s="41" t="str">
        <f>IFERROR(__xludf.DUMMYFUNCTION("""COMPUTED_VALUE"""),"執行長室 : 行銷營運中心 : 銷售營運部")</f>
        <v>執行長室 : 行銷營運中心 : 銷售營運部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 t="str">
        <f>IFERROR(__xludf.DUMMYFUNCTION("""COMPUTED_VALUE"""),"VC02P18")</f>
        <v>VC02P18</v>
      </c>
      <c r="G34" s="41"/>
      <c r="H34" s="41" t="str">
        <f>IFERROR(__xludf.DUMMYFUNCTION("""COMPUTED_VALUE"""),"執行長室 : 行銷營運中心 : 銷售營運部 : 成交營運團隊")</f>
        <v>執行長室 : 行銷營運中心 : 銷售營運部 : 成交營運團隊</v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 t="str">
        <f>IFERROR(__xludf.DUMMYFUNCTION("""COMPUTED_VALUE"""),"VC03P10")</f>
        <v>VC03P10</v>
      </c>
      <c r="G35" s="41"/>
      <c r="H35" s="41" t="str">
        <f>IFERROR(__xludf.DUMMYFUNCTION("""COMPUTED_VALUE"""),"執行長室 : 行銷營運中心 : 銷售營運部 : 銷售顧問團隊")</f>
        <v>執行長室 : 行銷營運中心 : 銷售營運部 : 銷售顧問團隊</v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 t="str">
        <f>IFERROR(__xludf.DUMMYFUNCTION("""COMPUTED_VALUE"""),"VC02P17")</f>
        <v>VC02P17</v>
      </c>
      <c r="G36" s="41"/>
      <c r="H36" s="41" t="str">
        <f>IFERROR(__xludf.DUMMYFUNCTION("""COMPUTED_VALUE"""),"執行長室 : 行銷營運中心 : 銷售營運部 : 客戶導入團隊")</f>
        <v>執行長室 : 行銷營運中心 : 銷售營運部 : 客戶導入團隊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 t="str">
        <f>IFERROR(__xludf.DUMMYFUNCTION("""COMPUTED_VALUE"""),"VC03P9")</f>
        <v>VC03P9</v>
      </c>
      <c r="G37" s="41"/>
      <c r="H37" s="41" t="str">
        <f>IFERROR(__xludf.DUMMYFUNCTION("""COMPUTED_VALUE"""),"執行長室 : 行銷營運中心 : 銷售營運部 : 線上開發團隊")</f>
        <v>執行長室 : 行銷營運中心 : 銷售營運部 : 線上開發團隊</v>
      </c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 t="str">
        <f>IFERROR(__xludf.DUMMYFUNCTION("""COMPUTED_VALUE"""),"VC02P16")</f>
        <v>VC02P16</v>
      </c>
      <c r="G38" s="41"/>
      <c r="H38" s="41" t="str">
        <f>IFERROR(__xludf.DUMMYFUNCTION("""COMPUTED_VALUE"""),"執行長室 : 行銷營運中心 : 銷售營運部 : 銷售訓練團隊")</f>
        <v>執行長室 : 行銷營運中心 : 銷售營運部 : 銷售訓練團隊</v>
      </c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 t="str">
        <f>IFERROR(__xludf.DUMMYFUNCTION("""COMPUTED_VALUE"""),"VC02P15")</f>
        <v>VC02P15</v>
      </c>
      <c r="G39" s="41"/>
      <c r="H39" s="41" t="str">
        <f>IFERROR(__xludf.DUMMYFUNCTION("""COMPUTED_VALUE"""),"執行長室 : 客戶價值中心 : 客戶價值中心")</f>
        <v>執行長室 : 客戶價值中心 : 客戶價值中心</v>
      </c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 t="str">
        <f>IFERROR(__xludf.DUMMYFUNCTION("""COMPUTED_VALUE"""),"VC02P14")</f>
        <v>VC02P14</v>
      </c>
      <c r="G40" s="41"/>
      <c r="H40" s="41" t="str">
        <f>IFERROR(__xludf.DUMMYFUNCTION("""COMPUTED_VALUE"""),"執行長室 : 客戶價值中心 : 客戶關係管理部")</f>
        <v>執行長室 : 客戶價值中心 : 客戶關係管理部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 t="str">
        <f>IFERROR(__xludf.DUMMYFUNCTION("""COMPUTED_VALUE"""),"VC02P13")</f>
        <v>VC02P13</v>
      </c>
      <c r="G41" s="41"/>
      <c r="H41" s="41" t="str">
        <f>IFERROR(__xludf.DUMMYFUNCTION("""COMPUTED_VALUE"""),"執行長室 : 客戶價值中心 : 客戶關係管理部 : TSE 團隊")</f>
        <v>執行長室 : 客戶價值中心 : 客戶關係管理部 : TSE 團隊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 t="str">
        <f>IFERROR(__xludf.DUMMYFUNCTION("""COMPUTED_VALUE"""),"VC02P12")</f>
        <v>VC02P12</v>
      </c>
      <c r="G42" s="41"/>
      <c r="H42" s="41" t="str">
        <f>IFERROR(__xludf.DUMMYFUNCTION("""COMPUTED_VALUE"""),"執行長室 : 客戶價值中心 : 客戶關係管理部 : 客服團隊")</f>
        <v>執行長室 : 客戶價值中心 : 客戶關係管理部 : 客服團隊</v>
      </c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 t="str">
        <f>IFERROR(__xludf.DUMMYFUNCTION("""COMPUTED_VALUE"""),"VC03P8")</f>
        <v>VC03P8</v>
      </c>
      <c r="G43" s="41"/>
      <c r="H43" s="41" t="str">
        <f>IFERROR(__xludf.DUMMYFUNCTION("""COMPUTED_VALUE"""),"執行長室 : 客戶價值中心 : 客戶關係管理部 : 客戶經理團隊	")</f>
        <v>執行長室 : 客戶價值中心 : 客戶關係管理部 : 客戶經理團隊	</v>
      </c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 t="str">
        <f>IFERROR(__xludf.DUMMYFUNCTION("""COMPUTED_VALUE"""),"VC03P7")</f>
        <v>VC03P7</v>
      </c>
      <c r="G44" s="41"/>
      <c r="H44" s="41" t="str">
        <f>IFERROR(__xludf.DUMMYFUNCTION("""COMPUTED_VALUE"""),"執行長室 : 客戶價值中心 : 客戶成功管理部")</f>
        <v>執行長室 : 客戶價值中心 : 客戶成功管理部</v>
      </c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 t="str">
        <f>IFERROR(__xludf.DUMMYFUNCTION("""COMPUTED_VALUE"""),"VC03P6")</f>
        <v>VC03P6</v>
      </c>
      <c r="G45" s="41"/>
      <c r="H45" s="41" t="str">
        <f>IFERROR(__xludf.DUMMYFUNCTION("""COMPUTED_VALUE"""),"執行長室 : 客戶價值中心 : 客戶成功管理部 : 產品教育團隊")</f>
        <v>執行長室 : 客戶價值中心 : 客戶成功管理部 : 產品教育團隊</v>
      </c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 t="str">
        <f>IFERROR(__xludf.DUMMYFUNCTION("""COMPUTED_VALUE"""),"VC03P5")</f>
        <v>VC03P5</v>
      </c>
      <c r="G46" s="41"/>
      <c r="H46" s="41" t="str">
        <f>IFERROR(__xludf.DUMMYFUNCTION("""COMPUTED_VALUE"""),"執行長室 : 客戶價值中心 : 客戶成功管理部 : 客戶成功團隊")</f>
        <v>執行長室 : 客戶價值中心 : 客戶成功管理部 : 客戶成功團隊</v>
      </c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 t="str">
        <f>IFERROR(__xludf.DUMMYFUNCTION("""COMPUTED_VALUE"""),"VC03P4")</f>
        <v>VC03P4</v>
      </c>
      <c r="G47" s="41"/>
      <c r="H47" s="41" t="str">
        <f>IFERROR(__xludf.DUMMYFUNCTION("""COMPUTED_VALUE"""),"執行長室 : 行銷營運中心 : 行銷營運中心")</f>
        <v>執行長室 : 行銷營運中心 : 行銷營運中心</v>
      </c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 t="str">
        <f>IFERROR(__xludf.DUMMYFUNCTION("""COMPUTED_VALUE"""),"VC03P3")</f>
        <v>VC03P3</v>
      </c>
      <c r="G48" s="41"/>
      <c r="H48" s="41" t="str">
        <f>IFERROR(__xludf.DUMMYFUNCTION("""COMPUTED_VALUE"""),"執行長室 : 行銷營運中心 : 產品行銷部")</f>
        <v>執行長室 : 行銷營運中心 : 產品行銷部</v>
      </c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 t="str">
        <f>IFERROR(__xludf.DUMMYFUNCTION("""COMPUTED_VALUE"""),"VC03P2")</f>
        <v>VC03P2</v>
      </c>
      <c r="G49" s="41"/>
      <c r="H49" s="41" t="str">
        <f>IFERROR(__xludf.DUMMYFUNCTION("""COMPUTED_VALUE"""),"執行長室 : 行銷營運中心 : 產品行銷部 : 行銷團隊")</f>
        <v>執行長室 : 行銷營運中心 : 產品行銷部 : 行銷團隊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 t="str">
        <f>IFERROR(__xludf.DUMMYFUNCTION("""COMPUTED_VALUE"""),"VC01P5")</f>
        <v>VC01P5</v>
      </c>
      <c r="G50" s="41"/>
      <c r="H50" s="41" t="str">
        <f>IFERROR(__xludf.DUMMYFUNCTION("""COMPUTED_VALUE"""),"執行長室 : 行銷營運中心 : 產品行銷部 : 社群團隊")</f>
        <v>執行長室 : 行銷營運中心 : 產品行銷部 : 社群團隊</v>
      </c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 t="str">
        <f>IFERROR(__xludf.DUMMYFUNCTION("""COMPUTED_VALUE"""),"VC08P2")</f>
        <v>VC08P2</v>
      </c>
      <c r="G51" s="41"/>
      <c r="H51" s="41" t="str">
        <f>IFERROR(__xludf.DUMMYFUNCTION("""COMPUTED_VALUE"""),"執行長室 : 行銷營運中心 : 銷售營運部")</f>
        <v>執行長室 : 行銷營運中心 : 銷售營運部</v>
      </c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 t="str">
        <f>IFERROR(__xludf.DUMMYFUNCTION("""COMPUTED_VALUE"""),"VC08P1")</f>
        <v>VC08P1</v>
      </c>
      <c r="G52" s="41"/>
      <c r="H52" s="41" t="str">
        <f>IFERROR(__xludf.DUMMYFUNCTION("""COMPUTED_VALUE"""),"執行長室 : 行銷營運中心 : 銷售營運部 : 銷售開發團隊")</f>
        <v>執行長室 : 行銷營運中心 : 銷售營運部 : 銷售開發團隊</v>
      </c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 t="str">
        <f>IFERROR(__xludf.DUMMYFUNCTION("""COMPUTED_VALUE"""),"執行長室 : 行銷營運中心 : 銷售營運部 : 成交營運團隊")</f>
        <v>執行長室 : 行銷營運中心 : 銷售營運部 : 成交營運團隊</v>
      </c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 t="str">
        <f>IFERROR(__xludf.DUMMYFUNCTION("""COMPUTED_VALUE"""),"執行長室 : 管理中心 : 管理中心")</f>
        <v>執行長室 : 管理中心 : 管理中心</v>
      </c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 t="str">
        <f>IFERROR(__xludf.DUMMYFUNCTION("""COMPUTED_VALUE"""),"執行長室 : 管理中心 : 財務部")</f>
        <v>執行長室 : 管理中心 : 財務部</v>
      </c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 t="str">
        <f>IFERROR(__xludf.DUMMYFUNCTION("""COMPUTED_VALUE"""),"執行長室 : 管理中心 : 人力資源部")</f>
        <v>執行長室 : 管理中心 : 人力資源部</v>
      </c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 t="str">
        <f>IFERROR(__xludf.DUMMYFUNCTION("""COMPUTED_VALUE"""),"執行長室 : 管理中心 : 行政總務部")</f>
        <v>執行長室 : 管理中心 : 行政總務部</v>
      </c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 t="str">
        <f>IFERROR(__xludf.DUMMYFUNCTION("""COMPUTED_VALUE"""),"執行長室 : 管理中心 : 採購部")</f>
        <v>執行長室 : 管理中心 : 採購部</v>
      </c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 t="str">
        <f>IFERROR(__xludf.DUMMYFUNCTION("""COMPUTED_VALUE"""),"執行長室 : 研發中心 : 研發中心")</f>
        <v>執行長室 : 研發中心 : 研發中心</v>
      </c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 t="str">
        <f>IFERROR(__xludf.DUMMYFUNCTION("""COMPUTED_VALUE"""),"執行長室 : 研發中心 : 產品營運部")</f>
        <v>執行長室 : 研發中心 : 產品營運部</v>
      </c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 t="str">
        <f>IFERROR(__xludf.DUMMYFUNCTION("""COMPUTED_VALUE"""),"執行長室 : 研發中心 : 產品營運部 : 客服團隊")</f>
        <v>執行長室 : 研發中心 : 產品營運部 : 客服團隊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 t="str">
        <f>IFERROR(__xludf.DUMMYFUNCTION("""COMPUTED_VALUE"""),"執行長室 : 研發中心 : 產品設計部")</f>
        <v>執行長室 : 研發中心 : 產品設計部</v>
      </c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 t="str">
        <f>IFERROR(__xludf.DUMMYFUNCTION("""COMPUTED_VALUE"""),"執行長室 : 研發中心 : 軟體工程部")</f>
        <v>執行長室 : 研發中心 : 軟體工程部</v>
      </c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</sheetData>
  <drawing r:id="rId1"/>
</worksheet>
</file>